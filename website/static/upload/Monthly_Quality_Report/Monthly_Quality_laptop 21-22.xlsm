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5230" yWindow="160" windowWidth="16910" windowHeight="7520" activeTab="1"/>
  </bookViews>
  <sheets>
    <sheet name="MINES" sheetId="5" r:id="rId1"/>
    <sheet name="BSL" sheetId="6" r:id="rId2"/>
    <sheet name="DSP" sheetId="7" r:id="rId3"/>
    <sheet name="RSP" sheetId="8" r:id="rId4"/>
    <sheet name="ISP" sheetId="9" r:id="rId5"/>
    <sheet name="BSP" sheetId="4" r:id="rId6"/>
    <sheet name="BLEND" sheetId="10" r:id="rId7"/>
    <sheet name="RECPT" sheetId="2" r:id="rId8"/>
    <sheet name="Sheet3" sheetId="3" r:id="rId9"/>
    <sheet name="PIVOT RECPT" sheetId="1" r:id="rId10"/>
    <sheet name="Month-Analysis" sheetId="12" r:id="rId11"/>
    <sheet name="Sheet1" sheetId="11" r:id="rId12"/>
  </sheets>
  <definedNames>
    <definedName name="_xlnm._FilterDatabase" localSheetId="1" hidden="1">BSL!$AE$5:$AF$17</definedName>
    <definedName name="_xlnm._FilterDatabase" localSheetId="5" hidden="1">BSP!$AE$5:$AF$17</definedName>
    <definedName name="_xlnm._FilterDatabase" localSheetId="0" hidden="1">MINES!$AE$5:$AF$17</definedName>
    <definedName name="_xlnm._FilterDatabase" localSheetId="9" hidden="1">'PIVOT RECPT'!$AK$2:$AS$650</definedName>
    <definedName name="_xlnm.Criteria" localSheetId="1">BSL!$AH$5:$AI$6</definedName>
    <definedName name="_xlnm.Criteria" localSheetId="5">BSP!$AH$5:$AI$6</definedName>
    <definedName name="_xlnm.Criteria" localSheetId="0">MINES!$AH$5:$AI$6</definedName>
    <definedName name="_xlnm.Criteria" localSheetId="9">'PIVOT RECPT'!$S$2:$V$3</definedName>
    <definedName name="Despatch_quantity">Despatch_month[]</definedName>
    <definedName name="_xlnm.Extract" localSheetId="9">'PIVOT RECPT'!$S$9:$AA$9</definedName>
    <definedName name="_xlnm.Print_Area" localSheetId="6">BLEND!$A$50:$S$88,BLEND!$A$2:$S$43</definedName>
    <definedName name="_xlnm.Print_Area" localSheetId="5">BSP!$A$1:$R$40</definedName>
    <definedName name="_xlnm.Print_Area" localSheetId="2">DSP!$A$1:$AC$61,DSP!$AE$1:$BG$61</definedName>
    <definedName name="_xlnm.Print_Area" localSheetId="4">ISP!$A$1:$AC$61,ISP!$AE$1:$BG$61</definedName>
    <definedName name="_xlnm.Print_Area" localSheetId="0">MINES!$A$2:$AC$61,MINES!$AE$2:$BG$61</definedName>
    <definedName name="_xlnm.Print_Area" localSheetId="3">RSP!$A$1:$AC$61,RSP!$AE$1:$BG$61</definedName>
    <definedName name="_xlnm.Print_Titles" localSheetId="5">BSP!$1:$1</definedName>
    <definedName name="_xlnm.Print_Titles" localSheetId="2">DSP!$1:$1</definedName>
    <definedName name="_xlnm.Print_Titles" localSheetId="4">ISP!$1:$1</definedName>
    <definedName name="_xlnm.Print_Titles" localSheetId="0">MINES!$1:$1</definedName>
    <definedName name="_xlnm.Print_Titles" localSheetId="3">RSP!$1:$1</definedName>
    <definedName name="Query_from_MySQL_Local" localSheetId="9" hidden="1">'PIVOT RECPT'!$I$2:$Q$45</definedName>
    <definedName name="Query_from_MySQL_Local_1" localSheetId="10" hidden="1">'Month-Analysis'!$BA$49:$BB$51</definedName>
    <definedName name="Query_from_MySQL_Local_1" localSheetId="9" hidden="1">'PIVOT RECPT'!$AK$2:$AS$45</definedName>
    <definedName name="Query_from_MySQL_Local_10" localSheetId="10" hidden="1">'Month-Analysis'!$AX$59:$AY$60</definedName>
    <definedName name="Query_from_MySQL_Local_11" localSheetId="10" hidden="1">'Month-Analysis'!$AX$62:$AY$64</definedName>
    <definedName name="Query_from_MySQL_Local_12" localSheetId="10" hidden="1">'Month-Analysis'!$BA$55:$BB$56</definedName>
    <definedName name="Query_from_MySQL_Local_13" localSheetId="10" hidden="1">'Month-Analysis'!$BD$55:$BE$56</definedName>
    <definedName name="Query_from_MySQL_Local_14" localSheetId="10" hidden="1">'Month-Analysis'!$BG$55:$BH$56</definedName>
    <definedName name="Query_from_MySQL_Local_15" localSheetId="10" hidden="1">'Month-Analysis'!$BA$61:$BB$62</definedName>
    <definedName name="Query_from_MySQL_Local_16" localSheetId="10" hidden="1">'Month-Analysis'!$BA$58:$BB$60</definedName>
    <definedName name="Query_from_MySQL_Local_17" localSheetId="10" hidden="1">'Month-Analysis'!$BD$60:$BE$61</definedName>
    <definedName name="Query_from_MySQL_Local_18" localSheetId="10" hidden="1">'Month-Analysis'!$BD$57:$BE$58</definedName>
    <definedName name="Query_from_MySQL_Local_19" localSheetId="10" hidden="1">'Month-Analysis'!$BG$61:$BH$63</definedName>
    <definedName name="Query_from_MySQL_Local_2" localSheetId="10" hidden="1">'Month-Analysis'!$BD$49:$BE$51</definedName>
    <definedName name="Query_from_MySQL_Local_2" localSheetId="9" hidden="1">'PIVOT RECPT'!$A$2:$F$528</definedName>
    <definedName name="Query_from_MySQL_Local_20" localSheetId="10" hidden="1">'Month-Analysis'!$BG$58:$BH$60</definedName>
    <definedName name="Query_from_MySQL_Local_21" localSheetId="10" hidden="1">'Month-Analysis'!$AX$49:$AY$51</definedName>
    <definedName name="Query_from_MySQL_Local_3" localSheetId="10" hidden="1">'Month-Analysis'!$BG$49:$BH$51</definedName>
    <definedName name="Query_from_MySQL_Local_3" localSheetId="9" hidden="1">'PIVOT RECPT'!$AU$2:$BC$3</definedName>
    <definedName name="Query_from_MySQL_Local_4" localSheetId="10" hidden="1">'Month-Analysis'!$AX$52:$AY$54</definedName>
    <definedName name="Query_from_MySQL_Local_4" localSheetId="9" hidden="1">'PIVOT RECPT'!$BO$2:$BW$3</definedName>
    <definedName name="Query_from_MySQL_Local_6" localSheetId="10" hidden="1">'Month-Analysis'!$BA$52:$BB$54</definedName>
    <definedName name="Query_from_MySQL_Local_7" localSheetId="10" hidden="1">'Month-Analysis'!$BD$52:$BE$54</definedName>
    <definedName name="Query_from_MySQL_Local_8" localSheetId="10" hidden="1">'Month-Analysis'!$BG$52:$BH$54</definedName>
    <definedName name="Query_from_MySQL_Local_9" localSheetId="10" hidden="1">'Month-Analysis'!$AX$55:$AY$57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V20" i="8" l="1"/>
  <c r="AF20" i="8"/>
  <c r="AF21" i="8"/>
  <c r="AU18" i="8" l="1"/>
  <c r="AF20" i="6" l="1"/>
  <c r="I18" i="12" l="1"/>
  <c r="AN109" i="12" a="1"/>
  <c r="AN110" i="12" s="1"/>
  <c r="AN105" i="12" a="1"/>
  <c r="AN106" i="12" s="1"/>
  <c r="AM118" i="12"/>
  <c r="AO118" i="12"/>
  <c r="AN117" i="12" a="1"/>
  <c r="AN118" i="12" s="1"/>
  <c r="AN113" i="12" a="1"/>
  <c r="AN113" i="12" s="1"/>
  <c r="AN100" i="12" a="1"/>
  <c r="AN101" i="12" s="1"/>
  <c r="AN96" i="12" a="1"/>
  <c r="AO96" i="12" s="1"/>
  <c r="AN92" i="12" a="1"/>
  <c r="AO92" i="12" s="1"/>
  <c r="AN88" i="12" a="1"/>
  <c r="AO89" i="12" s="1"/>
  <c r="AN70" i="12" a="1"/>
  <c r="AN70" i="12" s="1"/>
  <c r="AN100" i="12" l="1"/>
  <c r="AO105" i="12"/>
  <c r="AN105" i="12"/>
  <c r="AO71" i="12"/>
  <c r="AN109" i="12"/>
  <c r="AO109" i="12"/>
  <c r="AO110" i="12"/>
  <c r="AO106" i="12"/>
  <c r="AO114" i="12"/>
  <c r="AO113" i="12"/>
  <c r="AN114" i="12"/>
  <c r="AN117" i="12"/>
  <c r="AO117" i="12"/>
  <c r="AO100" i="12"/>
  <c r="AO101" i="12"/>
  <c r="AN96" i="12"/>
  <c r="AO97" i="12"/>
  <c r="AN97" i="12"/>
  <c r="AO93" i="12"/>
  <c r="AN92" i="12"/>
  <c r="AN93" i="12"/>
  <c r="AN89" i="12"/>
  <c r="AO88" i="12"/>
  <c r="AN88" i="12"/>
  <c r="AN71" i="12"/>
  <c r="AO70" i="12"/>
  <c r="AN82" i="12" l="1" a="1"/>
  <c r="AO83" i="12" s="1"/>
  <c r="AN78" i="12" a="1"/>
  <c r="AN79" i="12" s="1"/>
  <c r="AN74" i="12" a="1"/>
  <c r="AN75" i="12" s="1"/>
  <c r="AN83" i="12" l="1"/>
  <c r="AO82" i="12"/>
  <c r="AN82" i="12"/>
  <c r="AO78" i="12"/>
  <c r="AN78" i="12"/>
  <c r="AO79" i="12"/>
  <c r="AO74" i="12"/>
  <c r="AN74" i="12"/>
  <c r="AO75" i="12"/>
  <c r="AR64" i="12" a="1"/>
  <c r="AR65" i="12" s="1"/>
  <c r="AR64" i="12"/>
  <c r="AS64" i="12" l="1"/>
  <c r="AS65" i="12"/>
  <c r="AP64" i="12" a="1"/>
  <c r="AP65" i="12" s="1"/>
  <c r="AR60" i="12" a="1"/>
  <c r="AS60" i="12" s="1"/>
  <c r="AT64" i="12" a="1"/>
  <c r="AU64" i="12" s="1"/>
  <c r="AT60" i="12" a="1"/>
  <c r="AU61" i="12" s="1"/>
  <c r="AT56" i="12" a="1"/>
  <c r="AU56" i="12" s="1"/>
  <c r="AR56" i="12" a="1"/>
  <c r="AR57" i="12" s="1"/>
  <c r="AT52" i="12" a="1"/>
  <c r="AT52" i="12" s="1"/>
  <c r="AR52" i="12" a="1"/>
  <c r="AR53" i="12" s="1"/>
  <c r="AU60" i="12" l="1"/>
  <c r="AT60" i="12"/>
  <c r="AT61" i="12"/>
  <c r="AQ64" i="12"/>
  <c r="AP64" i="12"/>
  <c r="AQ65" i="12"/>
  <c r="AR60" i="12"/>
  <c r="AS61" i="12"/>
  <c r="AR61" i="12"/>
  <c r="AT64" i="12"/>
  <c r="AU65" i="12"/>
  <c r="AT65" i="12"/>
  <c r="AT56" i="12"/>
  <c r="AU57" i="12"/>
  <c r="AT57" i="12"/>
  <c r="AS56" i="12"/>
  <c r="AR56" i="12"/>
  <c r="AS57" i="12"/>
  <c r="AU53" i="12"/>
  <c r="AT53" i="12"/>
  <c r="AU52" i="12"/>
  <c r="AS52" i="12"/>
  <c r="AR52" i="12"/>
  <c r="AS53" i="12"/>
  <c r="CD3" i="1" l="1"/>
  <c r="CC3" i="1"/>
  <c r="AI11" i="12"/>
  <c r="AI10" i="12"/>
  <c r="AI9" i="12"/>
  <c r="AI8" i="12"/>
  <c r="AI23" i="12"/>
  <c r="AI24" i="12"/>
  <c r="AI25" i="12"/>
  <c r="AI22" i="12"/>
  <c r="V56" i="12"/>
  <c r="U56" i="12"/>
  <c r="T56" i="12"/>
  <c r="S56" i="12"/>
  <c r="G51" i="12"/>
  <c r="F51" i="12"/>
  <c r="E51" i="12"/>
  <c r="D51" i="12"/>
  <c r="C51" i="12"/>
  <c r="H49" i="12"/>
  <c r="G49" i="12"/>
  <c r="F49" i="12"/>
  <c r="E49" i="12"/>
  <c r="D49" i="12"/>
  <c r="C49" i="12"/>
  <c r="H48" i="12"/>
  <c r="G48" i="12"/>
  <c r="F48" i="12"/>
  <c r="E48" i="12"/>
  <c r="D48" i="12"/>
  <c r="C48" i="12"/>
  <c r="H47" i="12"/>
  <c r="G47" i="12"/>
  <c r="F47" i="12"/>
  <c r="E47" i="12"/>
  <c r="D47" i="12"/>
  <c r="C47" i="12"/>
  <c r="H46" i="12"/>
  <c r="G46" i="12"/>
  <c r="F46" i="12"/>
  <c r="E46" i="12"/>
  <c r="D46" i="12"/>
  <c r="C46" i="12"/>
  <c r="H45" i="12"/>
  <c r="G44" i="12"/>
  <c r="F44" i="12"/>
  <c r="E44" i="12"/>
  <c r="D44" i="12"/>
  <c r="C44" i="12"/>
  <c r="G43" i="12"/>
  <c r="F43" i="12"/>
  <c r="E43" i="12"/>
  <c r="D43" i="12"/>
  <c r="C43" i="12"/>
  <c r="G42" i="12"/>
  <c r="F42" i="12"/>
  <c r="E42" i="12"/>
  <c r="D42" i="12"/>
  <c r="C42" i="12"/>
  <c r="G41" i="12"/>
  <c r="F41" i="12"/>
  <c r="E41" i="12"/>
  <c r="D41" i="12"/>
  <c r="C41" i="12"/>
  <c r="I34" i="12"/>
  <c r="H33" i="12"/>
  <c r="G33" i="12"/>
  <c r="F33" i="12"/>
  <c r="T25" i="12" s="1"/>
  <c r="E33" i="12"/>
  <c r="D33" i="12"/>
  <c r="C33" i="12"/>
  <c r="I32" i="12"/>
  <c r="I31" i="12"/>
  <c r="I30" i="12"/>
  <c r="I29" i="12"/>
  <c r="P29" i="12"/>
  <c r="H28" i="12"/>
  <c r="G28" i="12"/>
  <c r="F28" i="12"/>
  <c r="E28" i="12"/>
  <c r="D28" i="12"/>
  <c r="C28" i="12"/>
  <c r="V22" i="12" s="1"/>
  <c r="P28" i="12"/>
  <c r="I27" i="12"/>
  <c r="P27" i="12"/>
  <c r="I26" i="12"/>
  <c r="AH27" i="12"/>
  <c r="AG27" i="12"/>
  <c r="P26" i="12"/>
  <c r="I25" i="12"/>
  <c r="AH26" i="12"/>
  <c r="AG26" i="12"/>
  <c r="I24" i="12"/>
  <c r="P25" i="12"/>
  <c r="P24" i="12"/>
  <c r="P23" i="12"/>
  <c r="P22" i="12"/>
  <c r="I19" i="12"/>
  <c r="H18" i="12"/>
  <c r="G18" i="12"/>
  <c r="F18" i="12"/>
  <c r="E18" i="12"/>
  <c r="D18" i="12"/>
  <c r="C18" i="12"/>
  <c r="I17" i="12"/>
  <c r="P15" i="12"/>
  <c r="I16" i="12"/>
  <c r="P14" i="12"/>
  <c r="I15" i="12"/>
  <c r="P13" i="12"/>
  <c r="I14" i="12"/>
  <c r="P12" i="12"/>
  <c r="H13" i="12"/>
  <c r="G13" i="12"/>
  <c r="F13" i="12"/>
  <c r="E13" i="12"/>
  <c r="D13" i="12"/>
  <c r="C13" i="12"/>
  <c r="AH12" i="12"/>
  <c r="AG12" i="12"/>
  <c r="I12" i="12"/>
  <c r="P11" i="12"/>
  <c r="I11" i="12"/>
  <c r="P10" i="12"/>
  <c r="I10" i="12"/>
  <c r="P9" i="12"/>
  <c r="I9" i="12"/>
  <c r="P8" i="12"/>
  <c r="V26" i="12" l="1"/>
  <c r="S23" i="12"/>
  <c r="U10" i="12"/>
  <c r="V23" i="12"/>
  <c r="W23" i="12"/>
  <c r="U23" i="12"/>
  <c r="H35" i="12"/>
  <c r="T8" i="12"/>
  <c r="U9" i="12"/>
  <c r="V24" i="12"/>
  <c r="S25" i="12"/>
  <c r="T10" i="12"/>
  <c r="V11" i="12"/>
  <c r="V8" i="12"/>
  <c r="U11" i="12"/>
  <c r="S27" i="12"/>
  <c r="V9" i="12"/>
  <c r="W25" i="12"/>
  <c r="W10" i="12"/>
  <c r="W12" i="12"/>
  <c r="U8" i="12"/>
  <c r="S10" i="12"/>
  <c r="T9" i="12"/>
  <c r="W27" i="12"/>
  <c r="U24" i="12"/>
  <c r="U25" i="12"/>
  <c r="X25" i="12" s="1"/>
  <c r="V25" i="12"/>
  <c r="S9" i="12"/>
  <c r="T11" i="12"/>
  <c r="V27" i="12"/>
  <c r="T24" i="12"/>
  <c r="T22" i="12"/>
  <c r="W24" i="12"/>
  <c r="W9" i="12"/>
  <c r="W8" i="12"/>
  <c r="S11" i="12"/>
  <c r="F20" i="12"/>
  <c r="W22" i="12"/>
  <c r="S24" i="12"/>
  <c r="V10" i="12"/>
  <c r="T23" i="12"/>
  <c r="T27" i="12"/>
  <c r="I44" i="12"/>
  <c r="E50" i="12"/>
  <c r="S22" i="12"/>
  <c r="U27" i="12"/>
  <c r="G35" i="12"/>
  <c r="U22" i="12"/>
  <c r="G20" i="12"/>
  <c r="G45" i="12"/>
  <c r="W11" i="12"/>
  <c r="H20" i="12"/>
  <c r="C50" i="12"/>
  <c r="D50" i="12"/>
  <c r="V12" i="12"/>
  <c r="I49" i="12"/>
  <c r="C45" i="12"/>
  <c r="D45" i="12"/>
  <c r="C20" i="12"/>
  <c r="E45" i="12"/>
  <c r="F50" i="12"/>
  <c r="D20" i="12"/>
  <c r="I28" i="12"/>
  <c r="F45" i="12"/>
  <c r="I43" i="12"/>
  <c r="G50" i="12"/>
  <c r="I13" i="12"/>
  <c r="I33" i="12"/>
  <c r="H50" i="12"/>
  <c r="H52" i="12" s="1"/>
  <c r="S12" i="12"/>
  <c r="S26" i="12"/>
  <c r="D35" i="12"/>
  <c r="I41" i="12"/>
  <c r="I47" i="12"/>
  <c r="I48" i="12"/>
  <c r="T12" i="12"/>
  <c r="T26" i="12"/>
  <c r="E35" i="12"/>
  <c r="I42" i="12"/>
  <c r="U12" i="12"/>
  <c r="U26" i="12"/>
  <c r="F35" i="12"/>
  <c r="I51" i="12"/>
  <c r="W26" i="12"/>
  <c r="E20" i="12"/>
  <c r="C35" i="12"/>
  <c r="I46" i="12"/>
  <c r="S8" i="12"/>
  <c r="X23" i="12" l="1"/>
  <c r="Y25" i="12"/>
  <c r="X11" i="12"/>
  <c r="Y10" i="12"/>
  <c r="Y8" i="12"/>
  <c r="X10" i="12"/>
  <c r="X9" i="12"/>
  <c r="F52" i="12"/>
  <c r="X27" i="12"/>
  <c r="S54" i="12" a="1"/>
  <c r="S54" i="12" s="1"/>
  <c r="S52" i="12" a="1"/>
  <c r="S52" i="12" s="1"/>
  <c r="I20" i="12"/>
  <c r="X26" i="12"/>
  <c r="Y11" i="12"/>
  <c r="Y9" i="12"/>
  <c r="Y22" i="12"/>
  <c r="Y24" i="12"/>
  <c r="Y27" i="12"/>
  <c r="Y26" i="12"/>
  <c r="D52" i="12"/>
  <c r="E52" i="12"/>
  <c r="C52" i="12"/>
  <c r="Y12" i="12"/>
  <c r="X8" i="12"/>
  <c r="I35" i="12"/>
  <c r="X24" i="12"/>
  <c r="S50" i="12" a="1"/>
  <c r="V50" i="12" s="1"/>
  <c r="S48" i="12" a="1"/>
  <c r="T48" i="12" s="1"/>
  <c r="I45" i="12"/>
  <c r="X22" i="12"/>
  <c r="G52" i="12"/>
  <c r="X12" i="12"/>
  <c r="Y23" i="12"/>
  <c r="S46" i="12" a="1"/>
  <c r="I50" i="12"/>
  <c r="T52" i="12" l="1"/>
  <c r="U52" i="12"/>
  <c r="T54" i="12"/>
  <c r="V54" i="12"/>
  <c r="U54" i="12"/>
  <c r="V52" i="12"/>
  <c r="S48" i="12"/>
  <c r="S50" i="12"/>
  <c r="T50" i="12"/>
  <c r="U50" i="12"/>
  <c r="U48" i="12"/>
  <c r="V48" i="12"/>
  <c r="S46" i="12"/>
  <c r="V46" i="12"/>
  <c r="U46" i="12"/>
  <c r="T46" i="12"/>
  <c r="I52" i="12"/>
  <c r="AY61" i="5"/>
  <c r="R6" i="4" l="1"/>
  <c r="Q6" i="4"/>
  <c r="Q81" i="4" l="1"/>
  <c r="G81" i="4"/>
  <c r="Q80" i="4"/>
  <c r="G80" i="4"/>
  <c r="Q79" i="4"/>
  <c r="G79" i="4"/>
  <c r="Q78" i="4"/>
  <c r="G78" i="4"/>
  <c r="Q77" i="4"/>
  <c r="G77" i="4"/>
  <c r="Q76" i="4"/>
  <c r="G76" i="4"/>
  <c r="Q75" i="4"/>
  <c r="G75" i="4"/>
  <c r="Q74" i="4"/>
  <c r="G74" i="4"/>
  <c r="Q73" i="4"/>
  <c r="G73" i="4"/>
  <c r="Q72" i="4"/>
  <c r="G72" i="4"/>
  <c r="Q71" i="4"/>
  <c r="G71" i="4"/>
  <c r="Q70" i="4"/>
  <c r="AM60" i="4"/>
  <c r="AC60" i="4"/>
  <c r="S60" i="4"/>
  <c r="I60" i="4"/>
  <c r="AM59" i="4"/>
  <c r="AC59" i="4"/>
  <c r="S59" i="4"/>
  <c r="I59" i="4"/>
  <c r="AM58" i="4"/>
  <c r="AC58" i="4"/>
  <c r="S58" i="4"/>
  <c r="I58" i="4"/>
  <c r="AM57" i="4"/>
  <c r="AC57" i="4"/>
  <c r="S57" i="4"/>
  <c r="I57" i="4"/>
  <c r="AM56" i="4"/>
  <c r="AC56" i="4"/>
  <c r="S56" i="4"/>
  <c r="I56" i="4"/>
  <c r="AM55" i="4"/>
  <c r="AC55" i="4"/>
  <c r="S55" i="4"/>
  <c r="I55" i="4"/>
  <c r="AM54" i="4"/>
  <c r="AC54" i="4"/>
  <c r="S54" i="4"/>
  <c r="I54" i="4"/>
  <c r="AM53" i="4"/>
  <c r="AC53" i="4"/>
  <c r="S53" i="4"/>
  <c r="I53" i="4"/>
  <c r="AM52" i="4"/>
  <c r="AC52" i="4"/>
  <c r="S52" i="4"/>
  <c r="I52" i="4"/>
  <c r="AM51" i="4"/>
  <c r="AC51" i="4"/>
  <c r="S51" i="4"/>
  <c r="I51" i="4"/>
  <c r="AM50" i="4"/>
  <c r="AC50" i="4"/>
  <c r="S50" i="4"/>
  <c r="I50" i="4"/>
  <c r="AM49" i="4"/>
  <c r="AC49" i="4"/>
  <c r="S49" i="4"/>
  <c r="I49" i="4"/>
  <c r="BG39" i="4"/>
  <c r="AW39" i="4"/>
  <c r="AM39" i="4"/>
  <c r="AC39" i="4"/>
  <c r="S39" i="4"/>
  <c r="I39" i="4"/>
  <c r="BG38" i="4"/>
  <c r="AW38" i="4"/>
  <c r="AM38" i="4"/>
  <c r="AC38" i="4"/>
  <c r="S38" i="4"/>
  <c r="I38" i="4"/>
  <c r="BG37" i="4"/>
  <c r="AW37" i="4"/>
  <c r="AC37" i="4"/>
  <c r="S37" i="4"/>
  <c r="I37" i="4"/>
  <c r="BG36" i="4"/>
  <c r="AW36" i="4"/>
  <c r="AC36" i="4"/>
  <c r="S36" i="4"/>
  <c r="I36" i="4"/>
  <c r="BG35" i="4"/>
  <c r="AW35" i="4"/>
  <c r="AC35" i="4"/>
  <c r="S35" i="4"/>
  <c r="I35" i="4"/>
  <c r="BG34" i="4"/>
  <c r="AW34" i="4"/>
  <c r="AC34" i="4"/>
  <c r="S34" i="4"/>
  <c r="I34" i="4"/>
  <c r="BG33" i="4"/>
  <c r="AW33" i="4"/>
  <c r="AM33" i="4"/>
  <c r="AC33" i="4"/>
  <c r="S33" i="4"/>
  <c r="I33" i="4"/>
  <c r="BG32" i="4"/>
  <c r="AW32" i="4"/>
  <c r="AC32" i="4"/>
  <c r="S32" i="4"/>
  <c r="I32" i="4"/>
  <c r="BG31" i="4"/>
  <c r="AW31" i="4"/>
  <c r="AM31" i="4"/>
  <c r="AC31" i="4"/>
  <c r="S31" i="4"/>
  <c r="I31" i="4"/>
  <c r="BG30" i="4"/>
  <c r="AW30" i="4"/>
  <c r="AM30" i="4"/>
  <c r="AC30" i="4"/>
  <c r="S30" i="4"/>
  <c r="I30" i="4"/>
  <c r="BG29" i="4"/>
  <c r="AW29" i="4"/>
  <c r="AM29" i="4"/>
  <c r="AC29" i="4"/>
  <c r="S29" i="4"/>
  <c r="I29" i="4"/>
  <c r="BG28" i="4"/>
  <c r="AW28" i="4"/>
  <c r="AM28" i="4"/>
  <c r="AC28" i="4"/>
  <c r="S28" i="4"/>
  <c r="I28" i="4"/>
  <c r="BG18" i="4"/>
  <c r="AW18" i="4"/>
  <c r="AM18" i="4"/>
  <c r="AC18" i="4"/>
  <c r="I18" i="4"/>
  <c r="BG17" i="4"/>
  <c r="AW17" i="4"/>
  <c r="AM17" i="4"/>
  <c r="AC17" i="4"/>
  <c r="I17" i="4"/>
  <c r="AW16" i="4"/>
  <c r="AM16" i="4"/>
  <c r="AC16" i="4"/>
  <c r="I16" i="4"/>
  <c r="BG15" i="4"/>
  <c r="AW15" i="4"/>
  <c r="AM15" i="4"/>
  <c r="AC15" i="4"/>
  <c r="I15" i="4"/>
  <c r="AW14" i="4"/>
  <c r="AM14" i="4"/>
  <c r="AC14" i="4"/>
  <c r="I14" i="4"/>
  <c r="BG13" i="4"/>
  <c r="AW13" i="4"/>
  <c r="AM13" i="4"/>
  <c r="AC13" i="4"/>
  <c r="I13" i="4"/>
  <c r="BG12" i="4"/>
  <c r="AW12" i="4"/>
  <c r="AM12" i="4"/>
  <c r="AC12" i="4"/>
  <c r="I12" i="4"/>
  <c r="BG11" i="4"/>
  <c r="AW11" i="4"/>
  <c r="AM11" i="4"/>
  <c r="AC11" i="4"/>
  <c r="I11" i="4"/>
  <c r="BG10" i="4"/>
  <c r="AW10" i="4"/>
  <c r="AM10" i="4"/>
  <c r="AC10" i="4"/>
  <c r="I10" i="4"/>
  <c r="BG9" i="4"/>
  <c r="AW9" i="4"/>
  <c r="AM9" i="4"/>
  <c r="AC9" i="4"/>
  <c r="I9" i="4"/>
  <c r="BG8" i="4"/>
  <c r="AW8" i="4"/>
  <c r="AM8" i="4"/>
  <c r="AC8" i="4"/>
  <c r="I8" i="4"/>
  <c r="BG7" i="4"/>
  <c r="AW7" i="4"/>
  <c r="AM7" i="4"/>
  <c r="AC7" i="4"/>
  <c r="I7" i="4"/>
  <c r="Q81" i="9"/>
  <c r="G81" i="9"/>
  <c r="Q80" i="9"/>
  <c r="G80" i="9"/>
  <c r="Q79" i="9"/>
  <c r="G79" i="9"/>
  <c r="Q78" i="9"/>
  <c r="G78" i="9"/>
  <c r="Q77" i="9"/>
  <c r="G77" i="9"/>
  <c r="Q76" i="9"/>
  <c r="G76" i="9"/>
  <c r="Q75" i="9"/>
  <c r="G75" i="9"/>
  <c r="Q74" i="9"/>
  <c r="G74" i="9"/>
  <c r="Q73" i="9"/>
  <c r="G73" i="9"/>
  <c r="Q72" i="9"/>
  <c r="G72" i="9"/>
  <c r="Q71" i="9"/>
  <c r="G71" i="9"/>
  <c r="Q70" i="9"/>
  <c r="G70" i="9"/>
  <c r="AM60" i="9"/>
  <c r="AC60" i="9"/>
  <c r="S60" i="9"/>
  <c r="I60" i="9"/>
  <c r="AM59" i="9"/>
  <c r="AC59" i="9"/>
  <c r="S59" i="9"/>
  <c r="I59" i="9"/>
  <c r="AM58" i="9"/>
  <c r="AC58" i="9"/>
  <c r="S58" i="9"/>
  <c r="I58" i="9"/>
  <c r="AM57" i="9"/>
  <c r="AC57" i="9"/>
  <c r="S57" i="9"/>
  <c r="I57" i="9"/>
  <c r="AM56" i="9"/>
  <c r="AC56" i="9"/>
  <c r="S56" i="9"/>
  <c r="I56" i="9"/>
  <c r="AM55" i="9"/>
  <c r="AC55" i="9"/>
  <c r="S55" i="9"/>
  <c r="I55" i="9"/>
  <c r="AM54" i="9"/>
  <c r="AC54" i="9"/>
  <c r="S54" i="9"/>
  <c r="I54" i="9"/>
  <c r="AM53" i="9"/>
  <c r="AC53" i="9"/>
  <c r="S53" i="9"/>
  <c r="I53" i="9"/>
  <c r="AM52" i="9"/>
  <c r="AC52" i="9"/>
  <c r="S52" i="9"/>
  <c r="I52" i="9"/>
  <c r="AM51" i="9"/>
  <c r="AC51" i="9"/>
  <c r="S51" i="9"/>
  <c r="I51" i="9"/>
  <c r="AM50" i="9"/>
  <c r="AC50" i="9"/>
  <c r="S50" i="9"/>
  <c r="I50" i="9"/>
  <c r="AM49" i="9"/>
  <c r="AC49" i="9"/>
  <c r="S49" i="9"/>
  <c r="I49" i="9"/>
  <c r="BG39" i="9"/>
  <c r="AW39" i="9"/>
  <c r="AM39" i="9"/>
  <c r="AC39" i="9"/>
  <c r="BG38" i="9"/>
  <c r="AW38" i="9"/>
  <c r="AM38" i="9"/>
  <c r="AC38" i="9"/>
  <c r="BG37" i="9"/>
  <c r="AW37" i="9"/>
  <c r="AM37" i="9"/>
  <c r="AC37" i="9"/>
  <c r="BG36" i="9"/>
  <c r="AW36" i="9"/>
  <c r="AM36" i="9"/>
  <c r="AC36" i="9"/>
  <c r="BG35" i="9"/>
  <c r="AW35" i="9"/>
  <c r="AC35" i="9"/>
  <c r="BG34" i="9"/>
  <c r="AW34" i="9"/>
  <c r="AC34" i="9"/>
  <c r="BG33" i="9"/>
  <c r="AW33" i="9"/>
  <c r="AM33" i="9"/>
  <c r="AC33" i="9"/>
  <c r="BG32" i="9"/>
  <c r="AW32" i="9"/>
  <c r="AM32" i="9"/>
  <c r="AC32" i="9"/>
  <c r="BG31" i="9"/>
  <c r="AW31" i="9"/>
  <c r="AM31" i="9"/>
  <c r="AC31" i="9"/>
  <c r="BG30" i="9"/>
  <c r="AW30" i="9"/>
  <c r="AM30" i="9"/>
  <c r="AC30" i="9"/>
  <c r="BG29" i="9"/>
  <c r="AW29" i="9"/>
  <c r="AM29" i="9"/>
  <c r="AC29" i="9"/>
  <c r="BG28" i="9"/>
  <c r="AW28" i="9"/>
  <c r="AM28" i="9"/>
  <c r="AC28" i="9"/>
  <c r="AW18" i="9"/>
  <c r="S18" i="9"/>
  <c r="I18" i="9"/>
  <c r="AW17" i="9"/>
  <c r="S17" i="9"/>
  <c r="I17" i="9"/>
  <c r="AW16" i="9"/>
  <c r="S16" i="9"/>
  <c r="I16" i="9"/>
  <c r="AW15" i="9"/>
  <c r="S15" i="9"/>
  <c r="I15" i="9"/>
  <c r="AW14" i="9"/>
  <c r="S14" i="9"/>
  <c r="I14" i="9"/>
  <c r="AW13" i="9"/>
  <c r="S13" i="9"/>
  <c r="I13" i="9"/>
  <c r="AW12" i="9"/>
  <c r="S12" i="9"/>
  <c r="I12" i="9"/>
  <c r="AW11" i="9"/>
  <c r="S11" i="9"/>
  <c r="I11" i="9"/>
  <c r="AW10" i="9"/>
  <c r="S10" i="9"/>
  <c r="I10" i="9"/>
  <c r="AW9" i="9"/>
  <c r="S9" i="9"/>
  <c r="I9" i="9"/>
  <c r="BG8" i="9"/>
  <c r="AW8" i="9"/>
  <c r="S8" i="9"/>
  <c r="I8" i="9"/>
  <c r="BG7" i="9"/>
  <c r="AW7" i="9"/>
  <c r="S7" i="9"/>
  <c r="I7" i="9"/>
  <c r="Q81" i="7"/>
  <c r="G81" i="7"/>
  <c r="Q80" i="7"/>
  <c r="G80" i="7"/>
  <c r="Q79" i="7"/>
  <c r="G79" i="7"/>
  <c r="Q78" i="7"/>
  <c r="G78" i="7"/>
  <c r="Q77" i="7"/>
  <c r="G77" i="7"/>
  <c r="Q76" i="7"/>
  <c r="G76" i="7"/>
  <c r="Q75" i="7"/>
  <c r="G75" i="7"/>
  <c r="Q74" i="7"/>
  <c r="G74" i="7"/>
  <c r="Q73" i="7"/>
  <c r="G73" i="7"/>
  <c r="Q72" i="7"/>
  <c r="G72" i="7"/>
  <c r="Q71" i="7"/>
  <c r="G71" i="7"/>
  <c r="Q70" i="7"/>
  <c r="G70" i="7"/>
  <c r="AM60" i="7"/>
  <c r="AC60" i="7"/>
  <c r="S60" i="7"/>
  <c r="I60" i="7"/>
  <c r="AM59" i="7"/>
  <c r="AC59" i="7"/>
  <c r="S59" i="7"/>
  <c r="I59" i="7"/>
  <c r="AM58" i="7"/>
  <c r="AC58" i="7"/>
  <c r="S58" i="7"/>
  <c r="I58" i="7"/>
  <c r="AM57" i="7"/>
  <c r="AC57" i="7"/>
  <c r="S57" i="7"/>
  <c r="I57" i="7"/>
  <c r="AM56" i="7"/>
  <c r="AC56" i="7"/>
  <c r="S56" i="7"/>
  <c r="I56" i="7"/>
  <c r="AM55" i="7"/>
  <c r="AC55" i="7"/>
  <c r="S55" i="7"/>
  <c r="I55" i="7"/>
  <c r="AM54" i="7"/>
  <c r="AC54" i="7"/>
  <c r="S54" i="7"/>
  <c r="I54" i="7"/>
  <c r="AM53" i="7"/>
  <c r="AC53" i="7"/>
  <c r="S53" i="7"/>
  <c r="I53" i="7"/>
  <c r="AM52" i="7"/>
  <c r="AC52" i="7"/>
  <c r="S52" i="7"/>
  <c r="I52" i="7"/>
  <c r="AM51" i="7"/>
  <c r="AC51" i="7"/>
  <c r="S51" i="7"/>
  <c r="I51" i="7"/>
  <c r="AM50" i="7"/>
  <c r="AC50" i="7"/>
  <c r="S50" i="7"/>
  <c r="I50" i="7"/>
  <c r="AM49" i="7"/>
  <c r="AC49" i="7"/>
  <c r="S49" i="7"/>
  <c r="I49" i="7"/>
  <c r="BG39" i="7"/>
  <c r="AW39" i="7"/>
  <c r="AM39" i="7"/>
  <c r="AC39" i="7"/>
  <c r="BG38" i="7"/>
  <c r="AW38" i="7"/>
  <c r="AM38" i="7"/>
  <c r="AC38" i="7"/>
  <c r="BG37" i="7"/>
  <c r="AW37" i="7"/>
  <c r="AM37" i="7"/>
  <c r="AC37" i="7"/>
  <c r="I37" i="7"/>
  <c r="BG36" i="7"/>
  <c r="AW36" i="7"/>
  <c r="AM36" i="7"/>
  <c r="AC36" i="7"/>
  <c r="BG35" i="7"/>
  <c r="AW35" i="7"/>
  <c r="AC35" i="7"/>
  <c r="BG34" i="7"/>
  <c r="AW34" i="7"/>
  <c r="AC34" i="7"/>
  <c r="BG33" i="7"/>
  <c r="AW33" i="7"/>
  <c r="AM33" i="7"/>
  <c r="AC33" i="7"/>
  <c r="BG32" i="7"/>
  <c r="AW32" i="7"/>
  <c r="AM32" i="7"/>
  <c r="AC32" i="7"/>
  <c r="BG31" i="7"/>
  <c r="AW31" i="7"/>
  <c r="AM31" i="7"/>
  <c r="AC31" i="7"/>
  <c r="S31" i="7"/>
  <c r="I31" i="7"/>
  <c r="BG30" i="7"/>
  <c r="AW30" i="7"/>
  <c r="AM30" i="7"/>
  <c r="AC30" i="7"/>
  <c r="S30" i="7"/>
  <c r="I30" i="7"/>
  <c r="BG29" i="7"/>
  <c r="AW29" i="7"/>
  <c r="AM29" i="7"/>
  <c r="AC29" i="7"/>
  <c r="BG28" i="7"/>
  <c r="AW28" i="7"/>
  <c r="AM28" i="7"/>
  <c r="AC28" i="7"/>
  <c r="BG18" i="7"/>
  <c r="AW18" i="7"/>
  <c r="S18" i="7"/>
  <c r="I18" i="7"/>
  <c r="BG17" i="7"/>
  <c r="AW17" i="7"/>
  <c r="S17" i="7"/>
  <c r="I17" i="7"/>
  <c r="BG16" i="7"/>
  <c r="AW16" i="7"/>
  <c r="S16" i="7"/>
  <c r="I16" i="7"/>
  <c r="AW15" i="7"/>
  <c r="S15" i="7"/>
  <c r="I15" i="7"/>
  <c r="S14" i="7"/>
  <c r="I14" i="7"/>
  <c r="AW13" i="7"/>
  <c r="S13" i="7"/>
  <c r="I13" i="7"/>
  <c r="AW12" i="7"/>
  <c r="S12" i="7"/>
  <c r="I12" i="7"/>
  <c r="BG11" i="7"/>
  <c r="AW11" i="7"/>
  <c r="S11" i="7"/>
  <c r="I11" i="7"/>
  <c r="BG10" i="7"/>
  <c r="AW10" i="7"/>
  <c r="S10" i="7"/>
  <c r="I10" i="7"/>
  <c r="BG9" i="7"/>
  <c r="AW9" i="7"/>
  <c r="S9" i="7"/>
  <c r="I9" i="7"/>
  <c r="BG8" i="7"/>
  <c r="AW8" i="7"/>
  <c r="S8" i="7"/>
  <c r="BG7" i="7"/>
  <c r="I7" i="7"/>
  <c r="AC18" i="9"/>
  <c r="I34" i="7"/>
  <c r="BG10" i="9"/>
  <c r="AM16" i="9"/>
  <c r="AM12" i="7"/>
  <c r="AC17" i="9"/>
  <c r="S9" i="4"/>
  <c r="S32" i="7"/>
  <c r="S7" i="4"/>
  <c r="I30" i="9"/>
  <c r="G70" i="4"/>
  <c r="S30" i="9"/>
  <c r="BG15" i="9"/>
  <c r="AC8" i="9"/>
  <c r="AM13" i="7"/>
  <c r="S12" i="4"/>
  <c r="AM18" i="9"/>
  <c r="AC10" i="7"/>
  <c r="S39" i="7"/>
  <c r="S29" i="9"/>
  <c r="S36" i="9"/>
  <c r="BG16" i="9"/>
  <c r="S35" i="7"/>
  <c r="AM34" i="9"/>
  <c r="S37" i="7"/>
  <c r="BG13" i="9"/>
  <c r="AM11" i="9"/>
  <c r="AM12" i="9"/>
  <c r="I38" i="9"/>
  <c r="I31" i="9"/>
  <c r="AC7" i="7"/>
  <c r="AM32" i="4"/>
  <c r="S28" i="9"/>
  <c r="AM10" i="7"/>
  <c r="I33" i="9"/>
  <c r="AM34" i="4"/>
  <c r="S11" i="4"/>
  <c r="I39" i="7"/>
  <c r="AM8" i="9"/>
  <c r="AM9" i="7"/>
  <c r="AM16" i="7"/>
  <c r="I33" i="7"/>
  <c r="S33" i="7"/>
  <c r="AM9" i="9"/>
  <c r="S38" i="7"/>
  <c r="AC7" i="9"/>
  <c r="S34" i="7"/>
  <c r="BG14" i="9"/>
  <c r="BG12" i="9"/>
  <c r="S17" i="4"/>
  <c r="AM17" i="7"/>
  <c r="BG12" i="7"/>
  <c r="AM10" i="9"/>
  <c r="AC10" i="9"/>
  <c r="I8" i="7"/>
  <c r="S18" i="4"/>
  <c r="AM18" i="7"/>
  <c r="AM11" i="7"/>
  <c r="I28" i="9"/>
  <c r="AC15" i="7"/>
  <c r="BG11" i="9"/>
  <c r="AM14" i="7"/>
  <c r="AC16" i="7"/>
  <c r="AC12" i="9"/>
  <c r="BG15" i="7"/>
  <c r="S7" i="7"/>
  <c r="AM8" i="7"/>
  <c r="AM7" i="7"/>
  <c r="BG14" i="4"/>
  <c r="AC13" i="9"/>
  <c r="AC14" i="9"/>
  <c r="I32" i="9"/>
  <c r="S34" i="9"/>
  <c r="I35" i="9"/>
  <c r="I37" i="9"/>
  <c r="AC12" i="7"/>
  <c r="S39" i="9"/>
  <c r="AC18" i="7"/>
  <c r="S13" i="4"/>
  <c r="BG13" i="7"/>
  <c r="S15" i="4"/>
  <c r="AM13" i="9"/>
  <c r="S32" i="9"/>
  <c r="S8" i="4"/>
  <c r="AC11" i="7"/>
  <c r="AC14" i="7"/>
  <c r="AM14" i="9"/>
  <c r="I38" i="7"/>
  <c r="AM35" i="4"/>
  <c r="S14" i="4"/>
  <c r="AM35" i="9"/>
  <c r="AC13" i="7"/>
  <c r="AM36" i="4"/>
  <c r="I36" i="7"/>
  <c r="I35" i="7"/>
  <c r="AC17" i="7"/>
  <c r="I39" i="9"/>
  <c r="BG17" i="9"/>
  <c r="I29" i="9"/>
  <c r="AW14" i="7"/>
  <c r="AM17" i="9"/>
  <c r="BG14" i="7"/>
  <c r="S37" i="9"/>
  <c r="BG16" i="4"/>
  <c r="AM34" i="7"/>
  <c r="I36" i="9"/>
  <c r="AM35" i="7"/>
  <c r="S31" i="9"/>
  <c r="S16" i="4"/>
  <c r="AW7" i="7"/>
  <c r="AC9" i="9"/>
  <c r="I34" i="9"/>
  <c r="S28" i="7"/>
  <c r="AC9" i="7"/>
  <c r="BG18" i="9"/>
  <c r="AC8" i="7"/>
  <c r="AC11" i="9"/>
  <c r="BG9" i="9"/>
  <c r="I32" i="7"/>
  <c r="S35" i="9"/>
  <c r="S29" i="7"/>
  <c r="S10" i="4"/>
  <c r="AM37" i="4"/>
  <c r="S36" i="7"/>
  <c r="AM7" i="9"/>
  <c r="S33" i="9"/>
  <c r="AM15" i="7"/>
  <c r="AC16" i="9"/>
  <c r="S38" i="9"/>
  <c r="AC15" i="9"/>
  <c r="I29" i="7"/>
  <c r="AM15" i="9"/>
  <c r="I28" i="7"/>
  <c r="BF48" i="8" l="1"/>
  <c r="BE48" i="8"/>
  <c r="BF47" i="8"/>
  <c r="BE47" i="8"/>
  <c r="BF48" i="9"/>
  <c r="BE48" i="9"/>
  <c r="BF47" i="9"/>
  <c r="BE47" i="9"/>
  <c r="BF48" i="4"/>
  <c r="BE48" i="4"/>
  <c r="BF47" i="4"/>
  <c r="BE47" i="4"/>
  <c r="BF48" i="7"/>
  <c r="BE48" i="7"/>
  <c r="BF47" i="7"/>
  <c r="BE47" i="7"/>
  <c r="AV48" i="8"/>
  <c r="AU48" i="8"/>
  <c r="AV48" i="9"/>
  <c r="AU48" i="9"/>
  <c r="AV48" i="4"/>
  <c r="AU48" i="4"/>
  <c r="AV48" i="7"/>
  <c r="AU48" i="7"/>
  <c r="AV47" i="8"/>
  <c r="AU47" i="8"/>
  <c r="AV47" i="9"/>
  <c r="AU47" i="9"/>
  <c r="AV47" i="4"/>
  <c r="AU47" i="4"/>
  <c r="AV47" i="7"/>
  <c r="AU47" i="7"/>
  <c r="BF48" i="6"/>
  <c r="BE48" i="6"/>
  <c r="BF47" i="6"/>
  <c r="BE47" i="6"/>
  <c r="AV48" i="6"/>
  <c r="AU48" i="6"/>
  <c r="AV47" i="6"/>
  <c r="AU47" i="6"/>
  <c r="Q78" i="8"/>
  <c r="G78" i="8"/>
  <c r="Q77" i="8"/>
  <c r="G77" i="8"/>
  <c r="Q76" i="8"/>
  <c r="G76" i="8"/>
  <c r="Q75" i="8"/>
  <c r="G75" i="8"/>
  <c r="Q74" i="8"/>
  <c r="G74" i="8"/>
  <c r="Q73" i="8"/>
  <c r="G73" i="8"/>
  <c r="Q72" i="8"/>
  <c r="G72" i="8"/>
  <c r="Q71" i="8"/>
  <c r="G71" i="8"/>
  <c r="Q70" i="8"/>
  <c r="AM57" i="8"/>
  <c r="AC57" i="8"/>
  <c r="AM56" i="8"/>
  <c r="AC56" i="8"/>
  <c r="AM55" i="8"/>
  <c r="AC55" i="8"/>
  <c r="AM54" i="8"/>
  <c r="AC54" i="8"/>
  <c r="AM53" i="8"/>
  <c r="AC53" i="8"/>
  <c r="AM52" i="8"/>
  <c r="AC52" i="8"/>
  <c r="AM51" i="8"/>
  <c r="AC51" i="8"/>
  <c r="AM50" i="8"/>
  <c r="AC50" i="8"/>
  <c r="AM49" i="8"/>
  <c r="AC49" i="8"/>
  <c r="S36" i="8"/>
  <c r="I36" i="8"/>
  <c r="S35" i="8"/>
  <c r="I35" i="8"/>
  <c r="S34" i="8"/>
  <c r="I34" i="8"/>
  <c r="S33" i="8"/>
  <c r="I33" i="8"/>
  <c r="S32" i="8"/>
  <c r="I32" i="8"/>
  <c r="S31" i="8"/>
  <c r="I31" i="8"/>
  <c r="S30" i="8"/>
  <c r="I30" i="8"/>
  <c r="S29" i="8"/>
  <c r="I29" i="8"/>
  <c r="S28" i="8"/>
  <c r="I28" i="8"/>
  <c r="AM15" i="8"/>
  <c r="AC15" i="8"/>
  <c r="AM14" i="8"/>
  <c r="AC14" i="8"/>
  <c r="BG13" i="8"/>
  <c r="AM13" i="8"/>
  <c r="AC13" i="8"/>
  <c r="BG12" i="8"/>
  <c r="AM12" i="8"/>
  <c r="AC12" i="8"/>
  <c r="AM11" i="8"/>
  <c r="AC11" i="8"/>
  <c r="AM10" i="8"/>
  <c r="I10" i="8"/>
  <c r="AM9" i="8"/>
  <c r="AC9" i="8"/>
  <c r="AW8" i="8"/>
  <c r="AM8" i="8"/>
  <c r="AC8" i="8"/>
  <c r="AM7" i="8"/>
  <c r="AC7" i="8"/>
  <c r="I7" i="8"/>
  <c r="Q78" i="6"/>
  <c r="G78" i="6"/>
  <c r="Q77" i="6"/>
  <c r="G77" i="6"/>
  <c r="Q76" i="6"/>
  <c r="G76" i="6"/>
  <c r="Q75" i="6"/>
  <c r="G75" i="6"/>
  <c r="Q74" i="6"/>
  <c r="G74" i="6"/>
  <c r="Q73" i="6"/>
  <c r="G73" i="6"/>
  <c r="Q72" i="6"/>
  <c r="G72" i="6"/>
  <c r="Q71" i="6"/>
  <c r="G71" i="6"/>
  <c r="Q70" i="6"/>
  <c r="S57" i="6"/>
  <c r="I57" i="6"/>
  <c r="AM56" i="6"/>
  <c r="AC56" i="6"/>
  <c r="S56" i="6"/>
  <c r="I56" i="6"/>
  <c r="AM55" i="6"/>
  <c r="S55" i="6"/>
  <c r="I55" i="6"/>
  <c r="AM54" i="6"/>
  <c r="AC54" i="6"/>
  <c r="S54" i="6"/>
  <c r="I54" i="6"/>
  <c r="AM53" i="6"/>
  <c r="AC53" i="6"/>
  <c r="S53" i="6"/>
  <c r="I53" i="6"/>
  <c r="AM52" i="6"/>
  <c r="AC52" i="6"/>
  <c r="S52" i="6"/>
  <c r="I52" i="6"/>
  <c r="AC51" i="6"/>
  <c r="S51" i="6"/>
  <c r="I51" i="6"/>
  <c r="S50" i="6"/>
  <c r="I50" i="6"/>
  <c r="S49" i="6"/>
  <c r="I49" i="6"/>
  <c r="BG36" i="6"/>
  <c r="AW36" i="6"/>
  <c r="AM36" i="6"/>
  <c r="AC36" i="6"/>
  <c r="I36" i="6"/>
  <c r="BG35" i="6"/>
  <c r="AW35" i="6"/>
  <c r="AC35" i="6"/>
  <c r="I35" i="6"/>
  <c r="BG34" i="6"/>
  <c r="AW34" i="6"/>
  <c r="AC34" i="6"/>
  <c r="BG33" i="6"/>
  <c r="AW33" i="6"/>
  <c r="AC33" i="6"/>
  <c r="S33" i="6"/>
  <c r="I33" i="6"/>
  <c r="BG32" i="6"/>
  <c r="AW32" i="6"/>
  <c r="BG31" i="6"/>
  <c r="AW31" i="6"/>
  <c r="AM31" i="6"/>
  <c r="BG30" i="6"/>
  <c r="AW30" i="6"/>
  <c r="AM30" i="6"/>
  <c r="BG29" i="6"/>
  <c r="AW29" i="6"/>
  <c r="AM29" i="6"/>
  <c r="BG28" i="6"/>
  <c r="AM28" i="6"/>
  <c r="S28" i="6"/>
  <c r="I28" i="6"/>
  <c r="Q81" i="8"/>
  <c r="G81" i="8"/>
  <c r="Q80" i="8"/>
  <c r="G80" i="8"/>
  <c r="Q79" i="8"/>
  <c r="G79" i="8"/>
  <c r="AM60" i="8"/>
  <c r="AC60" i="8"/>
  <c r="AM59" i="8"/>
  <c r="AC59" i="8"/>
  <c r="AM58" i="8"/>
  <c r="AC58" i="8"/>
  <c r="S39" i="8"/>
  <c r="I39" i="8"/>
  <c r="S38" i="8"/>
  <c r="I38" i="8"/>
  <c r="S37" i="8"/>
  <c r="I37" i="8"/>
  <c r="AM18" i="8"/>
  <c r="AC18" i="8"/>
  <c r="AW17" i="8"/>
  <c r="AM17" i="8"/>
  <c r="AC17" i="8"/>
  <c r="I17" i="8"/>
  <c r="AM16" i="8"/>
  <c r="AC16" i="8"/>
  <c r="I16" i="8"/>
  <c r="Q81" i="6"/>
  <c r="G81" i="6"/>
  <c r="Q80" i="6"/>
  <c r="G80" i="6"/>
  <c r="Q79" i="6"/>
  <c r="G79" i="6"/>
  <c r="AM60" i="6"/>
  <c r="AC60" i="6"/>
  <c r="S60" i="6"/>
  <c r="I60" i="6"/>
  <c r="AM59" i="6"/>
  <c r="AC59" i="6"/>
  <c r="S59" i="6"/>
  <c r="I59" i="6"/>
  <c r="S58" i="6"/>
  <c r="I58" i="6"/>
  <c r="BG39" i="6"/>
  <c r="AW39" i="6"/>
  <c r="AM39" i="6"/>
  <c r="AC39" i="6"/>
  <c r="I39" i="6"/>
  <c r="BG38" i="6"/>
  <c r="AW38" i="6"/>
  <c r="AM38" i="6"/>
  <c r="I38" i="6"/>
  <c r="BG37" i="6"/>
  <c r="AW37" i="6"/>
  <c r="AM37" i="6"/>
  <c r="AC37" i="6"/>
  <c r="I37" i="6"/>
  <c r="AW15" i="8"/>
  <c r="S36" i="6"/>
  <c r="BG10" i="8"/>
  <c r="I17" i="6"/>
  <c r="AM36" i="8"/>
  <c r="AC10" i="8"/>
  <c r="AM37" i="8"/>
  <c r="BG18" i="8"/>
  <c r="AC18" i="6"/>
  <c r="S15" i="6"/>
  <c r="I16" i="6"/>
  <c r="BG16" i="8"/>
  <c r="AW11" i="6"/>
  <c r="I14" i="6"/>
  <c r="AW9" i="8"/>
  <c r="S8" i="8"/>
  <c r="S8" i="6"/>
  <c r="BG36" i="8"/>
  <c r="AW33" i="8"/>
  <c r="AM30" i="8"/>
  <c r="BG14" i="8"/>
  <c r="AC28" i="6"/>
  <c r="S7" i="6"/>
  <c r="I15" i="8"/>
  <c r="I30" i="6"/>
  <c r="S50" i="8"/>
  <c r="AC16" i="6"/>
  <c r="AM33" i="8"/>
  <c r="AC7" i="6"/>
  <c r="BG38" i="8"/>
  <c r="AW12" i="6"/>
  <c r="AC50" i="6"/>
  <c r="AW7" i="6"/>
  <c r="I32" i="6"/>
  <c r="S18" i="6"/>
  <c r="AC33" i="8"/>
  <c r="AC37" i="8"/>
  <c r="AW7" i="8"/>
  <c r="S16" i="8"/>
  <c r="BG13" i="6"/>
  <c r="BG15" i="8"/>
  <c r="AW28" i="8"/>
  <c r="I11" i="8"/>
  <c r="BG33" i="8"/>
  <c r="S15" i="8"/>
  <c r="AC34" i="8"/>
  <c r="AW16" i="6"/>
  <c r="AM32" i="8"/>
  <c r="AW18" i="8"/>
  <c r="AW11" i="8"/>
  <c r="AM12" i="6"/>
  <c r="AM31" i="8"/>
  <c r="I10" i="6"/>
  <c r="AW28" i="6"/>
  <c r="I57" i="8"/>
  <c r="S9" i="6"/>
  <c r="BG17" i="6"/>
  <c r="S16" i="6"/>
  <c r="AM34" i="6"/>
  <c r="S60" i="8"/>
  <c r="S18" i="8"/>
  <c r="I18" i="6"/>
  <c r="S34" i="6"/>
  <c r="AW13" i="6"/>
  <c r="S53" i="8"/>
  <c r="BG11" i="8"/>
  <c r="AW37" i="8"/>
  <c r="BG31" i="8"/>
  <c r="AC49" i="6"/>
  <c r="AC13" i="6"/>
  <c r="AM10" i="6"/>
  <c r="I13" i="6"/>
  <c r="AW15" i="6"/>
  <c r="I12" i="6"/>
  <c r="S13" i="8"/>
  <c r="AM14" i="6"/>
  <c r="BG8" i="6"/>
  <c r="AC29" i="6"/>
  <c r="AC32" i="6"/>
  <c r="I8" i="8"/>
  <c r="AC31" i="6"/>
  <c r="BG8" i="8"/>
  <c r="S9" i="8"/>
  <c r="S37" i="6"/>
  <c r="BG11" i="6"/>
  <c r="I29" i="6"/>
  <c r="AC29" i="8"/>
  <c r="I49" i="8"/>
  <c r="I55" i="8"/>
  <c r="BG10" i="6"/>
  <c r="BG34" i="8"/>
  <c r="AM39" i="8"/>
  <c r="AC31" i="8"/>
  <c r="AC14" i="6"/>
  <c r="AC57" i="6"/>
  <c r="AW32" i="8"/>
  <c r="AW9" i="6"/>
  <c r="S35" i="6"/>
  <c r="I7" i="6"/>
  <c r="I52" i="8"/>
  <c r="AW29" i="8"/>
  <c r="AM57" i="6"/>
  <c r="BG12" i="6"/>
  <c r="I60" i="8"/>
  <c r="I18" i="8"/>
  <c r="AM38" i="8"/>
  <c r="S56" i="8"/>
  <c r="AC9" i="6"/>
  <c r="AC28" i="8"/>
  <c r="AW13" i="8"/>
  <c r="I14" i="8"/>
  <c r="I13" i="8"/>
  <c r="AM28" i="8"/>
  <c r="AC10" i="6"/>
  <c r="AM51" i="6"/>
  <c r="AW14" i="8"/>
  <c r="S58" i="8"/>
  <c r="AC12" i="6"/>
  <c r="AM32" i="6"/>
  <c r="AM35" i="6"/>
  <c r="AW14" i="6"/>
  <c r="I59" i="8"/>
  <c r="AM50" i="6"/>
  <c r="AW36" i="8"/>
  <c r="S55" i="8"/>
  <c r="AW12" i="8"/>
  <c r="S13" i="6"/>
  <c r="AM7" i="6"/>
  <c r="I54" i="8"/>
  <c r="G70" i="6"/>
  <c r="S52" i="8"/>
  <c r="I50" i="8"/>
  <c r="S31" i="6"/>
  <c r="I9" i="6"/>
  <c r="AW18" i="6"/>
  <c r="AC35" i="8"/>
  <c r="AC58" i="6"/>
  <c r="S17" i="8"/>
  <c r="S10" i="6"/>
  <c r="I11" i="6"/>
  <c r="BG9" i="8"/>
  <c r="S10" i="8"/>
  <c r="AM18" i="6"/>
  <c r="I8" i="6"/>
  <c r="I9" i="8"/>
  <c r="S12" i="6"/>
  <c r="S11" i="8"/>
  <c r="I31" i="6"/>
  <c r="I58" i="8"/>
  <c r="BG39" i="8"/>
  <c r="S39" i="6"/>
  <c r="AM17" i="6"/>
  <c r="AC38" i="8"/>
  <c r="AM58" i="6"/>
  <c r="AM34" i="8"/>
  <c r="AC8" i="6"/>
  <c r="AM29" i="8"/>
  <c r="AW31" i="8"/>
  <c r="AC30" i="6"/>
  <c r="S11" i="6"/>
  <c r="I15" i="6"/>
  <c r="BG28" i="8"/>
  <c r="S59" i="8"/>
  <c r="AM13" i="6"/>
  <c r="I56" i="8"/>
  <c r="AW34" i="8"/>
  <c r="AM49" i="6"/>
  <c r="S38" i="6"/>
  <c r="BG7" i="8"/>
  <c r="AM9" i="6"/>
  <c r="S17" i="6"/>
  <c r="S54" i="8"/>
  <c r="AW17" i="6"/>
  <c r="S32" i="6"/>
  <c r="I12" i="8"/>
  <c r="BG9" i="6"/>
  <c r="BG16" i="6"/>
  <c r="AC11" i="6"/>
  <c r="AC36" i="8"/>
  <c r="BG32" i="8"/>
  <c r="AW39" i="8"/>
  <c r="BG18" i="6"/>
  <c r="BG29" i="8"/>
  <c r="AC17" i="6"/>
  <c r="BG30" i="8"/>
  <c r="AM35" i="8"/>
  <c r="BG17" i="8"/>
  <c r="AW16" i="8"/>
  <c r="BG15" i="6"/>
  <c r="AC15" i="6"/>
  <c r="AM16" i="6"/>
  <c r="G70" i="8"/>
  <c r="BG35" i="8"/>
  <c r="AC38" i="6"/>
  <c r="S51" i="8"/>
  <c r="S29" i="6"/>
  <c r="AW10" i="8"/>
  <c r="AW8" i="6"/>
  <c r="S14" i="8"/>
  <c r="AM33" i="6"/>
  <c r="S57" i="8"/>
  <c r="AW38" i="8"/>
  <c r="I53" i="8"/>
  <c r="BG37" i="8"/>
  <c r="S49" i="8"/>
  <c r="AW10" i="6"/>
  <c r="AM15" i="6"/>
  <c r="AW30" i="8"/>
  <c r="AM11" i="6"/>
  <c r="S14" i="6"/>
  <c r="AC30" i="8"/>
  <c r="AW35" i="8"/>
  <c r="AC55" i="6"/>
  <c r="S7" i="8"/>
  <c r="I51" i="8"/>
  <c r="BG7" i="6"/>
  <c r="AC39" i="8"/>
  <c r="S12" i="8"/>
  <c r="S30" i="6"/>
  <c r="AC32" i="8"/>
  <c r="I34" i="6"/>
  <c r="BG14" i="6"/>
  <c r="AM8" i="6"/>
  <c r="AC51" i="5" l="1"/>
  <c r="I57" i="5"/>
  <c r="I55" i="5"/>
  <c r="S34" i="5"/>
  <c r="AM35" i="5"/>
  <c r="BG36" i="5"/>
  <c r="I54" i="5"/>
  <c r="I56" i="5"/>
  <c r="AC59" i="5"/>
  <c r="AC16" i="5"/>
  <c r="AC38" i="5"/>
  <c r="I37" i="5"/>
  <c r="AW17" i="5"/>
  <c r="AW39" i="5"/>
  <c r="AM54" i="5"/>
  <c r="AM56" i="5"/>
  <c r="S16" i="5"/>
  <c r="AM17" i="5"/>
  <c r="BG18" i="5"/>
  <c r="S38" i="5"/>
  <c r="AM39" i="5"/>
  <c r="S59" i="5"/>
  <c r="I34" i="5"/>
  <c r="AC35" i="5"/>
  <c r="AW36" i="5"/>
  <c r="AM53" i="5"/>
  <c r="BG16" i="5"/>
  <c r="BG38" i="5"/>
  <c r="S58" i="5"/>
  <c r="S60" i="5"/>
  <c r="S12" i="5"/>
  <c r="AM13" i="5"/>
  <c r="BG14" i="5"/>
  <c r="S28" i="5"/>
  <c r="AC33" i="5"/>
  <c r="AW34" i="5"/>
  <c r="I36" i="5"/>
  <c r="AM52" i="5"/>
  <c r="AM37" i="5"/>
  <c r="S18" i="5"/>
  <c r="S55" i="5"/>
  <c r="S57" i="5"/>
  <c r="AM55" i="5"/>
  <c r="AM57" i="5"/>
  <c r="I13" i="5"/>
  <c r="AW15" i="5"/>
  <c r="I15" i="5"/>
  <c r="AC12" i="5"/>
  <c r="AW13" i="5"/>
  <c r="AC14" i="5"/>
  <c r="BG17" i="5"/>
  <c r="S37" i="5"/>
  <c r="BG39" i="5"/>
  <c r="AM59" i="5"/>
  <c r="AM14" i="5"/>
  <c r="BG15" i="5"/>
  <c r="AC34" i="5"/>
  <c r="AW35" i="5"/>
  <c r="AW16" i="5"/>
  <c r="I18" i="5"/>
  <c r="AC37" i="5"/>
  <c r="AW38" i="5"/>
  <c r="I58" i="5"/>
  <c r="I60" i="5"/>
  <c r="I12" i="5"/>
  <c r="AC13" i="5"/>
  <c r="AW14" i="5"/>
  <c r="I28" i="5"/>
  <c r="S33" i="5"/>
  <c r="AM34" i="5"/>
  <c r="BG35" i="5"/>
  <c r="AC52" i="5"/>
  <c r="AC54" i="5"/>
  <c r="AC56" i="5"/>
  <c r="S17" i="5"/>
  <c r="S39" i="5"/>
  <c r="AM60" i="5"/>
  <c r="BG13" i="5"/>
  <c r="AW33" i="5"/>
  <c r="AM18" i="5"/>
  <c r="BG37" i="5"/>
  <c r="AM58" i="5"/>
  <c r="AM12" i="5"/>
  <c r="S15" i="5"/>
  <c r="I35" i="5"/>
  <c r="AC36" i="5"/>
  <c r="I16" i="5"/>
  <c r="AC17" i="5"/>
  <c r="AW18" i="5"/>
  <c r="I38" i="5"/>
  <c r="AC39" i="5"/>
  <c r="I59" i="5"/>
  <c r="AW12" i="5"/>
  <c r="I14" i="5"/>
  <c r="AC15" i="5"/>
  <c r="BG33" i="5"/>
  <c r="S35" i="5"/>
  <c r="AM36" i="5"/>
  <c r="AC53" i="5"/>
  <c r="AC55" i="5"/>
  <c r="AC57" i="5"/>
  <c r="AM16" i="5"/>
  <c r="AM38" i="5"/>
  <c r="S13" i="5"/>
  <c r="I33" i="5"/>
  <c r="J120" i="10"/>
  <c r="N119" i="10"/>
  <c r="M119" i="10"/>
  <c r="L119" i="10"/>
  <c r="K119" i="10"/>
  <c r="J119" i="10"/>
  <c r="K120" i="10"/>
  <c r="L120" i="10"/>
  <c r="M120" i="10"/>
  <c r="N120" i="10"/>
  <c r="I17" i="5"/>
  <c r="AC18" i="5"/>
  <c r="AW37" i="5"/>
  <c r="I39" i="5"/>
  <c r="AC58" i="5"/>
  <c r="AC60" i="5"/>
  <c r="AM33" i="5"/>
  <c r="BG34" i="5"/>
  <c r="S36" i="5"/>
  <c r="BG12" i="5"/>
  <c r="S14" i="5"/>
  <c r="AM15" i="5"/>
  <c r="S54" i="5"/>
  <c r="S56" i="5"/>
  <c r="AC28" i="5"/>
  <c r="AW7" i="5"/>
  <c r="AW8" i="5"/>
  <c r="I9" i="5"/>
  <c r="AC30" i="5"/>
  <c r="AW10" i="5"/>
  <c r="S11" i="5"/>
  <c r="AM32" i="5"/>
  <c r="BG7" i="5"/>
  <c r="BG8" i="5"/>
  <c r="S9" i="5"/>
  <c r="AM51" i="5"/>
  <c r="BG10" i="5"/>
  <c r="AC11" i="5"/>
  <c r="I29" i="5"/>
  <c r="AC9" i="5"/>
  <c r="I31" i="5"/>
  <c r="AM11" i="5"/>
  <c r="S7" i="5"/>
  <c r="S29" i="5"/>
  <c r="AM9" i="5"/>
  <c r="S31" i="5"/>
  <c r="AW11" i="5"/>
  <c r="AC7" i="5"/>
  <c r="I8" i="5"/>
  <c r="AC29" i="5"/>
  <c r="AW9" i="5"/>
  <c r="I10" i="5"/>
  <c r="AC31" i="5"/>
  <c r="BG11" i="5"/>
  <c r="AW28" i="5"/>
  <c r="S8" i="5"/>
  <c r="AC50" i="5"/>
  <c r="BG9" i="5"/>
  <c r="S10" i="5"/>
  <c r="I32" i="5"/>
  <c r="AM7" i="5"/>
  <c r="AC49" i="5"/>
  <c r="AC8" i="5"/>
  <c r="AM50" i="5"/>
  <c r="I30" i="5"/>
  <c r="AC10" i="5"/>
  <c r="S32" i="5"/>
  <c r="I7" i="5"/>
  <c r="B7" i="5"/>
  <c r="AM49" i="5"/>
  <c r="AM8" i="5"/>
  <c r="S30" i="5"/>
  <c r="AM10" i="5"/>
  <c r="I11" i="5"/>
  <c r="AC32" i="5"/>
  <c r="AW30" i="5"/>
  <c r="BG30" i="5"/>
  <c r="I50" i="5"/>
  <c r="I53" i="5"/>
  <c r="AM31" i="5"/>
  <c r="I51" i="5"/>
  <c r="S53" i="5"/>
  <c r="AM29" i="5"/>
  <c r="BG31" i="5"/>
  <c r="S51" i="5"/>
  <c r="AW32" i="5"/>
  <c r="AW29" i="5"/>
  <c r="BG29" i="5"/>
  <c r="I52" i="5"/>
  <c r="AM30" i="5"/>
  <c r="S52" i="5"/>
  <c r="AM28" i="5"/>
  <c r="S50" i="5"/>
  <c r="BG28" i="5"/>
  <c r="AW31" i="5"/>
  <c r="BG32" i="5"/>
  <c r="I49" i="5"/>
  <c r="S49" i="5"/>
  <c r="G18" i="8"/>
  <c r="H18" i="8"/>
  <c r="AL61" i="4"/>
  <c r="AK61" i="4"/>
  <c r="AB61" i="4"/>
  <c r="AA61" i="4"/>
  <c r="R61" i="4"/>
  <c r="Q61" i="4"/>
  <c r="H61" i="4"/>
  <c r="G61" i="4"/>
  <c r="AL60" i="4"/>
  <c r="AK60" i="4"/>
  <c r="AB60" i="4"/>
  <c r="AA60" i="4"/>
  <c r="R60" i="4"/>
  <c r="Q60" i="4"/>
  <c r="H60" i="4"/>
  <c r="G60" i="4"/>
  <c r="AL59" i="4"/>
  <c r="AK59" i="4"/>
  <c r="AB59" i="4"/>
  <c r="AA59" i="4"/>
  <c r="R59" i="4"/>
  <c r="Q59" i="4"/>
  <c r="H59" i="4"/>
  <c r="G59" i="4"/>
  <c r="AL58" i="4"/>
  <c r="AK58" i="4"/>
  <c r="AB58" i="4"/>
  <c r="AA58" i="4"/>
  <c r="R58" i="4"/>
  <c r="Q58" i="4"/>
  <c r="H58" i="4"/>
  <c r="G58" i="4"/>
  <c r="AL57" i="4"/>
  <c r="AK57" i="4"/>
  <c r="AB57" i="4"/>
  <c r="AA57" i="4"/>
  <c r="R57" i="4"/>
  <c r="Q57" i="4"/>
  <c r="H57" i="4"/>
  <c r="G57" i="4"/>
  <c r="AL56" i="4"/>
  <c r="AK56" i="4"/>
  <c r="AB56" i="4"/>
  <c r="AA56" i="4"/>
  <c r="R56" i="4"/>
  <c r="Q56" i="4"/>
  <c r="H56" i="4"/>
  <c r="G56" i="4"/>
  <c r="AL55" i="4"/>
  <c r="AK55" i="4"/>
  <c r="AB55" i="4"/>
  <c r="AA55" i="4"/>
  <c r="R55" i="4"/>
  <c r="Q55" i="4"/>
  <c r="H55" i="4"/>
  <c r="G55" i="4"/>
  <c r="AL54" i="4"/>
  <c r="AK54" i="4"/>
  <c r="AB54" i="4"/>
  <c r="AA54" i="4"/>
  <c r="R54" i="4"/>
  <c r="Q54" i="4"/>
  <c r="H54" i="4"/>
  <c r="G54" i="4"/>
  <c r="AL53" i="4"/>
  <c r="AK53" i="4"/>
  <c r="AB53" i="4"/>
  <c r="AA53" i="4"/>
  <c r="R53" i="4"/>
  <c r="Q53" i="4"/>
  <c r="H53" i="4"/>
  <c r="G53" i="4"/>
  <c r="AL52" i="4"/>
  <c r="AK52" i="4"/>
  <c r="AB52" i="4"/>
  <c r="AA52" i="4"/>
  <c r="R52" i="4"/>
  <c r="Q52" i="4"/>
  <c r="H52" i="4"/>
  <c r="G52" i="4"/>
  <c r="AL51" i="4"/>
  <c r="AK51" i="4"/>
  <c r="AB51" i="4"/>
  <c r="AA51" i="4"/>
  <c r="R51" i="4"/>
  <c r="Q51" i="4"/>
  <c r="H51" i="4"/>
  <c r="G51" i="4"/>
  <c r="AL50" i="4"/>
  <c r="AK50" i="4"/>
  <c r="AB50" i="4"/>
  <c r="AA50" i="4"/>
  <c r="R50" i="4"/>
  <c r="Q50" i="4"/>
  <c r="H50" i="4"/>
  <c r="G50" i="4"/>
  <c r="AL49" i="4"/>
  <c r="AK49" i="4"/>
  <c r="AB49" i="4"/>
  <c r="AA49" i="4"/>
  <c r="R49" i="4"/>
  <c r="Q49" i="4"/>
  <c r="H49" i="4"/>
  <c r="G49" i="4"/>
  <c r="AL48" i="4"/>
  <c r="AK48" i="4"/>
  <c r="AB48" i="4"/>
  <c r="AA48" i="4"/>
  <c r="R48" i="4"/>
  <c r="Q48" i="4"/>
  <c r="H48" i="4"/>
  <c r="G48" i="4"/>
  <c r="AL47" i="4"/>
  <c r="AK47" i="4"/>
  <c r="AB47" i="4"/>
  <c r="AA47" i="4"/>
  <c r="R47" i="4"/>
  <c r="Q47" i="4"/>
  <c r="H47" i="4"/>
  <c r="G47" i="4"/>
  <c r="BF40" i="4"/>
  <c r="BE40" i="4"/>
  <c r="AV40" i="4"/>
  <c r="AU40" i="4"/>
  <c r="AL40" i="4"/>
  <c r="AK40" i="4"/>
  <c r="AB40" i="4"/>
  <c r="AA40" i="4"/>
  <c r="R40" i="4"/>
  <c r="Q40" i="4"/>
  <c r="H40" i="4"/>
  <c r="G40" i="4"/>
  <c r="BF39" i="4"/>
  <c r="BE39" i="4"/>
  <c r="AV39" i="4"/>
  <c r="AU39" i="4"/>
  <c r="AL39" i="4"/>
  <c r="AK39" i="4"/>
  <c r="AB39" i="4"/>
  <c r="AA39" i="4"/>
  <c r="R39" i="4"/>
  <c r="Q39" i="4"/>
  <c r="H39" i="4"/>
  <c r="G39" i="4"/>
  <c r="BF38" i="4"/>
  <c r="BE38" i="4"/>
  <c r="AV38" i="4"/>
  <c r="AU38" i="4"/>
  <c r="AL38" i="4"/>
  <c r="AK38" i="4"/>
  <c r="AB38" i="4"/>
  <c r="AA38" i="4"/>
  <c r="R38" i="4"/>
  <c r="Q38" i="4"/>
  <c r="H38" i="4"/>
  <c r="G38" i="4"/>
  <c r="BF37" i="4"/>
  <c r="BE37" i="4"/>
  <c r="AV37" i="4"/>
  <c r="AU37" i="4"/>
  <c r="AL37" i="4"/>
  <c r="AK37" i="4"/>
  <c r="AB37" i="4"/>
  <c r="AA37" i="4"/>
  <c r="R37" i="4"/>
  <c r="Q37" i="4"/>
  <c r="H37" i="4"/>
  <c r="G37" i="4"/>
  <c r="BF36" i="4"/>
  <c r="BE36" i="4"/>
  <c r="AV36" i="4"/>
  <c r="AU36" i="4"/>
  <c r="AL36" i="4"/>
  <c r="AK36" i="4"/>
  <c r="AB36" i="4"/>
  <c r="AA36" i="4"/>
  <c r="R36" i="4"/>
  <c r="Q36" i="4"/>
  <c r="H36" i="4"/>
  <c r="G36" i="4"/>
  <c r="BF35" i="4"/>
  <c r="BE35" i="4"/>
  <c r="AV35" i="4"/>
  <c r="AU35" i="4"/>
  <c r="AL35" i="4"/>
  <c r="AK35" i="4"/>
  <c r="AB35" i="4"/>
  <c r="AA35" i="4"/>
  <c r="R35" i="4"/>
  <c r="Q35" i="4"/>
  <c r="H35" i="4"/>
  <c r="G35" i="4"/>
  <c r="BF34" i="4"/>
  <c r="BE34" i="4"/>
  <c r="AV34" i="4"/>
  <c r="AU34" i="4"/>
  <c r="AL34" i="4"/>
  <c r="AK34" i="4"/>
  <c r="AB34" i="4"/>
  <c r="AA34" i="4"/>
  <c r="R34" i="4"/>
  <c r="Q34" i="4"/>
  <c r="H34" i="4"/>
  <c r="G34" i="4"/>
  <c r="BF33" i="4"/>
  <c r="BE33" i="4"/>
  <c r="AV33" i="4"/>
  <c r="AU33" i="4"/>
  <c r="AL33" i="4"/>
  <c r="AK33" i="4"/>
  <c r="AB33" i="4"/>
  <c r="AA33" i="4"/>
  <c r="R33" i="4"/>
  <c r="Q33" i="4"/>
  <c r="H33" i="4"/>
  <c r="G33" i="4"/>
  <c r="BF32" i="4"/>
  <c r="BE32" i="4"/>
  <c r="AV32" i="4"/>
  <c r="AU32" i="4"/>
  <c r="AL32" i="4"/>
  <c r="AK32" i="4"/>
  <c r="AB32" i="4"/>
  <c r="AA32" i="4"/>
  <c r="R32" i="4"/>
  <c r="Q32" i="4"/>
  <c r="H32" i="4"/>
  <c r="G32" i="4"/>
  <c r="BF31" i="4"/>
  <c r="BE31" i="4"/>
  <c r="AV31" i="4"/>
  <c r="AU31" i="4"/>
  <c r="AL31" i="4"/>
  <c r="AK31" i="4"/>
  <c r="AB31" i="4"/>
  <c r="AA31" i="4"/>
  <c r="R31" i="4"/>
  <c r="Q31" i="4"/>
  <c r="H31" i="4"/>
  <c r="G31" i="4"/>
  <c r="BF30" i="4"/>
  <c r="BE30" i="4"/>
  <c r="AV30" i="4"/>
  <c r="AU30" i="4"/>
  <c r="AL30" i="4"/>
  <c r="AK30" i="4"/>
  <c r="AB30" i="4"/>
  <c r="AA30" i="4"/>
  <c r="R30" i="4"/>
  <c r="Q30" i="4"/>
  <c r="H30" i="4"/>
  <c r="G30" i="4"/>
  <c r="BF29" i="4"/>
  <c r="BE29" i="4"/>
  <c r="AV29" i="4"/>
  <c r="AU29" i="4"/>
  <c r="AL29" i="4"/>
  <c r="AK29" i="4"/>
  <c r="AB29" i="4"/>
  <c r="AA29" i="4"/>
  <c r="R29" i="4"/>
  <c r="Q29" i="4"/>
  <c r="H29" i="4"/>
  <c r="G29" i="4"/>
  <c r="BF28" i="4"/>
  <c r="BE28" i="4"/>
  <c r="AV28" i="4"/>
  <c r="AU28" i="4"/>
  <c r="AL28" i="4"/>
  <c r="AK28" i="4"/>
  <c r="AB28" i="4"/>
  <c r="AA28" i="4"/>
  <c r="R28" i="4"/>
  <c r="Q28" i="4"/>
  <c r="H28" i="4"/>
  <c r="G28" i="4"/>
  <c r="BF27" i="4"/>
  <c r="BE27" i="4"/>
  <c r="AV27" i="4"/>
  <c r="AU27" i="4"/>
  <c r="AL27" i="4"/>
  <c r="AK27" i="4"/>
  <c r="AB27" i="4"/>
  <c r="AA27" i="4"/>
  <c r="R27" i="4"/>
  <c r="Q27" i="4"/>
  <c r="H27" i="4"/>
  <c r="G27" i="4"/>
  <c r="BF26" i="4"/>
  <c r="BE26" i="4"/>
  <c r="AV26" i="4"/>
  <c r="AU26" i="4"/>
  <c r="AL26" i="4"/>
  <c r="AK26" i="4"/>
  <c r="AB26" i="4"/>
  <c r="AA26" i="4"/>
  <c r="R26" i="4"/>
  <c r="Q26" i="4"/>
  <c r="H26" i="4"/>
  <c r="G26" i="4"/>
  <c r="BF19" i="4"/>
  <c r="BE19" i="4"/>
  <c r="AZ21" i="4" s="1"/>
  <c r="AV19" i="4"/>
  <c r="AU19" i="4"/>
  <c r="AL19" i="4"/>
  <c r="AK19" i="4"/>
  <c r="AB19" i="4"/>
  <c r="AA19" i="4"/>
  <c r="R19" i="4"/>
  <c r="Q19" i="4"/>
  <c r="H19" i="4"/>
  <c r="G19" i="4"/>
  <c r="BF18" i="4"/>
  <c r="BE18" i="4"/>
  <c r="AV18" i="4"/>
  <c r="AU18" i="4"/>
  <c r="AL18" i="4"/>
  <c r="AK18" i="4"/>
  <c r="AB18" i="4"/>
  <c r="AA18" i="4"/>
  <c r="R18" i="4"/>
  <c r="Q18" i="4"/>
  <c r="H18" i="4"/>
  <c r="G18" i="4"/>
  <c r="BF17" i="4"/>
  <c r="BE17" i="4"/>
  <c r="AV17" i="4"/>
  <c r="AU17" i="4"/>
  <c r="AL17" i="4"/>
  <c r="AK17" i="4"/>
  <c r="AB17" i="4"/>
  <c r="AA17" i="4"/>
  <c r="R17" i="4"/>
  <c r="Q17" i="4"/>
  <c r="H17" i="4"/>
  <c r="G17" i="4"/>
  <c r="BF16" i="4"/>
  <c r="BE16" i="4"/>
  <c r="AV16" i="4"/>
  <c r="AU16" i="4"/>
  <c r="AL16" i="4"/>
  <c r="AK16" i="4"/>
  <c r="AB16" i="4"/>
  <c r="AA16" i="4"/>
  <c r="R16" i="4"/>
  <c r="Q16" i="4"/>
  <c r="H16" i="4"/>
  <c r="G16" i="4"/>
  <c r="BF15" i="4"/>
  <c r="BE15" i="4"/>
  <c r="AV15" i="4"/>
  <c r="AU15" i="4"/>
  <c r="AL15" i="4"/>
  <c r="AK15" i="4"/>
  <c r="AB15" i="4"/>
  <c r="AA15" i="4"/>
  <c r="R15" i="4"/>
  <c r="Q15" i="4"/>
  <c r="H15" i="4"/>
  <c r="G15" i="4"/>
  <c r="BF14" i="4"/>
  <c r="BE14" i="4"/>
  <c r="AZ20" i="4" s="1"/>
  <c r="AV14" i="4"/>
  <c r="AU14" i="4"/>
  <c r="AL14" i="4"/>
  <c r="AK14" i="4"/>
  <c r="AB14" i="4"/>
  <c r="AA14" i="4"/>
  <c r="R14" i="4"/>
  <c r="Q14" i="4"/>
  <c r="H14" i="4"/>
  <c r="G14" i="4"/>
  <c r="BF13" i="4"/>
  <c r="BE13" i="4"/>
  <c r="AV13" i="4"/>
  <c r="AU13" i="4"/>
  <c r="AL13" i="4"/>
  <c r="AK13" i="4"/>
  <c r="AB13" i="4"/>
  <c r="AA13" i="4"/>
  <c r="R13" i="4"/>
  <c r="Q13" i="4"/>
  <c r="H13" i="4"/>
  <c r="G13" i="4"/>
  <c r="BF12" i="4"/>
  <c r="BE12" i="4"/>
  <c r="AV12" i="4"/>
  <c r="AU12" i="4"/>
  <c r="AL12" i="4"/>
  <c r="AK12" i="4"/>
  <c r="AB12" i="4"/>
  <c r="AA12" i="4"/>
  <c r="R12" i="4"/>
  <c r="Q12" i="4"/>
  <c r="H12" i="4"/>
  <c r="G12" i="4"/>
  <c r="BF11" i="4"/>
  <c r="BE11" i="4"/>
  <c r="AV11" i="4"/>
  <c r="AU11" i="4"/>
  <c r="AL11" i="4"/>
  <c r="AK11" i="4"/>
  <c r="AB11" i="4"/>
  <c r="AA11" i="4"/>
  <c r="R11" i="4"/>
  <c r="Q11" i="4"/>
  <c r="H11" i="4"/>
  <c r="G11" i="4"/>
  <c r="BF10" i="4"/>
  <c r="BE10" i="4"/>
  <c r="AV10" i="4"/>
  <c r="AU10" i="4"/>
  <c r="AL10" i="4"/>
  <c r="AK10" i="4"/>
  <c r="AB10" i="4"/>
  <c r="AA10" i="4"/>
  <c r="R10" i="4"/>
  <c r="Q10" i="4"/>
  <c r="H10" i="4"/>
  <c r="G10" i="4"/>
  <c r="BF9" i="4"/>
  <c r="BE9" i="4"/>
  <c r="AV9" i="4"/>
  <c r="AU9" i="4"/>
  <c r="AL9" i="4"/>
  <c r="AK9" i="4"/>
  <c r="AB9" i="4"/>
  <c r="AA9" i="4"/>
  <c r="R9" i="4"/>
  <c r="Q9" i="4"/>
  <c r="H9" i="4"/>
  <c r="G9" i="4"/>
  <c r="BF8" i="4"/>
  <c r="BE8" i="4"/>
  <c r="AV8" i="4"/>
  <c r="AU8" i="4"/>
  <c r="AL8" i="4"/>
  <c r="AK8" i="4"/>
  <c r="AB8" i="4"/>
  <c r="AA8" i="4"/>
  <c r="R8" i="4"/>
  <c r="Q8" i="4"/>
  <c r="H8" i="4"/>
  <c r="G8" i="4"/>
  <c r="BF7" i="4"/>
  <c r="BE7" i="4"/>
  <c r="AV7" i="4"/>
  <c r="AU7" i="4"/>
  <c r="AL7" i="4"/>
  <c r="AK7" i="4"/>
  <c r="AB7" i="4"/>
  <c r="AA7" i="4"/>
  <c r="R7" i="4"/>
  <c r="Q7" i="4"/>
  <c r="H7" i="4"/>
  <c r="G7" i="4"/>
  <c r="BF6" i="4"/>
  <c r="BE6" i="4"/>
  <c r="AV6" i="4"/>
  <c r="AU6" i="4"/>
  <c r="AL6" i="4"/>
  <c r="AK6" i="4"/>
  <c r="AB6" i="4"/>
  <c r="AA6" i="4"/>
  <c r="H6" i="4"/>
  <c r="G6" i="4"/>
  <c r="BF5" i="4"/>
  <c r="BE5" i="4"/>
  <c r="AV5" i="4"/>
  <c r="AU5" i="4"/>
  <c r="AL5" i="4"/>
  <c r="AK5" i="4"/>
  <c r="AB5" i="4"/>
  <c r="AA5" i="4"/>
  <c r="R5" i="4"/>
  <c r="Q5" i="4"/>
  <c r="H5" i="4"/>
  <c r="G5" i="4"/>
  <c r="AL61" i="9"/>
  <c r="AK61" i="9"/>
  <c r="AB61" i="9"/>
  <c r="AA61" i="9"/>
  <c r="R61" i="9"/>
  <c r="Q61" i="9"/>
  <c r="H61" i="9"/>
  <c r="G61" i="9"/>
  <c r="AL60" i="9"/>
  <c r="AK60" i="9"/>
  <c r="AB60" i="9"/>
  <c r="AA60" i="9"/>
  <c r="R60" i="9"/>
  <c r="Q60" i="9"/>
  <c r="H60" i="9"/>
  <c r="G60" i="9"/>
  <c r="AL59" i="9"/>
  <c r="AK59" i="9"/>
  <c r="AB59" i="9"/>
  <c r="AA59" i="9"/>
  <c r="R59" i="9"/>
  <c r="Q59" i="9"/>
  <c r="H59" i="9"/>
  <c r="G59" i="9"/>
  <c r="AL58" i="9"/>
  <c r="AK58" i="9"/>
  <c r="AB58" i="9"/>
  <c r="AA58" i="9"/>
  <c r="R58" i="9"/>
  <c r="Q58" i="9"/>
  <c r="H58" i="9"/>
  <c r="G58" i="9"/>
  <c r="AL57" i="9"/>
  <c r="AK57" i="9"/>
  <c r="AB57" i="9"/>
  <c r="AA57" i="9"/>
  <c r="R57" i="9"/>
  <c r="Q57" i="9"/>
  <c r="H57" i="9"/>
  <c r="G57" i="9"/>
  <c r="AL56" i="9"/>
  <c r="AK56" i="9"/>
  <c r="AB56" i="9"/>
  <c r="AA56" i="9"/>
  <c r="R56" i="9"/>
  <c r="Q56" i="9"/>
  <c r="H56" i="9"/>
  <c r="G56" i="9"/>
  <c r="AL55" i="9"/>
  <c r="AK55" i="9"/>
  <c r="AB55" i="9"/>
  <c r="AA55" i="9"/>
  <c r="R55" i="9"/>
  <c r="Q55" i="9"/>
  <c r="H55" i="9"/>
  <c r="G55" i="9"/>
  <c r="AL54" i="9"/>
  <c r="AK54" i="9"/>
  <c r="AB54" i="9"/>
  <c r="AA54" i="9"/>
  <c r="R54" i="9"/>
  <c r="Q54" i="9"/>
  <c r="H54" i="9"/>
  <c r="G54" i="9"/>
  <c r="AL53" i="9"/>
  <c r="AK53" i="9"/>
  <c r="AB53" i="9"/>
  <c r="AA53" i="9"/>
  <c r="R53" i="9"/>
  <c r="Q53" i="9"/>
  <c r="H53" i="9"/>
  <c r="G53" i="9"/>
  <c r="AL52" i="9"/>
  <c r="AK52" i="9"/>
  <c r="AB52" i="9"/>
  <c r="AA52" i="9"/>
  <c r="R52" i="9"/>
  <c r="Q52" i="9"/>
  <c r="H52" i="9"/>
  <c r="G52" i="9"/>
  <c r="AL51" i="9"/>
  <c r="AK51" i="9"/>
  <c r="AB51" i="9"/>
  <c r="AA51" i="9"/>
  <c r="R51" i="9"/>
  <c r="Q51" i="9"/>
  <c r="H51" i="9"/>
  <c r="G51" i="9"/>
  <c r="AL50" i="9"/>
  <c r="AK50" i="9"/>
  <c r="AB50" i="9"/>
  <c r="AA50" i="9"/>
  <c r="R50" i="9"/>
  <c r="Q50" i="9"/>
  <c r="H50" i="9"/>
  <c r="G50" i="9"/>
  <c r="AL49" i="9"/>
  <c r="AK49" i="9"/>
  <c r="AB49" i="9"/>
  <c r="AA49" i="9"/>
  <c r="R49" i="9"/>
  <c r="Q49" i="9"/>
  <c r="H49" i="9"/>
  <c r="G49" i="9"/>
  <c r="AL47" i="9"/>
  <c r="AK47" i="9"/>
  <c r="AB47" i="9"/>
  <c r="AA47" i="9"/>
  <c r="R47" i="9"/>
  <c r="Q47" i="9"/>
  <c r="H47" i="9"/>
  <c r="G47" i="9"/>
  <c r="BF40" i="9"/>
  <c r="BE40" i="9"/>
  <c r="AV40" i="9"/>
  <c r="AU40" i="9"/>
  <c r="AL40" i="9"/>
  <c r="AK40" i="9"/>
  <c r="AB40" i="9"/>
  <c r="AA40" i="9"/>
  <c r="R40" i="9"/>
  <c r="Q40" i="9"/>
  <c r="H40" i="9"/>
  <c r="G40" i="9"/>
  <c r="BF39" i="9"/>
  <c r="BE39" i="9"/>
  <c r="AV39" i="9"/>
  <c r="AU39" i="9"/>
  <c r="AL39" i="9"/>
  <c r="AK39" i="9"/>
  <c r="AB39" i="9"/>
  <c r="AA39" i="9"/>
  <c r="R39" i="9"/>
  <c r="Q39" i="9"/>
  <c r="H39" i="9"/>
  <c r="G39" i="9"/>
  <c r="BF38" i="9"/>
  <c r="BE38" i="9"/>
  <c r="AV38" i="9"/>
  <c r="AU38" i="9"/>
  <c r="AL38" i="9"/>
  <c r="AK38" i="9"/>
  <c r="AB38" i="9"/>
  <c r="AA38" i="9"/>
  <c r="R38" i="9"/>
  <c r="Q38" i="9"/>
  <c r="H38" i="9"/>
  <c r="G38" i="9"/>
  <c r="BF37" i="9"/>
  <c r="BE37" i="9"/>
  <c r="AV37" i="9"/>
  <c r="AU37" i="9"/>
  <c r="AL37" i="9"/>
  <c r="AK37" i="9"/>
  <c r="AB37" i="9"/>
  <c r="AA37" i="9"/>
  <c r="R37" i="9"/>
  <c r="Q37" i="9"/>
  <c r="H37" i="9"/>
  <c r="G37" i="9"/>
  <c r="BF36" i="9"/>
  <c r="BE36" i="9"/>
  <c r="AV36" i="9"/>
  <c r="AU36" i="9"/>
  <c r="AL36" i="9"/>
  <c r="AK36" i="9"/>
  <c r="AB36" i="9"/>
  <c r="AA36" i="9"/>
  <c r="R36" i="9"/>
  <c r="Q36" i="9"/>
  <c r="H36" i="9"/>
  <c r="G36" i="9"/>
  <c r="BF35" i="9"/>
  <c r="BE35" i="9"/>
  <c r="AV35" i="9"/>
  <c r="AU35" i="9"/>
  <c r="AL35" i="9"/>
  <c r="AK35" i="9"/>
  <c r="AB35" i="9"/>
  <c r="AA35" i="9"/>
  <c r="R35" i="9"/>
  <c r="Q35" i="9"/>
  <c r="H35" i="9"/>
  <c r="G35" i="9"/>
  <c r="BF34" i="9"/>
  <c r="BE34" i="9"/>
  <c r="AV34" i="9"/>
  <c r="AU34" i="9"/>
  <c r="AL34" i="9"/>
  <c r="AK34" i="9"/>
  <c r="AB34" i="9"/>
  <c r="AA34" i="9"/>
  <c r="R34" i="9"/>
  <c r="Q34" i="9"/>
  <c r="H34" i="9"/>
  <c r="G34" i="9"/>
  <c r="BF33" i="9"/>
  <c r="BE33" i="9"/>
  <c r="AV33" i="9"/>
  <c r="AU33" i="9"/>
  <c r="AL33" i="9"/>
  <c r="AK33" i="9"/>
  <c r="AB33" i="9"/>
  <c r="AA33" i="9"/>
  <c r="R33" i="9"/>
  <c r="Q33" i="9"/>
  <c r="H33" i="9"/>
  <c r="G33" i="9"/>
  <c r="BF32" i="9"/>
  <c r="BE32" i="9"/>
  <c r="AV32" i="9"/>
  <c r="AU32" i="9"/>
  <c r="AL32" i="9"/>
  <c r="AK32" i="9"/>
  <c r="AB32" i="9"/>
  <c r="AA32" i="9"/>
  <c r="R32" i="9"/>
  <c r="Q32" i="9"/>
  <c r="H32" i="9"/>
  <c r="G32" i="9"/>
  <c r="BF31" i="9"/>
  <c r="BE31" i="9"/>
  <c r="AV31" i="9"/>
  <c r="AU31" i="9"/>
  <c r="AL31" i="9"/>
  <c r="AK31" i="9"/>
  <c r="AB31" i="9"/>
  <c r="AA31" i="9"/>
  <c r="R31" i="9"/>
  <c r="Q31" i="9"/>
  <c r="H31" i="9"/>
  <c r="G31" i="9"/>
  <c r="BF30" i="9"/>
  <c r="BE30" i="9"/>
  <c r="AV30" i="9"/>
  <c r="AU30" i="9"/>
  <c r="AL30" i="9"/>
  <c r="AK30" i="9"/>
  <c r="AB30" i="9"/>
  <c r="AA30" i="9"/>
  <c r="R30" i="9"/>
  <c r="Q30" i="9"/>
  <c r="H30" i="9"/>
  <c r="G30" i="9"/>
  <c r="BF29" i="9"/>
  <c r="BE29" i="9"/>
  <c r="AV29" i="9"/>
  <c r="AU29" i="9"/>
  <c r="AL29" i="9"/>
  <c r="AK29" i="9"/>
  <c r="AB29" i="9"/>
  <c r="AA29" i="9"/>
  <c r="R29" i="9"/>
  <c r="Q29" i="9"/>
  <c r="H29" i="9"/>
  <c r="G29" i="9"/>
  <c r="BF28" i="9"/>
  <c r="BE28" i="9"/>
  <c r="AV28" i="9"/>
  <c r="AU28" i="9"/>
  <c r="AL28" i="9"/>
  <c r="AK28" i="9"/>
  <c r="AB28" i="9"/>
  <c r="AA28" i="9"/>
  <c r="R28" i="9"/>
  <c r="Q28" i="9"/>
  <c r="H28" i="9"/>
  <c r="G28" i="9"/>
  <c r="BF26" i="9"/>
  <c r="BE26" i="9"/>
  <c r="AV26" i="9"/>
  <c r="AU26" i="9"/>
  <c r="AL26" i="9"/>
  <c r="AK26" i="9"/>
  <c r="AB26" i="9"/>
  <c r="AA26" i="9"/>
  <c r="R26" i="9"/>
  <c r="Q26" i="9"/>
  <c r="H26" i="9"/>
  <c r="G26" i="9"/>
  <c r="BF19" i="9"/>
  <c r="BE19" i="9"/>
  <c r="AZ21" i="9" s="1"/>
  <c r="AV19" i="9"/>
  <c r="AU19" i="9"/>
  <c r="AL19" i="9"/>
  <c r="AK19" i="9"/>
  <c r="AF21" i="9" s="1"/>
  <c r="AB19" i="9"/>
  <c r="AA19" i="9"/>
  <c r="V21" i="9" s="1"/>
  <c r="R19" i="9"/>
  <c r="Q19" i="9"/>
  <c r="H19" i="9"/>
  <c r="G19" i="9"/>
  <c r="BF18" i="9"/>
  <c r="BE18" i="9"/>
  <c r="AV18" i="9"/>
  <c r="AU18" i="9"/>
  <c r="AL18" i="9"/>
  <c r="AK18" i="9"/>
  <c r="AB18" i="9"/>
  <c r="AA18" i="9"/>
  <c r="R18" i="9"/>
  <c r="Q18" i="9"/>
  <c r="H18" i="9"/>
  <c r="G18" i="9"/>
  <c r="BF17" i="9"/>
  <c r="BE17" i="9"/>
  <c r="AV17" i="9"/>
  <c r="AU17" i="9"/>
  <c r="AL17" i="9"/>
  <c r="AK17" i="9"/>
  <c r="AB17" i="9"/>
  <c r="AA17" i="9"/>
  <c r="R17" i="9"/>
  <c r="Q17" i="9"/>
  <c r="H17" i="9"/>
  <c r="G17" i="9"/>
  <c r="BF16" i="9"/>
  <c r="BE16" i="9"/>
  <c r="AV16" i="9"/>
  <c r="AU16" i="9"/>
  <c r="AL16" i="9"/>
  <c r="AK16" i="9"/>
  <c r="AB16" i="9"/>
  <c r="AA16" i="9"/>
  <c r="R16" i="9"/>
  <c r="Q16" i="9"/>
  <c r="H16" i="9"/>
  <c r="G16" i="9"/>
  <c r="BF15" i="9"/>
  <c r="BE15" i="9"/>
  <c r="AV15" i="9"/>
  <c r="AU15" i="9"/>
  <c r="AL15" i="9"/>
  <c r="AK15" i="9"/>
  <c r="AB15" i="9"/>
  <c r="AA15" i="9"/>
  <c r="R15" i="9"/>
  <c r="Q15" i="9"/>
  <c r="H15" i="9"/>
  <c r="G15" i="9"/>
  <c r="BF14" i="9"/>
  <c r="BE14" i="9"/>
  <c r="AZ20" i="9" s="1"/>
  <c r="AV14" i="9"/>
  <c r="AU14" i="9"/>
  <c r="AL14" i="9"/>
  <c r="AK14" i="9"/>
  <c r="AF20" i="9" s="1"/>
  <c r="AB14" i="9"/>
  <c r="AA14" i="9"/>
  <c r="V20" i="9" s="1"/>
  <c r="R14" i="9"/>
  <c r="Q14" i="9"/>
  <c r="H14" i="9"/>
  <c r="G14" i="9"/>
  <c r="BF13" i="9"/>
  <c r="BE13" i="9"/>
  <c r="AV13" i="9"/>
  <c r="AU13" i="9"/>
  <c r="AL13" i="9"/>
  <c r="AK13" i="9"/>
  <c r="AB13" i="9"/>
  <c r="AA13" i="9"/>
  <c r="R13" i="9"/>
  <c r="Q13" i="9"/>
  <c r="H13" i="9"/>
  <c r="G13" i="9"/>
  <c r="BF12" i="9"/>
  <c r="BE12" i="9"/>
  <c r="AV12" i="9"/>
  <c r="AU12" i="9"/>
  <c r="AL12" i="9"/>
  <c r="AK12" i="9"/>
  <c r="AB12" i="9"/>
  <c r="AA12" i="9"/>
  <c r="R12" i="9"/>
  <c r="Q12" i="9"/>
  <c r="H12" i="9"/>
  <c r="G12" i="9"/>
  <c r="BF11" i="9"/>
  <c r="BE11" i="9"/>
  <c r="AV11" i="9"/>
  <c r="AU11" i="9"/>
  <c r="AL11" i="9"/>
  <c r="AK11" i="9"/>
  <c r="AB11" i="9"/>
  <c r="AA11" i="9"/>
  <c r="R11" i="9"/>
  <c r="Q11" i="9"/>
  <c r="H11" i="9"/>
  <c r="G11" i="9"/>
  <c r="BF10" i="9"/>
  <c r="BE10" i="9"/>
  <c r="AV10" i="9"/>
  <c r="AU10" i="9"/>
  <c r="AL10" i="9"/>
  <c r="AK10" i="9"/>
  <c r="AB10" i="9"/>
  <c r="AA10" i="9"/>
  <c r="R10" i="9"/>
  <c r="Q10" i="9"/>
  <c r="H10" i="9"/>
  <c r="G10" i="9"/>
  <c r="BF9" i="9"/>
  <c r="BE9" i="9"/>
  <c r="AV9" i="9"/>
  <c r="AU9" i="9"/>
  <c r="AL9" i="9"/>
  <c r="AK9" i="9"/>
  <c r="AB9" i="9"/>
  <c r="AA9" i="9"/>
  <c r="R9" i="9"/>
  <c r="Q9" i="9"/>
  <c r="H9" i="9"/>
  <c r="G9" i="9"/>
  <c r="BF8" i="9"/>
  <c r="BE8" i="9"/>
  <c r="AV8" i="9"/>
  <c r="AU8" i="9"/>
  <c r="AL8" i="9"/>
  <c r="AK8" i="9"/>
  <c r="AB8" i="9"/>
  <c r="AA8" i="9"/>
  <c r="R8" i="9"/>
  <c r="Q8" i="9"/>
  <c r="H8" i="9"/>
  <c r="G8" i="9"/>
  <c r="BF7" i="9"/>
  <c r="BE7" i="9"/>
  <c r="AV7" i="9"/>
  <c r="AU7" i="9"/>
  <c r="AL7" i="9"/>
  <c r="AK7" i="9"/>
  <c r="AB7" i="9"/>
  <c r="AA7" i="9"/>
  <c r="R7" i="9"/>
  <c r="Q7" i="9"/>
  <c r="H7" i="9"/>
  <c r="G7" i="9"/>
  <c r="BF5" i="9"/>
  <c r="BE5" i="9"/>
  <c r="AV5" i="9"/>
  <c r="AU5" i="9"/>
  <c r="AL5" i="9"/>
  <c r="AK5" i="9"/>
  <c r="AB5" i="9"/>
  <c r="AA5" i="9"/>
  <c r="R5" i="9"/>
  <c r="Q5" i="9"/>
  <c r="H5" i="9"/>
  <c r="G5" i="9"/>
  <c r="AL61" i="7"/>
  <c r="AK61" i="7"/>
  <c r="AB61" i="7"/>
  <c r="AA61" i="7"/>
  <c r="R61" i="7"/>
  <c r="Q61" i="7"/>
  <c r="H61" i="7"/>
  <c r="G61" i="7"/>
  <c r="AL60" i="7"/>
  <c r="AK60" i="7"/>
  <c r="AB60" i="7"/>
  <c r="AA60" i="7"/>
  <c r="R60" i="7"/>
  <c r="Q60" i="7"/>
  <c r="H60" i="7"/>
  <c r="G60" i="7"/>
  <c r="AL59" i="7"/>
  <c r="AK59" i="7"/>
  <c r="AB59" i="7"/>
  <c r="AA59" i="7"/>
  <c r="R59" i="7"/>
  <c r="Q59" i="7"/>
  <c r="H59" i="7"/>
  <c r="G59" i="7"/>
  <c r="AL58" i="7"/>
  <c r="AK58" i="7"/>
  <c r="AB58" i="7"/>
  <c r="AA58" i="7"/>
  <c r="R58" i="7"/>
  <c r="Q58" i="7"/>
  <c r="H58" i="7"/>
  <c r="G58" i="7"/>
  <c r="AL57" i="7"/>
  <c r="AK57" i="7"/>
  <c r="AB57" i="7"/>
  <c r="AA57" i="7"/>
  <c r="R57" i="7"/>
  <c r="Q57" i="7"/>
  <c r="H57" i="7"/>
  <c r="G57" i="7"/>
  <c r="AL56" i="7"/>
  <c r="AK56" i="7"/>
  <c r="AB56" i="7"/>
  <c r="AA56" i="7"/>
  <c r="R56" i="7"/>
  <c r="Q56" i="7"/>
  <c r="H56" i="7"/>
  <c r="G56" i="7"/>
  <c r="AL55" i="7"/>
  <c r="AK55" i="7"/>
  <c r="AB55" i="7"/>
  <c r="AA55" i="7"/>
  <c r="R55" i="7"/>
  <c r="Q55" i="7"/>
  <c r="H55" i="7"/>
  <c r="G55" i="7"/>
  <c r="AL54" i="7"/>
  <c r="AK54" i="7"/>
  <c r="AB54" i="7"/>
  <c r="AA54" i="7"/>
  <c r="R54" i="7"/>
  <c r="Q54" i="7"/>
  <c r="H54" i="7"/>
  <c r="G54" i="7"/>
  <c r="AL53" i="7"/>
  <c r="AK53" i="7"/>
  <c r="AB53" i="7"/>
  <c r="AA53" i="7"/>
  <c r="R53" i="7"/>
  <c r="Q53" i="7"/>
  <c r="H53" i="7"/>
  <c r="G53" i="7"/>
  <c r="AL52" i="7"/>
  <c r="AK52" i="7"/>
  <c r="AB52" i="7"/>
  <c r="AA52" i="7"/>
  <c r="R52" i="7"/>
  <c r="Q52" i="7"/>
  <c r="H52" i="7"/>
  <c r="G52" i="7"/>
  <c r="AL51" i="7"/>
  <c r="AK51" i="7"/>
  <c r="AB51" i="7"/>
  <c r="AA51" i="7"/>
  <c r="R51" i="7"/>
  <c r="Q51" i="7"/>
  <c r="H51" i="7"/>
  <c r="G51" i="7"/>
  <c r="AL50" i="7"/>
  <c r="AK50" i="7"/>
  <c r="AB50" i="7"/>
  <c r="AA50" i="7"/>
  <c r="R50" i="7"/>
  <c r="Q50" i="7"/>
  <c r="H50" i="7"/>
  <c r="G50" i="7"/>
  <c r="AL49" i="7"/>
  <c r="AK49" i="7"/>
  <c r="AB49" i="7"/>
  <c r="AA49" i="7"/>
  <c r="R49" i="7"/>
  <c r="Q49" i="7"/>
  <c r="H49" i="7"/>
  <c r="G49" i="7"/>
  <c r="AL47" i="7"/>
  <c r="AK47" i="7"/>
  <c r="AB47" i="7"/>
  <c r="AA47" i="7"/>
  <c r="R47" i="7"/>
  <c r="Q47" i="7"/>
  <c r="H47" i="7"/>
  <c r="G47" i="7"/>
  <c r="BF40" i="7"/>
  <c r="BE40" i="7"/>
  <c r="AV40" i="7"/>
  <c r="AU40" i="7"/>
  <c r="AL40" i="7"/>
  <c r="AK40" i="7"/>
  <c r="AF42" i="7" s="1"/>
  <c r="AB40" i="7"/>
  <c r="AA40" i="7"/>
  <c r="R40" i="7"/>
  <c r="Q40" i="7"/>
  <c r="L42" i="7" s="1"/>
  <c r="H40" i="7"/>
  <c r="G40" i="7"/>
  <c r="B42" i="7" s="1"/>
  <c r="BF39" i="7"/>
  <c r="BE39" i="7"/>
  <c r="AV39" i="7"/>
  <c r="AU39" i="7"/>
  <c r="AL39" i="7"/>
  <c r="AK39" i="7"/>
  <c r="AB39" i="7"/>
  <c r="AA39" i="7"/>
  <c r="R39" i="7"/>
  <c r="Q39" i="7"/>
  <c r="H39" i="7"/>
  <c r="G39" i="7"/>
  <c r="BF38" i="7"/>
  <c r="BE38" i="7"/>
  <c r="AV38" i="7"/>
  <c r="AU38" i="7"/>
  <c r="AL38" i="7"/>
  <c r="AK38" i="7"/>
  <c r="AB38" i="7"/>
  <c r="AA38" i="7"/>
  <c r="R38" i="7"/>
  <c r="Q38" i="7"/>
  <c r="H38" i="7"/>
  <c r="G38" i="7"/>
  <c r="BF37" i="7"/>
  <c r="BE37" i="7"/>
  <c r="AV37" i="7"/>
  <c r="AU37" i="7"/>
  <c r="AL37" i="7"/>
  <c r="AK37" i="7"/>
  <c r="AB37" i="7"/>
  <c r="AA37" i="7"/>
  <c r="R37" i="7"/>
  <c r="Q37" i="7"/>
  <c r="H37" i="7"/>
  <c r="G37" i="7"/>
  <c r="BF36" i="7"/>
  <c r="BE36" i="7"/>
  <c r="AV36" i="7"/>
  <c r="AU36" i="7"/>
  <c r="AL36" i="7"/>
  <c r="AK36" i="7"/>
  <c r="AB36" i="7"/>
  <c r="AA36" i="7"/>
  <c r="R36" i="7"/>
  <c r="Q36" i="7"/>
  <c r="H36" i="7"/>
  <c r="G36" i="7"/>
  <c r="BF35" i="7"/>
  <c r="BE35" i="7"/>
  <c r="AV35" i="7"/>
  <c r="AU35" i="7"/>
  <c r="AL35" i="7"/>
  <c r="AK35" i="7"/>
  <c r="AF41" i="7" s="1"/>
  <c r="AB35" i="7"/>
  <c r="AA35" i="7"/>
  <c r="R35" i="7"/>
  <c r="Q35" i="7"/>
  <c r="L41" i="7" s="1"/>
  <c r="H35" i="7"/>
  <c r="G35" i="7"/>
  <c r="B41" i="7" s="1"/>
  <c r="BF34" i="7"/>
  <c r="BE34" i="7"/>
  <c r="AV34" i="7"/>
  <c r="AU34" i="7"/>
  <c r="AL34" i="7"/>
  <c r="AK34" i="7"/>
  <c r="AB34" i="7"/>
  <c r="AA34" i="7"/>
  <c r="R34" i="7"/>
  <c r="Q34" i="7"/>
  <c r="H34" i="7"/>
  <c r="G34" i="7"/>
  <c r="BF33" i="7"/>
  <c r="BE33" i="7"/>
  <c r="AV33" i="7"/>
  <c r="AU33" i="7"/>
  <c r="AL33" i="7"/>
  <c r="AK33" i="7"/>
  <c r="AB33" i="7"/>
  <c r="AA33" i="7"/>
  <c r="R33" i="7"/>
  <c r="Q33" i="7"/>
  <c r="H33" i="7"/>
  <c r="G33" i="7"/>
  <c r="BF32" i="7"/>
  <c r="BE32" i="7"/>
  <c r="AV32" i="7"/>
  <c r="AU32" i="7"/>
  <c r="AL32" i="7"/>
  <c r="AK32" i="7"/>
  <c r="AB32" i="7"/>
  <c r="AA32" i="7"/>
  <c r="R32" i="7"/>
  <c r="Q32" i="7"/>
  <c r="H32" i="7"/>
  <c r="G32" i="7"/>
  <c r="BF31" i="7"/>
  <c r="BE31" i="7"/>
  <c r="AV31" i="7"/>
  <c r="AU31" i="7"/>
  <c r="AL31" i="7"/>
  <c r="AK31" i="7"/>
  <c r="AB31" i="7"/>
  <c r="AA31" i="7"/>
  <c r="R31" i="7"/>
  <c r="Q31" i="7"/>
  <c r="H31" i="7"/>
  <c r="G31" i="7"/>
  <c r="BF30" i="7"/>
  <c r="BE30" i="7"/>
  <c r="AV30" i="7"/>
  <c r="AU30" i="7"/>
  <c r="AL30" i="7"/>
  <c r="AK30" i="7"/>
  <c r="AB30" i="7"/>
  <c r="AA30" i="7"/>
  <c r="R30" i="7"/>
  <c r="Q30" i="7"/>
  <c r="H30" i="7"/>
  <c r="G30" i="7"/>
  <c r="BF29" i="7"/>
  <c r="BE29" i="7"/>
  <c r="AV29" i="7"/>
  <c r="AU29" i="7"/>
  <c r="AL29" i="7"/>
  <c r="AK29" i="7"/>
  <c r="AB29" i="7"/>
  <c r="AA29" i="7"/>
  <c r="R29" i="7"/>
  <c r="Q29" i="7"/>
  <c r="H29" i="7"/>
  <c r="G29" i="7"/>
  <c r="BF28" i="7"/>
  <c r="BE28" i="7"/>
  <c r="AV28" i="7"/>
  <c r="AU28" i="7"/>
  <c r="AL28" i="7"/>
  <c r="AK28" i="7"/>
  <c r="AB28" i="7"/>
  <c r="AA28" i="7"/>
  <c r="R28" i="7"/>
  <c r="Q28" i="7"/>
  <c r="H28" i="7"/>
  <c r="G28" i="7"/>
  <c r="BF26" i="7"/>
  <c r="BE26" i="7"/>
  <c r="AV26" i="7"/>
  <c r="AU26" i="7"/>
  <c r="AL26" i="7"/>
  <c r="AK26" i="7"/>
  <c r="AB26" i="7"/>
  <c r="AA26" i="7"/>
  <c r="R26" i="7"/>
  <c r="Q26" i="7"/>
  <c r="H26" i="7"/>
  <c r="G26" i="7"/>
  <c r="BF19" i="7"/>
  <c r="BE19" i="7"/>
  <c r="AZ21" i="7" s="1"/>
  <c r="AV19" i="7"/>
  <c r="AU19" i="7"/>
  <c r="AP21" i="7" s="1"/>
  <c r="AL19" i="7"/>
  <c r="AK19" i="7"/>
  <c r="AF21" i="7" s="1"/>
  <c r="AB19" i="7"/>
  <c r="AA19" i="7"/>
  <c r="V21" i="7" s="1"/>
  <c r="R19" i="7"/>
  <c r="Q19" i="7"/>
  <c r="L21" i="7" s="1"/>
  <c r="H19" i="7"/>
  <c r="G19" i="7"/>
  <c r="B21" i="7" s="1"/>
  <c r="BF18" i="7"/>
  <c r="BE18" i="7"/>
  <c r="AV18" i="7"/>
  <c r="AU18" i="7"/>
  <c r="AL18" i="7"/>
  <c r="AK18" i="7"/>
  <c r="AB18" i="7"/>
  <c r="AA18" i="7"/>
  <c r="R18" i="7"/>
  <c r="Q18" i="7"/>
  <c r="H18" i="7"/>
  <c r="G18" i="7"/>
  <c r="BF17" i="7"/>
  <c r="BE17" i="7"/>
  <c r="AV17" i="7"/>
  <c r="AU17" i="7"/>
  <c r="AL17" i="7"/>
  <c r="AK17" i="7"/>
  <c r="AB17" i="7"/>
  <c r="AA17" i="7"/>
  <c r="R17" i="7"/>
  <c r="Q17" i="7"/>
  <c r="H17" i="7"/>
  <c r="G17" i="7"/>
  <c r="BF16" i="7"/>
  <c r="BE16" i="7"/>
  <c r="AV16" i="7"/>
  <c r="AU16" i="7"/>
  <c r="AL16" i="7"/>
  <c r="AK16" i="7"/>
  <c r="AB16" i="7"/>
  <c r="AA16" i="7"/>
  <c r="R16" i="7"/>
  <c r="Q16" i="7"/>
  <c r="H16" i="7"/>
  <c r="G16" i="7"/>
  <c r="BF15" i="7"/>
  <c r="BE15" i="7"/>
  <c r="AV15" i="7"/>
  <c r="AU15" i="7"/>
  <c r="AL15" i="7"/>
  <c r="AK15" i="7"/>
  <c r="AB15" i="7"/>
  <c r="AA15" i="7"/>
  <c r="R15" i="7"/>
  <c r="Q15" i="7"/>
  <c r="H15" i="7"/>
  <c r="G15" i="7"/>
  <c r="BF14" i="7"/>
  <c r="BE14" i="7"/>
  <c r="AZ20" i="7" s="1"/>
  <c r="AV14" i="7"/>
  <c r="AU14" i="7"/>
  <c r="AP20" i="7" s="1"/>
  <c r="AL14" i="7"/>
  <c r="AK14" i="7"/>
  <c r="AF20" i="7" s="1"/>
  <c r="AB14" i="7"/>
  <c r="AA14" i="7"/>
  <c r="V20" i="7" s="1"/>
  <c r="R14" i="7"/>
  <c r="Q14" i="7"/>
  <c r="L20" i="7" s="1"/>
  <c r="H14" i="7"/>
  <c r="G14" i="7"/>
  <c r="B20" i="7" s="1"/>
  <c r="BF13" i="7"/>
  <c r="BE13" i="7"/>
  <c r="AV13" i="7"/>
  <c r="AU13" i="7"/>
  <c r="AL13" i="7"/>
  <c r="AK13" i="7"/>
  <c r="AB13" i="7"/>
  <c r="AA13" i="7"/>
  <c r="R13" i="7"/>
  <c r="Q13" i="7"/>
  <c r="H13" i="7"/>
  <c r="G13" i="7"/>
  <c r="BF12" i="7"/>
  <c r="BE12" i="7"/>
  <c r="AV12" i="7"/>
  <c r="AU12" i="7"/>
  <c r="AL12" i="7"/>
  <c r="AK12" i="7"/>
  <c r="AB12" i="7"/>
  <c r="AA12" i="7"/>
  <c r="R12" i="7"/>
  <c r="Q12" i="7"/>
  <c r="H12" i="7"/>
  <c r="G12" i="7"/>
  <c r="BF11" i="7"/>
  <c r="BE11" i="7"/>
  <c r="AV11" i="7"/>
  <c r="AU11" i="7"/>
  <c r="AL11" i="7"/>
  <c r="AK11" i="7"/>
  <c r="AB11" i="7"/>
  <c r="AA11" i="7"/>
  <c r="R11" i="7"/>
  <c r="Q11" i="7"/>
  <c r="H11" i="7"/>
  <c r="G11" i="7"/>
  <c r="BF10" i="7"/>
  <c r="BE10" i="7"/>
  <c r="AV10" i="7"/>
  <c r="AU10" i="7"/>
  <c r="AL10" i="7"/>
  <c r="AK10" i="7"/>
  <c r="AB10" i="7"/>
  <c r="AA10" i="7"/>
  <c r="R10" i="7"/>
  <c r="Q10" i="7"/>
  <c r="H10" i="7"/>
  <c r="G10" i="7"/>
  <c r="BF9" i="7"/>
  <c r="BE9" i="7"/>
  <c r="AV9" i="7"/>
  <c r="AU9" i="7"/>
  <c r="AL9" i="7"/>
  <c r="AK9" i="7"/>
  <c r="AB9" i="7"/>
  <c r="AA9" i="7"/>
  <c r="R9" i="7"/>
  <c r="Q9" i="7"/>
  <c r="H9" i="7"/>
  <c r="G9" i="7"/>
  <c r="BF8" i="7"/>
  <c r="BE8" i="7"/>
  <c r="AV8" i="7"/>
  <c r="AU8" i="7"/>
  <c r="AL8" i="7"/>
  <c r="AK8" i="7"/>
  <c r="AB8" i="7"/>
  <c r="AA8" i="7"/>
  <c r="R8" i="7"/>
  <c r="Q8" i="7"/>
  <c r="H8" i="7"/>
  <c r="G8" i="7"/>
  <c r="BF7" i="7"/>
  <c r="BE7" i="7"/>
  <c r="AV7" i="7"/>
  <c r="AU7" i="7"/>
  <c r="AL7" i="7"/>
  <c r="AK7" i="7"/>
  <c r="AB7" i="7"/>
  <c r="AA7" i="7"/>
  <c r="R7" i="7"/>
  <c r="Q7" i="7"/>
  <c r="H7" i="7"/>
  <c r="G7" i="7"/>
  <c r="BF5" i="7"/>
  <c r="BE5" i="7"/>
  <c r="AV5" i="7"/>
  <c r="AU5" i="7"/>
  <c r="AL5" i="7"/>
  <c r="AK5" i="7"/>
  <c r="AB5" i="7"/>
  <c r="AA5" i="7"/>
  <c r="R5" i="7"/>
  <c r="Q5" i="7"/>
  <c r="H5" i="7"/>
  <c r="G5" i="7"/>
  <c r="AL61" i="6"/>
  <c r="AK61" i="6"/>
  <c r="AF63" i="6" s="1"/>
  <c r="AB61" i="6"/>
  <c r="AA61" i="6"/>
  <c r="V63" i="6" s="1"/>
  <c r="R61" i="6"/>
  <c r="Q61" i="6"/>
  <c r="L63" i="6" s="1"/>
  <c r="H61" i="6"/>
  <c r="G61" i="6"/>
  <c r="B63" i="6" s="1"/>
  <c r="AL60" i="6"/>
  <c r="AK60" i="6"/>
  <c r="AB60" i="6"/>
  <c r="AA60" i="6"/>
  <c r="R60" i="6"/>
  <c r="Q60" i="6"/>
  <c r="H60" i="6"/>
  <c r="G60" i="6"/>
  <c r="AL59" i="6"/>
  <c r="AK59" i="6"/>
  <c r="AB59" i="6"/>
  <c r="AA59" i="6"/>
  <c r="R59" i="6"/>
  <c r="Q59" i="6"/>
  <c r="H59" i="6"/>
  <c r="G59" i="6"/>
  <c r="AL58" i="6"/>
  <c r="AK58" i="6"/>
  <c r="AB58" i="6"/>
  <c r="AA58" i="6"/>
  <c r="R58" i="6"/>
  <c r="Q58" i="6"/>
  <c r="H58" i="6"/>
  <c r="G58" i="6"/>
  <c r="AL57" i="6"/>
  <c r="AK57" i="6"/>
  <c r="AB57" i="6"/>
  <c r="AA57" i="6"/>
  <c r="R57" i="6"/>
  <c r="Q57" i="6"/>
  <c r="H57" i="6"/>
  <c r="G57" i="6"/>
  <c r="AL56" i="6"/>
  <c r="AK56" i="6"/>
  <c r="AF62" i="6" s="1"/>
  <c r="AB56" i="6"/>
  <c r="AA56" i="6"/>
  <c r="V62" i="6" s="1"/>
  <c r="R56" i="6"/>
  <c r="Q56" i="6"/>
  <c r="L62" i="6" s="1"/>
  <c r="H56" i="6"/>
  <c r="G56" i="6"/>
  <c r="B62" i="6" s="1"/>
  <c r="AL55" i="6"/>
  <c r="AK55" i="6"/>
  <c r="AB55" i="6"/>
  <c r="AA55" i="6"/>
  <c r="R55" i="6"/>
  <c r="Q55" i="6"/>
  <c r="H55" i="6"/>
  <c r="G55" i="6"/>
  <c r="AL54" i="6"/>
  <c r="AK54" i="6"/>
  <c r="AB54" i="6"/>
  <c r="AA54" i="6"/>
  <c r="R54" i="6"/>
  <c r="Q54" i="6"/>
  <c r="H54" i="6"/>
  <c r="G54" i="6"/>
  <c r="AL53" i="6"/>
  <c r="AK53" i="6"/>
  <c r="AB53" i="6"/>
  <c r="AA53" i="6"/>
  <c r="R53" i="6"/>
  <c r="Q53" i="6"/>
  <c r="H53" i="6"/>
  <c r="G53" i="6"/>
  <c r="AL52" i="6"/>
  <c r="AK52" i="6"/>
  <c r="AB52" i="6"/>
  <c r="AA52" i="6"/>
  <c r="R52" i="6"/>
  <c r="Q52" i="6"/>
  <c r="H52" i="6"/>
  <c r="G52" i="6"/>
  <c r="AL51" i="6"/>
  <c r="AK51" i="6"/>
  <c r="AB51" i="6"/>
  <c r="AA51" i="6"/>
  <c r="R51" i="6"/>
  <c r="Q51" i="6"/>
  <c r="H51" i="6"/>
  <c r="G51" i="6"/>
  <c r="AL50" i="6"/>
  <c r="AK50" i="6"/>
  <c r="AB50" i="6"/>
  <c r="AA50" i="6"/>
  <c r="R50" i="6"/>
  <c r="Q50" i="6"/>
  <c r="H50" i="6"/>
  <c r="G50" i="6"/>
  <c r="AL49" i="6"/>
  <c r="AK49" i="6"/>
  <c r="AB49" i="6"/>
  <c r="AA49" i="6"/>
  <c r="R49" i="6"/>
  <c r="Q49" i="6"/>
  <c r="H49" i="6"/>
  <c r="G49" i="6"/>
  <c r="AL47" i="6"/>
  <c r="AK47" i="6"/>
  <c r="AB47" i="6"/>
  <c r="AA47" i="6"/>
  <c r="R47" i="6"/>
  <c r="Q47" i="6"/>
  <c r="H47" i="6"/>
  <c r="G47" i="6"/>
  <c r="BF40" i="6"/>
  <c r="BE40" i="6"/>
  <c r="AZ42" i="6" s="1"/>
  <c r="AV40" i="6"/>
  <c r="AU40" i="6"/>
  <c r="AP42" i="6" s="1"/>
  <c r="AL40" i="6"/>
  <c r="AK40" i="6"/>
  <c r="AF42" i="6" s="1"/>
  <c r="AB40" i="6"/>
  <c r="AA40" i="6"/>
  <c r="V42" i="6" s="1"/>
  <c r="R40" i="6"/>
  <c r="Q40" i="6"/>
  <c r="L42" i="6" s="1"/>
  <c r="H40" i="6"/>
  <c r="G40" i="6"/>
  <c r="B42" i="6" s="1"/>
  <c r="BF39" i="6"/>
  <c r="BE39" i="6"/>
  <c r="AV39" i="6"/>
  <c r="AU39" i="6"/>
  <c r="AL39" i="6"/>
  <c r="AK39" i="6"/>
  <c r="AB39" i="6"/>
  <c r="AA39" i="6"/>
  <c r="R39" i="6"/>
  <c r="Q39" i="6"/>
  <c r="H39" i="6"/>
  <c r="G39" i="6"/>
  <c r="BF38" i="6"/>
  <c r="BE38" i="6"/>
  <c r="AV38" i="6"/>
  <c r="AU38" i="6"/>
  <c r="AL38" i="6"/>
  <c r="AK38" i="6"/>
  <c r="AB38" i="6"/>
  <c r="AA38" i="6"/>
  <c r="R38" i="6"/>
  <c r="Q38" i="6"/>
  <c r="H38" i="6"/>
  <c r="G38" i="6"/>
  <c r="BF37" i="6"/>
  <c r="BE37" i="6"/>
  <c r="AV37" i="6"/>
  <c r="AU37" i="6"/>
  <c r="AL37" i="6"/>
  <c r="AK37" i="6"/>
  <c r="AB37" i="6"/>
  <c r="AA37" i="6"/>
  <c r="R37" i="6"/>
  <c r="Q37" i="6"/>
  <c r="H37" i="6"/>
  <c r="G37" i="6"/>
  <c r="BF36" i="6"/>
  <c r="BE36" i="6"/>
  <c r="AV36" i="6"/>
  <c r="AU36" i="6"/>
  <c r="AL36" i="6"/>
  <c r="AK36" i="6"/>
  <c r="AB36" i="6"/>
  <c r="AA36" i="6"/>
  <c r="H36" i="6"/>
  <c r="G36" i="6"/>
  <c r="BF35" i="6"/>
  <c r="BE35" i="6"/>
  <c r="AZ41" i="6" s="1"/>
  <c r="AV35" i="6"/>
  <c r="AU35" i="6"/>
  <c r="AP41" i="6" s="1"/>
  <c r="AL35" i="6"/>
  <c r="AK35" i="6"/>
  <c r="AF41" i="6" s="1"/>
  <c r="AB35" i="6"/>
  <c r="AA35" i="6"/>
  <c r="V41" i="6" s="1"/>
  <c r="R35" i="6"/>
  <c r="Q35" i="6"/>
  <c r="L41" i="6" s="1"/>
  <c r="H35" i="6"/>
  <c r="G35" i="6"/>
  <c r="B41" i="6" s="1"/>
  <c r="BF34" i="6"/>
  <c r="BE34" i="6"/>
  <c r="AV34" i="6"/>
  <c r="AU34" i="6"/>
  <c r="AL34" i="6"/>
  <c r="AK34" i="6"/>
  <c r="AB34" i="6"/>
  <c r="AA34" i="6"/>
  <c r="R34" i="6"/>
  <c r="Q34" i="6"/>
  <c r="H34" i="6"/>
  <c r="G34" i="6"/>
  <c r="BF33" i="6"/>
  <c r="BE33" i="6"/>
  <c r="AV33" i="6"/>
  <c r="AU33" i="6"/>
  <c r="AL33" i="6"/>
  <c r="AK33" i="6"/>
  <c r="AB33" i="6"/>
  <c r="AA33" i="6"/>
  <c r="R33" i="6"/>
  <c r="Q33" i="6"/>
  <c r="H33" i="6"/>
  <c r="G33" i="6"/>
  <c r="BF32" i="6"/>
  <c r="BE32" i="6"/>
  <c r="AV32" i="6"/>
  <c r="AU32" i="6"/>
  <c r="AL32" i="6"/>
  <c r="AK32" i="6"/>
  <c r="AB32" i="6"/>
  <c r="AA32" i="6"/>
  <c r="R32" i="6"/>
  <c r="Q32" i="6"/>
  <c r="H32" i="6"/>
  <c r="G32" i="6"/>
  <c r="BF31" i="6"/>
  <c r="BE31" i="6"/>
  <c r="AV31" i="6"/>
  <c r="AU31" i="6"/>
  <c r="AL31" i="6"/>
  <c r="AK31" i="6"/>
  <c r="AB31" i="6"/>
  <c r="AA31" i="6"/>
  <c r="R31" i="6"/>
  <c r="Q31" i="6"/>
  <c r="H31" i="6"/>
  <c r="G31" i="6"/>
  <c r="BF30" i="6"/>
  <c r="BE30" i="6"/>
  <c r="AV30" i="6"/>
  <c r="AU30" i="6"/>
  <c r="AL30" i="6"/>
  <c r="AK30" i="6"/>
  <c r="AB30" i="6"/>
  <c r="AA30" i="6"/>
  <c r="R30" i="6"/>
  <c r="Q30" i="6"/>
  <c r="H30" i="6"/>
  <c r="G30" i="6"/>
  <c r="BF29" i="6"/>
  <c r="BE29" i="6"/>
  <c r="AV29" i="6"/>
  <c r="AU29" i="6"/>
  <c r="AL29" i="6"/>
  <c r="AK29" i="6"/>
  <c r="AB29" i="6"/>
  <c r="AA29" i="6"/>
  <c r="R29" i="6"/>
  <c r="Q29" i="6"/>
  <c r="H29" i="6"/>
  <c r="G29" i="6"/>
  <c r="BF28" i="6"/>
  <c r="BE28" i="6"/>
  <c r="AV28" i="6"/>
  <c r="AU28" i="6"/>
  <c r="AL28" i="6"/>
  <c r="AK28" i="6"/>
  <c r="AB28" i="6"/>
  <c r="AA28" i="6"/>
  <c r="R28" i="6"/>
  <c r="Q28" i="6"/>
  <c r="H28" i="6"/>
  <c r="G28" i="6"/>
  <c r="BF26" i="6"/>
  <c r="BE26" i="6"/>
  <c r="AV26" i="6"/>
  <c r="AU26" i="6"/>
  <c r="AL26" i="6"/>
  <c r="AK26" i="6"/>
  <c r="AB26" i="6"/>
  <c r="AA26" i="6"/>
  <c r="R26" i="6"/>
  <c r="Q26" i="6"/>
  <c r="H26" i="6"/>
  <c r="G26" i="6"/>
  <c r="BF19" i="6"/>
  <c r="BE19" i="6"/>
  <c r="AZ21" i="6" s="1"/>
  <c r="AV19" i="6"/>
  <c r="AU19" i="6"/>
  <c r="AP21" i="6" s="1"/>
  <c r="AL19" i="6"/>
  <c r="AK19" i="6"/>
  <c r="AF21" i="6" s="1"/>
  <c r="AB19" i="6"/>
  <c r="AA19" i="6"/>
  <c r="V21" i="6" s="1"/>
  <c r="R19" i="6"/>
  <c r="Q19" i="6"/>
  <c r="L21" i="6" s="1"/>
  <c r="H19" i="6"/>
  <c r="G19" i="6"/>
  <c r="B21" i="6" s="1"/>
  <c r="BF18" i="6"/>
  <c r="BE18" i="6"/>
  <c r="AV18" i="6"/>
  <c r="AU18" i="6"/>
  <c r="AL18" i="6"/>
  <c r="AK18" i="6"/>
  <c r="AB18" i="6"/>
  <c r="AA18" i="6"/>
  <c r="R18" i="6"/>
  <c r="Q18" i="6"/>
  <c r="H18" i="6"/>
  <c r="G18" i="6"/>
  <c r="BF17" i="6"/>
  <c r="BE17" i="6"/>
  <c r="AV17" i="6"/>
  <c r="AU17" i="6"/>
  <c r="AL17" i="6"/>
  <c r="AK17" i="6"/>
  <c r="AB17" i="6"/>
  <c r="AA17" i="6"/>
  <c r="R17" i="6"/>
  <c r="Q17" i="6"/>
  <c r="H17" i="6"/>
  <c r="G17" i="6"/>
  <c r="BF16" i="6"/>
  <c r="BE16" i="6"/>
  <c r="AV16" i="6"/>
  <c r="AU16" i="6"/>
  <c r="AL16" i="6"/>
  <c r="AK16" i="6"/>
  <c r="AB16" i="6"/>
  <c r="AA16" i="6"/>
  <c r="R16" i="6"/>
  <c r="Q16" i="6"/>
  <c r="H16" i="6"/>
  <c r="G16" i="6"/>
  <c r="BF15" i="6"/>
  <c r="BE15" i="6"/>
  <c r="AV15" i="6"/>
  <c r="AU15" i="6"/>
  <c r="AL15" i="6"/>
  <c r="AK15" i="6"/>
  <c r="AB15" i="6"/>
  <c r="AA15" i="6"/>
  <c r="R15" i="6"/>
  <c r="Q15" i="6"/>
  <c r="H15" i="6"/>
  <c r="G15" i="6"/>
  <c r="BF14" i="6"/>
  <c r="BE14" i="6"/>
  <c r="AZ20" i="6" s="1"/>
  <c r="AV14" i="6"/>
  <c r="AU14" i="6"/>
  <c r="AP20" i="6" s="1"/>
  <c r="AL14" i="6"/>
  <c r="AK14" i="6"/>
  <c r="AB14" i="6"/>
  <c r="AA14" i="6"/>
  <c r="V20" i="6" s="1"/>
  <c r="R14" i="6"/>
  <c r="Q14" i="6"/>
  <c r="L20" i="6" s="1"/>
  <c r="H14" i="6"/>
  <c r="G14" i="6"/>
  <c r="B20" i="6" s="1"/>
  <c r="BF13" i="6"/>
  <c r="BE13" i="6"/>
  <c r="AV13" i="6"/>
  <c r="AU13" i="6"/>
  <c r="AL13" i="6"/>
  <c r="AK13" i="6"/>
  <c r="AB13" i="6"/>
  <c r="AA13" i="6"/>
  <c r="R13" i="6"/>
  <c r="Q13" i="6"/>
  <c r="H13" i="6"/>
  <c r="G13" i="6"/>
  <c r="BF12" i="6"/>
  <c r="BE12" i="6"/>
  <c r="AV12" i="6"/>
  <c r="AU12" i="6"/>
  <c r="AL12" i="6"/>
  <c r="AK12" i="6"/>
  <c r="AB12" i="6"/>
  <c r="AA12" i="6"/>
  <c r="R12" i="6"/>
  <c r="Q12" i="6"/>
  <c r="H12" i="6"/>
  <c r="G12" i="6"/>
  <c r="BF11" i="6"/>
  <c r="BE11" i="6"/>
  <c r="AV11" i="6"/>
  <c r="AU11" i="6"/>
  <c r="AL11" i="6"/>
  <c r="AK11" i="6"/>
  <c r="AB11" i="6"/>
  <c r="AA11" i="6"/>
  <c r="R11" i="6"/>
  <c r="Q11" i="6"/>
  <c r="H11" i="6"/>
  <c r="G11" i="6"/>
  <c r="BF10" i="6"/>
  <c r="BE10" i="6"/>
  <c r="AV10" i="6"/>
  <c r="AU10" i="6"/>
  <c r="AL10" i="6"/>
  <c r="AK10" i="6"/>
  <c r="AB10" i="6"/>
  <c r="AA10" i="6"/>
  <c r="R10" i="6"/>
  <c r="Q10" i="6"/>
  <c r="H10" i="6"/>
  <c r="G10" i="6"/>
  <c r="BF9" i="6"/>
  <c r="BE9" i="6"/>
  <c r="AV9" i="6"/>
  <c r="AU9" i="6"/>
  <c r="AL9" i="6"/>
  <c r="AK9" i="6"/>
  <c r="AB9" i="6"/>
  <c r="AA9" i="6"/>
  <c r="R9" i="6"/>
  <c r="Q9" i="6"/>
  <c r="H9" i="6"/>
  <c r="G9" i="6"/>
  <c r="BF8" i="6"/>
  <c r="BE8" i="6"/>
  <c r="AV8" i="6"/>
  <c r="AU8" i="6"/>
  <c r="AL8" i="6"/>
  <c r="AK8" i="6"/>
  <c r="AB8" i="6"/>
  <c r="AA8" i="6"/>
  <c r="R8" i="6"/>
  <c r="Q8" i="6"/>
  <c r="H8" i="6"/>
  <c r="G8" i="6"/>
  <c r="BF7" i="6"/>
  <c r="BE7" i="6"/>
  <c r="AV7" i="6"/>
  <c r="AU7" i="6"/>
  <c r="AL7" i="6"/>
  <c r="AK7" i="6"/>
  <c r="AB7" i="6"/>
  <c r="AA7" i="6"/>
  <c r="R7" i="6"/>
  <c r="Q7" i="6"/>
  <c r="H7" i="6"/>
  <c r="G7" i="6"/>
  <c r="BF5" i="6"/>
  <c r="BE5" i="6"/>
  <c r="AV5" i="6"/>
  <c r="AU5" i="6"/>
  <c r="AL5" i="6"/>
  <c r="AK5" i="6"/>
  <c r="AB5" i="6"/>
  <c r="AA5" i="6"/>
  <c r="R5" i="6"/>
  <c r="Q5" i="6"/>
  <c r="H5" i="6"/>
  <c r="G5" i="6"/>
  <c r="AL61" i="8"/>
  <c r="AK61" i="8"/>
  <c r="AB61" i="8"/>
  <c r="AA61" i="8"/>
  <c r="R61" i="8"/>
  <c r="Q61" i="8"/>
  <c r="L63" i="8" s="1"/>
  <c r="H61" i="8"/>
  <c r="G61" i="8"/>
  <c r="AL60" i="8"/>
  <c r="AK60" i="8"/>
  <c r="AA60" i="8"/>
  <c r="R60" i="8"/>
  <c r="Q60" i="8"/>
  <c r="H60" i="8"/>
  <c r="G60" i="8"/>
  <c r="AL59" i="8"/>
  <c r="AK59" i="8"/>
  <c r="AB59" i="8"/>
  <c r="AA59" i="8"/>
  <c r="R59" i="8"/>
  <c r="Q59" i="8"/>
  <c r="H59" i="8"/>
  <c r="G59" i="8"/>
  <c r="AL58" i="8"/>
  <c r="AK58" i="8"/>
  <c r="AB58" i="8"/>
  <c r="AA58" i="8"/>
  <c r="R58" i="8"/>
  <c r="Q58" i="8"/>
  <c r="H58" i="8"/>
  <c r="G58" i="8"/>
  <c r="AL57" i="8"/>
  <c r="AK57" i="8"/>
  <c r="AB57" i="8"/>
  <c r="AA57" i="8"/>
  <c r="R57" i="8"/>
  <c r="Q57" i="8"/>
  <c r="H57" i="8"/>
  <c r="G57" i="8"/>
  <c r="AL56" i="8"/>
  <c r="AK56" i="8"/>
  <c r="AB56" i="8"/>
  <c r="AA56" i="8"/>
  <c r="R56" i="8"/>
  <c r="Q56" i="8"/>
  <c r="L62" i="8" s="1"/>
  <c r="H56" i="8"/>
  <c r="G56" i="8"/>
  <c r="AL55" i="8"/>
  <c r="AK55" i="8"/>
  <c r="AB55" i="8"/>
  <c r="AA55" i="8"/>
  <c r="R55" i="8"/>
  <c r="Q55" i="8"/>
  <c r="H55" i="8"/>
  <c r="G55" i="8"/>
  <c r="AL54" i="8"/>
  <c r="AK54" i="8"/>
  <c r="AB54" i="8"/>
  <c r="AA54" i="8"/>
  <c r="R54" i="8"/>
  <c r="Q54" i="8"/>
  <c r="H54" i="8"/>
  <c r="G54" i="8"/>
  <c r="AL53" i="8"/>
  <c r="AK53" i="8"/>
  <c r="AB53" i="8"/>
  <c r="AA53" i="8"/>
  <c r="R53" i="8"/>
  <c r="Q53" i="8"/>
  <c r="H53" i="8"/>
  <c r="G53" i="8"/>
  <c r="AL52" i="8"/>
  <c r="AK52" i="8"/>
  <c r="AB52" i="8"/>
  <c r="AA52" i="8"/>
  <c r="R52" i="8"/>
  <c r="Q52" i="8"/>
  <c r="H52" i="8"/>
  <c r="G52" i="8"/>
  <c r="AL51" i="8"/>
  <c r="AK51" i="8"/>
  <c r="AB51" i="8"/>
  <c r="AA51" i="8"/>
  <c r="R51" i="8"/>
  <c r="Q51" i="8"/>
  <c r="H51" i="8"/>
  <c r="G51" i="8"/>
  <c r="AL50" i="8"/>
  <c r="AK50" i="8"/>
  <c r="AB50" i="8"/>
  <c r="AA50" i="8"/>
  <c r="R50" i="8"/>
  <c r="Q50" i="8"/>
  <c r="H50" i="8"/>
  <c r="G50" i="8"/>
  <c r="AL49" i="8"/>
  <c r="AK49" i="8"/>
  <c r="AB49" i="8"/>
  <c r="AA49" i="8"/>
  <c r="R49" i="8"/>
  <c r="Q49" i="8"/>
  <c r="H49" i="8"/>
  <c r="G49" i="8"/>
  <c r="AL47" i="8"/>
  <c r="AK47" i="8"/>
  <c r="AB47" i="8"/>
  <c r="AA47" i="8"/>
  <c r="R47" i="8"/>
  <c r="Q47" i="8"/>
  <c r="H47" i="8"/>
  <c r="G47" i="8"/>
  <c r="BF40" i="8"/>
  <c r="BE40" i="8"/>
  <c r="AZ42" i="8" s="1"/>
  <c r="AV40" i="8"/>
  <c r="AU40" i="8"/>
  <c r="AP42" i="8" s="1"/>
  <c r="AL40" i="8"/>
  <c r="AK40" i="8"/>
  <c r="AF42" i="8" s="1"/>
  <c r="AB40" i="8"/>
  <c r="AA40" i="8"/>
  <c r="V42" i="8" s="1"/>
  <c r="R40" i="8"/>
  <c r="Q40" i="8"/>
  <c r="L42" i="8" s="1"/>
  <c r="H40" i="8"/>
  <c r="G40" i="8"/>
  <c r="BF39" i="8"/>
  <c r="BE39" i="8"/>
  <c r="AV39" i="8"/>
  <c r="AU39" i="8"/>
  <c r="AL39" i="8"/>
  <c r="AK39" i="8"/>
  <c r="AB39" i="8"/>
  <c r="AA39" i="8"/>
  <c r="R39" i="8"/>
  <c r="Q39" i="8"/>
  <c r="H39" i="8"/>
  <c r="G39" i="8"/>
  <c r="BF38" i="8"/>
  <c r="BE38" i="8"/>
  <c r="AV38" i="8"/>
  <c r="AU38" i="8"/>
  <c r="AL38" i="8"/>
  <c r="AK38" i="8"/>
  <c r="AB38" i="8"/>
  <c r="AA38" i="8"/>
  <c r="R38" i="8"/>
  <c r="Q38" i="8"/>
  <c r="H38" i="8"/>
  <c r="G38" i="8"/>
  <c r="BF37" i="8"/>
  <c r="BE37" i="8"/>
  <c r="AV37" i="8"/>
  <c r="AU37" i="8"/>
  <c r="AL37" i="8"/>
  <c r="AK37" i="8"/>
  <c r="AB37" i="8"/>
  <c r="AA37" i="8"/>
  <c r="R37" i="8"/>
  <c r="Q37" i="8"/>
  <c r="H37" i="8"/>
  <c r="G37" i="8"/>
  <c r="BF36" i="8"/>
  <c r="BE36" i="8"/>
  <c r="AV36" i="8"/>
  <c r="AU36" i="8"/>
  <c r="AL36" i="8"/>
  <c r="AK36" i="8"/>
  <c r="AB36" i="8"/>
  <c r="AA36" i="8"/>
  <c r="R36" i="8"/>
  <c r="Q36" i="8"/>
  <c r="H36" i="8"/>
  <c r="G36" i="8"/>
  <c r="BF35" i="8"/>
  <c r="BE35" i="8"/>
  <c r="AZ41" i="8" s="1"/>
  <c r="AV35" i="8"/>
  <c r="AU35" i="8"/>
  <c r="AP41" i="8" s="1"/>
  <c r="AL35" i="8"/>
  <c r="AK35" i="8"/>
  <c r="AF41" i="8" s="1"/>
  <c r="AB35" i="8"/>
  <c r="AA35" i="8"/>
  <c r="V41" i="8" s="1"/>
  <c r="R35" i="8"/>
  <c r="Q35" i="8"/>
  <c r="L41" i="8" s="1"/>
  <c r="H35" i="8"/>
  <c r="G35" i="8"/>
  <c r="BF34" i="8"/>
  <c r="BE34" i="8"/>
  <c r="AV34" i="8"/>
  <c r="AU34" i="8"/>
  <c r="AL34" i="8"/>
  <c r="AK34" i="8"/>
  <c r="AB34" i="8"/>
  <c r="AA34" i="8"/>
  <c r="R34" i="8"/>
  <c r="Q34" i="8"/>
  <c r="H34" i="8"/>
  <c r="G34" i="8"/>
  <c r="BF33" i="8"/>
  <c r="BE33" i="8"/>
  <c r="AV33" i="8"/>
  <c r="AU33" i="8"/>
  <c r="AL33" i="8"/>
  <c r="AK33" i="8"/>
  <c r="AB33" i="8"/>
  <c r="AA33" i="8"/>
  <c r="R33" i="8"/>
  <c r="Q33" i="8"/>
  <c r="H33" i="8"/>
  <c r="G33" i="8"/>
  <c r="BF32" i="8"/>
  <c r="BE32" i="8"/>
  <c r="AV32" i="8"/>
  <c r="AU32" i="8"/>
  <c r="AL32" i="8"/>
  <c r="AK32" i="8"/>
  <c r="AB32" i="8"/>
  <c r="AA32" i="8"/>
  <c r="R32" i="8"/>
  <c r="Q32" i="8"/>
  <c r="H32" i="8"/>
  <c r="G32" i="8"/>
  <c r="BF31" i="8"/>
  <c r="BE31" i="8"/>
  <c r="AV31" i="8"/>
  <c r="AU31" i="8"/>
  <c r="AL31" i="8"/>
  <c r="AK31" i="8"/>
  <c r="AB31" i="8"/>
  <c r="AA31" i="8"/>
  <c r="R31" i="8"/>
  <c r="Q31" i="8"/>
  <c r="H31" i="8"/>
  <c r="G31" i="8"/>
  <c r="BF30" i="8"/>
  <c r="BE30" i="8"/>
  <c r="AV30" i="8"/>
  <c r="AU30" i="8"/>
  <c r="AL30" i="8"/>
  <c r="AK30" i="8"/>
  <c r="AB30" i="8"/>
  <c r="AA30" i="8"/>
  <c r="R30" i="8"/>
  <c r="Q30" i="8"/>
  <c r="H30" i="8"/>
  <c r="G30" i="8"/>
  <c r="BF29" i="8"/>
  <c r="BE29" i="8"/>
  <c r="AV29" i="8"/>
  <c r="AU29" i="8"/>
  <c r="AL29" i="8"/>
  <c r="AK29" i="8"/>
  <c r="AB29" i="8"/>
  <c r="AA29" i="8"/>
  <c r="R29" i="8"/>
  <c r="Q29" i="8"/>
  <c r="H29" i="8"/>
  <c r="G29" i="8"/>
  <c r="BF28" i="8"/>
  <c r="BE28" i="8"/>
  <c r="AV28" i="8"/>
  <c r="AU28" i="8"/>
  <c r="AL28" i="8"/>
  <c r="AK28" i="8"/>
  <c r="AB28" i="8"/>
  <c r="AA28" i="8"/>
  <c r="R28" i="8"/>
  <c r="Q28" i="8"/>
  <c r="H28" i="8"/>
  <c r="G28" i="8"/>
  <c r="BF26" i="8"/>
  <c r="BE26" i="8"/>
  <c r="AV26" i="8"/>
  <c r="AU26" i="8"/>
  <c r="AL26" i="8"/>
  <c r="AK26" i="8"/>
  <c r="AB26" i="8"/>
  <c r="AA26" i="8"/>
  <c r="R26" i="8"/>
  <c r="Q26" i="8"/>
  <c r="H26" i="8"/>
  <c r="G26" i="8"/>
  <c r="BF19" i="8"/>
  <c r="BE19" i="8"/>
  <c r="AZ21" i="8" s="1"/>
  <c r="AV19" i="8"/>
  <c r="AU19" i="8"/>
  <c r="AP21" i="8" s="1"/>
  <c r="AL19" i="8"/>
  <c r="AK19" i="8"/>
  <c r="AB19" i="8"/>
  <c r="AA19" i="8"/>
  <c r="V21" i="8" s="1"/>
  <c r="R19" i="8"/>
  <c r="Q19" i="8"/>
  <c r="L21" i="8" s="1"/>
  <c r="H19" i="8"/>
  <c r="G19" i="8"/>
  <c r="B21" i="8" s="1"/>
  <c r="BF18" i="8"/>
  <c r="BE18" i="8"/>
  <c r="AV18" i="8"/>
  <c r="AL18" i="8"/>
  <c r="AK18" i="8"/>
  <c r="AB18" i="8"/>
  <c r="AA18" i="8"/>
  <c r="R18" i="8"/>
  <c r="Q18" i="8"/>
  <c r="BF17" i="8"/>
  <c r="BE17" i="8"/>
  <c r="AV17" i="8"/>
  <c r="AU17" i="8"/>
  <c r="AL17" i="8"/>
  <c r="AK17" i="8"/>
  <c r="AB17" i="8"/>
  <c r="AA17" i="8"/>
  <c r="R17" i="8"/>
  <c r="Q17" i="8"/>
  <c r="H17" i="8"/>
  <c r="G17" i="8"/>
  <c r="BF16" i="8"/>
  <c r="BE16" i="8"/>
  <c r="AV16" i="8"/>
  <c r="AU16" i="8"/>
  <c r="AL16" i="8"/>
  <c r="AK16" i="8"/>
  <c r="AB16" i="8"/>
  <c r="AA16" i="8"/>
  <c r="R16" i="8"/>
  <c r="Q16" i="8"/>
  <c r="H16" i="8"/>
  <c r="G16" i="8"/>
  <c r="BF15" i="8"/>
  <c r="BE15" i="8"/>
  <c r="AV15" i="8"/>
  <c r="AU15" i="8"/>
  <c r="AL15" i="8"/>
  <c r="AK15" i="8"/>
  <c r="AB15" i="8"/>
  <c r="AA15" i="8"/>
  <c r="R15" i="8"/>
  <c r="Q15" i="8"/>
  <c r="H15" i="8"/>
  <c r="G15" i="8"/>
  <c r="BF14" i="8"/>
  <c r="BE14" i="8"/>
  <c r="AZ20" i="8" s="1"/>
  <c r="AV14" i="8"/>
  <c r="AU14" i="8"/>
  <c r="AP20" i="8" s="1"/>
  <c r="AL14" i="8"/>
  <c r="AK14" i="8"/>
  <c r="AB14" i="8"/>
  <c r="AA14" i="8"/>
  <c r="R14" i="8"/>
  <c r="Q14" i="8"/>
  <c r="L20" i="8" s="1"/>
  <c r="H14" i="8"/>
  <c r="G14" i="8"/>
  <c r="B20" i="8" s="1"/>
  <c r="BF13" i="8"/>
  <c r="BE13" i="8"/>
  <c r="AV13" i="8"/>
  <c r="AU13" i="8"/>
  <c r="AL13" i="8"/>
  <c r="AK13" i="8"/>
  <c r="AB13" i="8"/>
  <c r="AA13" i="8"/>
  <c r="R13" i="8"/>
  <c r="Q13" i="8"/>
  <c r="H13" i="8"/>
  <c r="G13" i="8"/>
  <c r="BF12" i="8"/>
  <c r="BE12" i="8"/>
  <c r="AV12" i="8"/>
  <c r="AU12" i="8"/>
  <c r="AL12" i="8"/>
  <c r="AK12" i="8"/>
  <c r="AB12" i="8"/>
  <c r="AA12" i="8"/>
  <c r="R12" i="8"/>
  <c r="Q12" i="8"/>
  <c r="H12" i="8"/>
  <c r="G12" i="8"/>
  <c r="BF11" i="8"/>
  <c r="BE11" i="8"/>
  <c r="AV11" i="8"/>
  <c r="AU11" i="8"/>
  <c r="AL11" i="8"/>
  <c r="AK11" i="8"/>
  <c r="AB11" i="8"/>
  <c r="AA11" i="8"/>
  <c r="R11" i="8"/>
  <c r="Q11" i="8"/>
  <c r="H11" i="8"/>
  <c r="G11" i="8"/>
  <c r="BF10" i="8"/>
  <c r="BE10" i="8"/>
  <c r="AV10" i="8"/>
  <c r="AU10" i="8"/>
  <c r="AL10" i="8"/>
  <c r="AK10" i="8"/>
  <c r="AB10" i="8"/>
  <c r="AA10" i="8"/>
  <c r="R10" i="8"/>
  <c r="Q10" i="8"/>
  <c r="H10" i="8"/>
  <c r="G10" i="8"/>
  <c r="BF9" i="8"/>
  <c r="BE9" i="8"/>
  <c r="AV9" i="8"/>
  <c r="AU9" i="8"/>
  <c r="AL9" i="8"/>
  <c r="AK9" i="8"/>
  <c r="AB9" i="8"/>
  <c r="AA9" i="8"/>
  <c r="R9" i="8"/>
  <c r="Q9" i="8"/>
  <c r="H9" i="8"/>
  <c r="G9" i="8"/>
  <c r="BF8" i="8"/>
  <c r="BE8" i="8"/>
  <c r="AV8" i="8"/>
  <c r="AU8" i="8"/>
  <c r="AL8" i="8"/>
  <c r="AK8" i="8"/>
  <c r="AB8" i="8"/>
  <c r="AA8" i="8"/>
  <c r="R8" i="8"/>
  <c r="Q8" i="8"/>
  <c r="H8" i="8"/>
  <c r="G8" i="8"/>
  <c r="BF7" i="8"/>
  <c r="BE7" i="8"/>
  <c r="AV7" i="8"/>
  <c r="AU7" i="8"/>
  <c r="AL7" i="8"/>
  <c r="AK7" i="8"/>
  <c r="AB7" i="8"/>
  <c r="AA7" i="8"/>
  <c r="R7" i="8"/>
  <c r="Q7" i="8"/>
  <c r="H7" i="8"/>
  <c r="G7" i="8"/>
  <c r="BF5" i="8"/>
  <c r="BE5" i="8"/>
  <c r="AV5" i="8"/>
  <c r="AU5" i="8"/>
  <c r="AL5" i="8"/>
  <c r="AK5" i="8"/>
  <c r="AB5" i="8"/>
  <c r="AA5" i="8"/>
  <c r="R5" i="8"/>
  <c r="Q5" i="8"/>
  <c r="H5" i="8"/>
  <c r="G5" i="8"/>
  <c r="AB60" i="8"/>
  <c r="B7" i="10"/>
  <c r="C7" i="10"/>
  <c r="D7" i="10"/>
  <c r="E7" i="10"/>
  <c r="F7" i="10"/>
  <c r="S19" i="5" l="1"/>
  <c r="S40" i="5"/>
  <c r="I40" i="5"/>
  <c r="BG40" i="5"/>
  <c r="AW19" i="5"/>
  <c r="BG19" i="5"/>
  <c r="AC40" i="5"/>
  <c r="AC19" i="5"/>
  <c r="AM61" i="5"/>
  <c r="AM19" i="5"/>
  <c r="AC61" i="5"/>
  <c r="AM40" i="5"/>
  <c r="S61" i="5"/>
  <c r="AW40" i="5"/>
  <c r="I61" i="5"/>
  <c r="A82" i="8"/>
  <c r="K82" i="8" s="1"/>
  <c r="K67" i="8"/>
  <c r="P66" i="8"/>
  <c r="O66" i="8"/>
  <c r="N66" i="8"/>
  <c r="M66" i="8"/>
  <c r="L66" i="8"/>
  <c r="K66" i="8"/>
  <c r="AO61" i="8"/>
  <c r="BG48" i="8"/>
  <c r="AW48" i="8"/>
  <c r="AO40" i="8"/>
  <c r="AE40" i="8"/>
  <c r="U40" i="8"/>
  <c r="AY19" i="8"/>
  <c r="AE19" i="8"/>
  <c r="BG58" i="8"/>
  <c r="AW58" i="8"/>
  <c r="BG57" i="8"/>
  <c r="AW56" i="8"/>
  <c r="BG55" i="8"/>
  <c r="AW55" i="8"/>
  <c r="BG54" i="8"/>
  <c r="BG51" i="8"/>
  <c r="AM19" i="8"/>
  <c r="A82" i="9"/>
  <c r="K82" i="9" s="1"/>
  <c r="G82" i="9"/>
  <c r="K67" i="9"/>
  <c r="P66" i="9"/>
  <c r="O66" i="9"/>
  <c r="N66" i="9"/>
  <c r="M66" i="9"/>
  <c r="L66" i="9"/>
  <c r="K66" i="9"/>
  <c r="AO61" i="9"/>
  <c r="AC61" i="9"/>
  <c r="BG48" i="9"/>
  <c r="AW48" i="9"/>
  <c r="AO40" i="9"/>
  <c r="AE40" i="9"/>
  <c r="U40" i="9"/>
  <c r="AY19" i="9"/>
  <c r="AE19" i="9"/>
  <c r="AW59" i="9"/>
  <c r="BG58" i="9"/>
  <c r="AW58" i="9"/>
  <c r="BG57" i="9"/>
  <c r="BG55" i="9"/>
  <c r="BG52" i="9"/>
  <c r="AW52" i="9"/>
  <c r="AM19" i="9"/>
  <c r="AC19" i="9"/>
  <c r="A82" i="4"/>
  <c r="K82" i="4" s="1"/>
  <c r="Q82" i="4"/>
  <c r="K67" i="4"/>
  <c r="P66" i="4"/>
  <c r="O66" i="4"/>
  <c r="N66" i="4"/>
  <c r="M66" i="4"/>
  <c r="L66" i="4"/>
  <c r="K66" i="4"/>
  <c r="AO61" i="4"/>
  <c r="AO61" i="5" s="1"/>
  <c r="AC61" i="4"/>
  <c r="BG48" i="4"/>
  <c r="AW48" i="4"/>
  <c r="AO40" i="4"/>
  <c r="AE40" i="4"/>
  <c r="U40" i="4"/>
  <c r="BG40" i="4"/>
  <c r="S40" i="4"/>
  <c r="I40" i="4"/>
  <c r="AY19" i="4"/>
  <c r="AE19" i="4"/>
  <c r="AW60" i="4"/>
  <c r="AW59" i="4"/>
  <c r="AW51" i="4"/>
  <c r="BG50" i="4"/>
  <c r="AZ50" i="4" s="1"/>
  <c r="AW50" i="4"/>
  <c r="AM19" i="4"/>
  <c r="AC19" i="4"/>
  <c r="A82" i="7"/>
  <c r="K82" i="7" s="1"/>
  <c r="Q82" i="7"/>
  <c r="G82" i="7"/>
  <c r="K67" i="7"/>
  <c r="P66" i="7"/>
  <c r="O66" i="7"/>
  <c r="N66" i="7"/>
  <c r="M66" i="7"/>
  <c r="L66" i="7"/>
  <c r="K66" i="7"/>
  <c r="AO61" i="7"/>
  <c r="AM61" i="7"/>
  <c r="AC61" i="7"/>
  <c r="S61" i="7"/>
  <c r="BG48" i="7"/>
  <c r="AW48" i="7"/>
  <c r="AO40" i="7"/>
  <c r="AY40" i="7" s="1"/>
  <c r="AE40" i="7"/>
  <c r="U40" i="7"/>
  <c r="BG40" i="7"/>
  <c r="S40" i="7"/>
  <c r="AY19" i="7"/>
  <c r="AE19" i="7"/>
  <c r="BG60" i="7"/>
  <c r="AW60" i="7"/>
  <c r="BG59" i="7"/>
  <c r="AW59" i="7"/>
  <c r="BG58" i="7"/>
  <c r="AW58" i="7"/>
  <c r="BG57" i="7"/>
  <c r="BG56" i="7"/>
  <c r="BG55" i="7"/>
  <c r="AW55" i="7"/>
  <c r="BG54" i="7"/>
  <c r="AW52" i="7"/>
  <c r="AW51" i="7"/>
  <c r="AW50" i="7"/>
  <c r="AW19" i="7"/>
  <c r="AC19" i="7"/>
  <c r="BG49" i="7"/>
  <c r="Q82" i="6"/>
  <c r="AM61" i="8" l="1"/>
  <c r="AC61" i="8"/>
  <c r="BG40" i="8"/>
  <c r="S40" i="8"/>
  <c r="AW60" i="8"/>
  <c r="AQ60" i="8" s="1"/>
  <c r="BG49" i="9"/>
  <c r="BA49" i="9" s="1"/>
  <c r="BG60" i="8"/>
  <c r="BD60" i="8" s="1"/>
  <c r="AW54" i="7"/>
  <c r="BG54" i="9"/>
  <c r="BD54" i="9" s="1"/>
  <c r="AW55" i="9"/>
  <c r="AQ55" i="9" s="1"/>
  <c r="AW53" i="8"/>
  <c r="AT53" i="8" s="1"/>
  <c r="AW53" i="7"/>
  <c r="G82" i="8"/>
  <c r="AW49" i="7"/>
  <c r="AW56" i="7"/>
  <c r="AW58" i="4"/>
  <c r="AR58" i="4" s="1"/>
  <c r="BG50" i="9"/>
  <c r="BB50" i="9" s="1"/>
  <c r="AW57" i="7"/>
  <c r="AT57" i="7" s="1"/>
  <c r="BG58" i="4"/>
  <c r="BB58" i="4" s="1"/>
  <c r="BG51" i="9"/>
  <c r="BB51" i="9" s="1"/>
  <c r="BG60" i="4"/>
  <c r="BD60" i="4" s="1"/>
  <c r="BG50" i="7"/>
  <c r="BB50" i="7" s="1"/>
  <c r="AW54" i="9"/>
  <c r="AP54" i="9" s="1"/>
  <c r="BG52" i="7"/>
  <c r="AW50" i="9"/>
  <c r="AR50" i="9" s="1"/>
  <c r="BG52" i="4"/>
  <c r="AZ52" i="4" s="1"/>
  <c r="BG55" i="4"/>
  <c r="BD55" i="4" s="1"/>
  <c r="AW56" i="4"/>
  <c r="AP56" i="4" s="1"/>
  <c r="AW53" i="9"/>
  <c r="AR53" i="9" s="1"/>
  <c r="AW52" i="8"/>
  <c r="AS52" i="8" s="1"/>
  <c r="AW59" i="8"/>
  <c r="AP59" i="8" s="1"/>
  <c r="BG51" i="7"/>
  <c r="AM61" i="4"/>
  <c r="AW51" i="9"/>
  <c r="AP51" i="9" s="1"/>
  <c r="AW57" i="9"/>
  <c r="AP57" i="9" s="1"/>
  <c r="BG53" i="7"/>
  <c r="AW54" i="4"/>
  <c r="AS54" i="4" s="1"/>
  <c r="BG56" i="4"/>
  <c r="BD56" i="4" s="1"/>
  <c r="AW57" i="4"/>
  <c r="BG53" i="9"/>
  <c r="BB53" i="9" s="1"/>
  <c r="BG59" i="4"/>
  <c r="BD59" i="4" s="1"/>
  <c r="BG52" i="8"/>
  <c r="BC52" i="8" s="1"/>
  <c r="BG59" i="8"/>
  <c r="BC59" i="8" s="1"/>
  <c r="BG51" i="4"/>
  <c r="AW52" i="4"/>
  <c r="AS52" i="4" s="1"/>
  <c r="AW55" i="4"/>
  <c r="AW40" i="4"/>
  <c r="Q82" i="8"/>
  <c r="Q82" i="9"/>
  <c r="AM61" i="9"/>
  <c r="BG60" i="9"/>
  <c r="BB60" i="9" s="1"/>
  <c r="AP51" i="7"/>
  <c r="AT51" i="7"/>
  <c r="AS51" i="7"/>
  <c r="AR51" i="7"/>
  <c r="AQ51" i="7"/>
  <c r="BC60" i="7"/>
  <c r="BB60" i="7"/>
  <c r="BA60" i="7"/>
  <c r="AZ60" i="7"/>
  <c r="BD60" i="7"/>
  <c r="AC40" i="7"/>
  <c r="AW40" i="7"/>
  <c r="BD57" i="7"/>
  <c r="BC57" i="7"/>
  <c r="BB57" i="7"/>
  <c r="BA57" i="7"/>
  <c r="AZ57" i="7"/>
  <c r="I19" i="7"/>
  <c r="AT50" i="7"/>
  <c r="AS50" i="7"/>
  <c r="AR50" i="7"/>
  <c r="AQ50" i="7"/>
  <c r="AP50" i="7"/>
  <c r="AT58" i="7"/>
  <c r="AS58" i="7"/>
  <c r="AR58" i="7"/>
  <c r="AQ58" i="7"/>
  <c r="AP58" i="7"/>
  <c r="BG19" i="7"/>
  <c r="BD49" i="7"/>
  <c r="BC49" i="7"/>
  <c r="BB49" i="7"/>
  <c r="BA49" i="7"/>
  <c r="AZ49" i="7"/>
  <c r="BC54" i="7"/>
  <c r="BB54" i="7"/>
  <c r="BA54" i="7"/>
  <c r="AZ54" i="7"/>
  <c r="BD54" i="7"/>
  <c r="AP55" i="7"/>
  <c r="AT55" i="7"/>
  <c r="AS55" i="7"/>
  <c r="AR55" i="7"/>
  <c r="AQ55" i="7"/>
  <c r="BD59" i="7"/>
  <c r="BC59" i="7"/>
  <c r="BB59" i="7"/>
  <c r="BA59" i="7"/>
  <c r="AZ59" i="7"/>
  <c r="AM19" i="7"/>
  <c r="AT52" i="7"/>
  <c r="AS52" i="7"/>
  <c r="AR52" i="7"/>
  <c r="AQ52" i="7"/>
  <c r="AP52" i="7"/>
  <c r="BC56" i="7"/>
  <c r="BB56" i="7"/>
  <c r="BA56" i="7"/>
  <c r="AZ56" i="7"/>
  <c r="BD56" i="7"/>
  <c r="AT60" i="7"/>
  <c r="AS60" i="7"/>
  <c r="AR60" i="7"/>
  <c r="AQ60" i="7"/>
  <c r="AP60" i="7"/>
  <c r="S19" i="7"/>
  <c r="AM40" i="7"/>
  <c r="I40" i="7"/>
  <c r="BC58" i="7"/>
  <c r="BB58" i="7"/>
  <c r="BA58" i="7"/>
  <c r="AZ58" i="7"/>
  <c r="BD58" i="7"/>
  <c r="BD55" i="7"/>
  <c r="BC55" i="7"/>
  <c r="BB55" i="7"/>
  <c r="BA55" i="7"/>
  <c r="AZ55" i="7"/>
  <c r="AP59" i="7"/>
  <c r="AT59" i="7"/>
  <c r="AS59" i="7"/>
  <c r="AR59" i="7"/>
  <c r="AQ59" i="7"/>
  <c r="I61" i="7"/>
  <c r="AW19" i="4"/>
  <c r="BG53" i="4"/>
  <c r="AQ51" i="4"/>
  <c r="AU51" i="4" s="1"/>
  <c r="AP51" i="4"/>
  <c r="AT51" i="4"/>
  <c r="AS51" i="4"/>
  <c r="AR51" i="4"/>
  <c r="AW49" i="4"/>
  <c r="I19" i="4"/>
  <c r="BG19" i="4"/>
  <c r="AW53" i="4"/>
  <c r="BG49" i="4"/>
  <c r="S19" i="4"/>
  <c r="AT50" i="4"/>
  <c r="AS50" i="4"/>
  <c r="AR50" i="4"/>
  <c r="AP50" i="4"/>
  <c r="AQ50" i="4"/>
  <c r="AU50" i="4" s="1"/>
  <c r="BG57" i="4"/>
  <c r="BG54" i="4"/>
  <c r="AC40" i="4"/>
  <c r="AY40" i="4"/>
  <c r="AQ60" i="4"/>
  <c r="AU60" i="4" s="1"/>
  <c r="AT60" i="4"/>
  <c r="AS60" i="4"/>
  <c r="AR60" i="4"/>
  <c r="AP60" i="4"/>
  <c r="AM40" i="4"/>
  <c r="BD50" i="4"/>
  <c r="BC50" i="4"/>
  <c r="BB50" i="4"/>
  <c r="BA50" i="4"/>
  <c r="AQ59" i="4"/>
  <c r="AU59" i="4" s="1"/>
  <c r="AT59" i="4"/>
  <c r="AS59" i="4"/>
  <c r="AR59" i="4"/>
  <c r="AP59" i="4"/>
  <c r="I61" i="4"/>
  <c r="S61" i="4"/>
  <c r="G82" i="4"/>
  <c r="AT52" i="9"/>
  <c r="AS52" i="9"/>
  <c r="AR52" i="9"/>
  <c r="AQ52" i="9"/>
  <c r="AP52" i="9"/>
  <c r="AW40" i="9"/>
  <c r="AW49" i="9"/>
  <c r="I19" i="9"/>
  <c r="AW56" i="9"/>
  <c r="BD58" i="9"/>
  <c r="BC58" i="9"/>
  <c r="BB58" i="9"/>
  <c r="BA58" i="9"/>
  <c r="AZ58" i="9"/>
  <c r="BG19" i="9"/>
  <c r="AC40" i="9"/>
  <c r="AZ55" i="9"/>
  <c r="BD55" i="9"/>
  <c r="BC55" i="9"/>
  <c r="BB55" i="9"/>
  <c r="BA55" i="9"/>
  <c r="BG59" i="9"/>
  <c r="BG40" i="9"/>
  <c r="BD52" i="9"/>
  <c r="BC52" i="9"/>
  <c r="BB52" i="9"/>
  <c r="BA52" i="9"/>
  <c r="AZ52" i="9"/>
  <c r="S19" i="9"/>
  <c r="I40" i="9"/>
  <c r="BG56" i="9"/>
  <c r="AM40" i="9"/>
  <c r="AT58" i="9"/>
  <c r="AS58" i="9"/>
  <c r="AR58" i="9"/>
  <c r="AQ58" i="9"/>
  <c r="AP58" i="9"/>
  <c r="AW19" i="9"/>
  <c r="AS59" i="9"/>
  <c r="AR59" i="9"/>
  <c r="AQ59" i="9"/>
  <c r="AP59" i="9"/>
  <c r="AT59" i="9"/>
  <c r="AW60" i="9"/>
  <c r="S40" i="9"/>
  <c r="AZ57" i="9"/>
  <c r="BD57" i="9"/>
  <c r="BC57" i="9"/>
  <c r="BB57" i="9"/>
  <c r="BA57" i="9"/>
  <c r="I61" i="9"/>
  <c r="AY40" i="9"/>
  <c r="S61" i="9"/>
  <c r="BG50" i="8"/>
  <c r="AW54" i="8"/>
  <c r="BG49" i="8"/>
  <c r="S19" i="8"/>
  <c r="BG19" i="8"/>
  <c r="AW51" i="8"/>
  <c r="AW57" i="8"/>
  <c r="BG56" i="8"/>
  <c r="AW49" i="8"/>
  <c r="I19" i="8"/>
  <c r="AC19" i="8"/>
  <c r="AW19" i="8"/>
  <c r="AW50" i="8"/>
  <c r="BG53" i="8"/>
  <c r="AT56" i="8"/>
  <c r="AS56" i="8"/>
  <c r="AR56" i="8"/>
  <c r="AQ56" i="8"/>
  <c r="AP56" i="8"/>
  <c r="I40" i="8"/>
  <c r="AC40" i="8"/>
  <c r="AW40" i="8"/>
  <c r="BA57" i="8"/>
  <c r="AZ57" i="8"/>
  <c r="BD57" i="8"/>
  <c r="BC57" i="8"/>
  <c r="BB57" i="8"/>
  <c r="BB54" i="8"/>
  <c r="BA54" i="8"/>
  <c r="AZ54" i="8"/>
  <c r="BD54" i="8"/>
  <c r="BC54" i="8"/>
  <c r="AT58" i="8"/>
  <c r="AS58" i="8"/>
  <c r="AR58" i="8"/>
  <c r="AQ58" i="8"/>
  <c r="AP58" i="8"/>
  <c r="BD51" i="8"/>
  <c r="BC51" i="8"/>
  <c r="BB51" i="8"/>
  <c r="BA51" i="8"/>
  <c r="AZ51" i="8"/>
  <c r="AR55" i="8"/>
  <c r="AP55" i="8"/>
  <c r="AT55" i="8"/>
  <c r="AS55" i="8"/>
  <c r="AQ55" i="8"/>
  <c r="AM40" i="8"/>
  <c r="BD58" i="8"/>
  <c r="BC58" i="8"/>
  <c r="BB58" i="8"/>
  <c r="BA58" i="8"/>
  <c r="AZ58" i="8"/>
  <c r="BA55" i="8"/>
  <c r="BD55" i="8"/>
  <c r="BC55" i="8"/>
  <c r="BB55" i="8"/>
  <c r="AZ55" i="8"/>
  <c r="S61" i="8"/>
  <c r="I61" i="8"/>
  <c r="AY40" i="8"/>
  <c r="AM61" i="6"/>
  <c r="AC61" i="6"/>
  <c r="S61" i="6"/>
  <c r="I61" i="6"/>
  <c r="I40" i="6"/>
  <c r="S40" i="6"/>
  <c r="AC40" i="6"/>
  <c r="AM40" i="6"/>
  <c r="AW40" i="6"/>
  <c r="BG40" i="6"/>
  <c r="BG19" i="6"/>
  <c r="AW19" i="6"/>
  <c r="AM19" i="6"/>
  <c r="AC19" i="6"/>
  <c r="S19" i="6"/>
  <c r="I19" i="6"/>
  <c r="BE60" i="7" l="1"/>
  <c r="AU60" i="7"/>
  <c r="AU59" i="9"/>
  <c r="BE59" i="7"/>
  <c r="AU59" i="7"/>
  <c r="AU58" i="7"/>
  <c r="AU58" i="9"/>
  <c r="BE58" i="7"/>
  <c r="BE58" i="9"/>
  <c r="AU58" i="8"/>
  <c r="BE58" i="8"/>
  <c r="AU56" i="8"/>
  <c r="BE57" i="9"/>
  <c r="BE57" i="8"/>
  <c r="BE57" i="7"/>
  <c r="BE56" i="7"/>
  <c r="BE55" i="9"/>
  <c r="BE55" i="8"/>
  <c r="AU55" i="8"/>
  <c r="AU55" i="7"/>
  <c r="BE55" i="7"/>
  <c r="BE54" i="7"/>
  <c r="BE54" i="8"/>
  <c r="AZ55" i="4"/>
  <c r="AP53" i="8"/>
  <c r="BC53" i="9"/>
  <c r="AS57" i="7"/>
  <c r="BD52" i="8"/>
  <c r="BA53" i="9"/>
  <c r="BE53" i="9" s="1"/>
  <c r="AQ53" i="8"/>
  <c r="AR55" i="4"/>
  <c r="AP55" i="4"/>
  <c r="AR56" i="4"/>
  <c r="AS55" i="9"/>
  <c r="AR60" i="8"/>
  <c r="AU60" i="8" s="1"/>
  <c r="AT57" i="9"/>
  <c r="AS60" i="8"/>
  <c r="AU51" i="7"/>
  <c r="AQ52" i="4"/>
  <c r="AU52" i="4" s="1"/>
  <c r="AR52" i="4"/>
  <c r="BD52" i="4"/>
  <c r="BE50" i="4"/>
  <c r="AU50" i="7"/>
  <c r="AS56" i="4"/>
  <c r="AT52" i="4"/>
  <c r="BC55" i="4"/>
  <c r="AZ50" i="9"/>
  <c r="AQ51" i="9"/>
  <c r="AS53" i="7"/>
  <c r="BC52" i="7"/>
  <c r="AQ57" i="7"/>
  <c r="AQ54" i="7"/>
  <c r="AZ51" i="7"/>
  <c r="BD53" i="7"/>
  <c r="AZ52" i="8"/>
  <c r="AS57" i="9"/>
  <c r="AT55" i="4"/>
  <c r="AP54" i="7"/>
  <c r="AQ57" i="9"/>
  <c r="BD53" i="9"/>
  <c r="AQ55" i="4"/>
  <c r="AU55" i="4" s="1"/>
  <c r="AQ56" i="4"/>
  <c r="AU56" i="4" s="1"/>
  <c r="BC56" i="4"/>
  <c r="BB52" i="8"/>
  <c r="AR57" i="9"/>
  <c r="BD60" i="9"/>
  <c r="AR54" i="7"/>
  <c r="BA52" i="4"/>
  <c r="AT54" i="7"/>
  <c r="BE51" i="8"/>
  <c r="BA52" i="8"/>
  <c r="AZ53" i="9"/>
  <c r="AS55" i="4"/>
  <c r="AT56" i="4"/>
  <c r="AP60" i="8"/>
  <c r="AS51" i="9"/>
  <c r="AZ58" i="4"/>
  <c r="BA56" i="4"/>
  <c r="BB52" i="4"/>
  <c r="AS54" i="7"/>
  <c r="BE52" i="9"/>
  <c r="AU52" i="7"/>
  <c r="AU52" i="9"/>
  <c r="AT53" i="9"/>
  <c r="AR53" i="8"/>
  <c r="AS53" i="8"/>
  <c r="AT52" i="8"/>
  <c r="AQ52" i="8"/>
  <c r="AR52" i="8"/>
  <c r="AP52" i="8"/>
  <c r="AR51" i="9"/>
  <c r="BA51" i="9"/>
  <c r="BE51" i="9" s="1"/>
  <c r="BD51" i="9"/>
  <c r="AT51" i="9"/>
  <c r="AT50" i="9"/>
  <c r="AQ50" i="9"/>
  <c r="AU50" i="9" s="1"/>
  <c r="BC50" i="7"/>
  <c r="AT58" i="4"/>
  <c r="BA51" i="7"/>
  <c r="BD50" i="7"/>
  <c r="AZ59" i="4"/>
  <c r="AZ50" i="7"/>
  <c r="AZ53" i="7"/>
  <c r="BB51" i="7"/>
  <c r="BA50" i="7"/>
  <c r="BE50" i="7" s="1"/>
  <c r="BC51" i="7"/>
  <c r="AT54" i="4"/>
  <c r="BD51" i="7"/>
  <c r="AP56" i="7"/>
  <c r="AR49" i="7"/>
  <c r="BE49" i="7"/>
  <c r="AT60" i="8"/>
  <c r="BC58" i="4"/>
  <c r="AP52" i="4"/>
  <c r="BA55" i="4"/>
  <c r="AZ56" i="4"/>
  <c r="BC52" i="4"/>
  <c r="BB55" i="4"/>
  <c r="BB56" i="4"/>
  <c r="AQ58" i="4"/>
  <c r="AU58" i="4" s="1"/>
  <c r="AP57" i="4"/>
  <c r="AQ57" i="4"/>
  <c r="AU57" i="4" s="1"/>
  <c r="BC51" i="4"/>
  <c r="BB51" i="4"/>
  <c r="AS58" i="4"/>
  <c r="AR57" i="4"/>
  <c r="BD51" i="4"/>
  <c r="AS57" i="4"/>
  <c r="AZ51" i="4"/>
  <c r="AT57" i="4"/>
  <c r="BA51" i="4"/>
  <c r="AP58" i="4"/>
  <c r="BB60" i="4"/>
  <c r="BA60" i="4"/>
  <c r="BD58" i="4"/>
  <c r="BC60" i="4"/>
  <c r="AZ60" i="4"/>
  <c r="BA58" i="4"/>
  <c r="BE58" i="4" s="1"/>
  <c r="BC50" i="9"/>
  <c r="AT55" i="9"/>
  <c r="BD50" i="9"/>
  <c r="AR55" i="9"/>
  <c r="AP55" i="9"/>
  <c r="BA50" i="9"/>
  <c r="BE50" i="9" s="1"/>
  <c r="BB49" i="9"/>
  <c r="BD49" i="9"/>
  <c r="AZ49" i="9"/>
  <c r="BC49" i="9"/>
  <c r="BC51" i="9"/>
  <c r="AS50" i="9"/>
  <c r="AS53" i="9"/>
  <c r="AZ51" i="9"/>
  <c r="AP53" i="9"/>
  <c r="BC54" i="9"/>
  <c r="AQ53" i="9"/>
  <c r="AU53" i="9" s="1"/>
  <c r="AQ54" i="9"/>
  <c r="AP50" i="9"/>
  <c r="AZ54" i="9"/>
  <c r="AR54" i="9"/>
  <c r="BA54" i="9"/>
  <c r="AS54" i="9"/>
  <c r="AT54" i="9"/>
  <c r="BB54" i="9"/>
  <c r="AT53" i="7"/>
  <c r="AR57" i="7"/>
  <c r="AP53" i="7"/>
  <c r="AP57" i="7"/>
  <c r="AQ53" i="7"/>
  <c r="AR53" i="7"/>
  <c r="BA52" i="7"/>
  <c r="BD52" i="7"/>
  <c r="AZ52" i="7"/>
  <c r="BA53" i="7"/>
  <c r="AS49" i="7"/>
  <c r="AW61" i="7"/>
  <c r="BB53" i="7"/>
  <c r="AT49" i="7"/>
  <c r="BC53" i="7"/>
  <c r="AP49" i="7"/>
  <c r="AQ49" i="7"/>
  <c r="AQ56" i="7"/>
  <c r="AS56" i="7"/>
  <c r="BG61" i="7"/>
  <c r="AZ59" i="8"/>
  <c r="AZ60" i="8"/>
  <c r="BB60" i="8"/>
  <c r="BC60" i="8"/>
  <c r="BA60" i="8"/>
  <c r="AP54" i="4"/>
  <c r="BB59" i="4"/>
  <c r="AQ54" i="4"/>
  <c r="AU54" i="4" s="1"/>
  <c r="BC59" i="4"/>
  <c r="AR54" i="4"/>
  <c r="BA59" i="4"/>
  <c r="AR56" i="7"/>
  <c r="AT56" i="7"/>
  <c r="AQ59" i="8"/>
  <c r="BB59" i="8"/>
  <c r="AR59" i="8"/>
  <c r="BD59" i="8"/>
  <c r="BA59" i="8"/>
  <c r="AS59" i="8"/>
  <c r="AT59" i="8"/>
  <c r="BB52" i="7"/>
  <c r="BC60" i="9"/>
  <c r="BG61" i="9"/>
  <c r="AZ60" i="9"/>
  <c r="BA60" i="9"/>
  <c r="BF51" i="8"/>
  <c r="AR57" i="8"/>
  <c r="AQ57" i="8"/>
  <c r="AP57" i="8"/>
  <c r="AS57" i="8"/>
  <c r="AT57" i="8"/>
  <c r="AV60" i="4"/>
  <c r="AZ57" i="4"/>
  <c r="BD57" i="4"/>
  <c r="BC57" i="4"/>
  <c r="BB57" i="4"/>
  <c r="BA57" i="4"/>
  <c r="AV55" i="7"/>
  <c r="BF54" i="7"/>
  <c r="AT51" i="8"/>
  <c r="AS51" i="8"/>
  <c r="AR51" i="8"/>
  <c r="AQ51" i="8"/>
  <c r="AP51" i="8"/>
  <c r="AT56" i="9"/>
  <c r="AS56" i="9"/>
  <c r="AR56" i="9"/>
  <c r="AQ56" i="9"/>
  <c r="AP56" i="9"/>
  <c r="AV59" i="4"/>
  <c r="AV50" i="4"/>
  <c r="AQ53" i="4"/>
  <c r="AU53" i="4" s="1"/>
  <c r="AP53" i="4"/>
  <c r="AT53" i="4"/>
  <c r="AS53" i="4"/>
  <c r="AR53" i="4"/>
  <c r="AQ49" i="4"/>
  <c r="AU49" i="4" s="1"/>
  <c r="AW61" i="4"/>
  <c r="AP49" i="4"/>
  <c r="AT49" i="4"/>
  <c r="AS49" i="4"/>
  <c r="AR49" i="4"/>
  <c r="AV55" i="8"/>
  <c r="BF55" i="8"/>
  <c r="BD49" i="8"/>
  <c r="BC49" i="8"/>
  <c r="BB49" i="8"/>
  <c r="BG61" i="8"/>
  <c r="BA49" i="8"/>
  <c r="AZ49" i="8"/>
  <c r="AV58" i="9"/>
  <c r="BF52" i="9"/>
  <c r="BD59" i="9"/>
  <c r="BB59" i="9"/>
  <c r="BA59" i="9"/>
  <c r="BC59" i="9"/>
  <c r="AZ59" i="9"/>
  <c r="AV52" i="9"/>
  <c r="AZ53" i="4"/>
  <c r="BD53" i="4"/>
  <c r="BC53" i="4"/>
  <c r="BB53" i="4"/>
  <c r="BA53" i="4"/>
  <c r="BF59" i="7"/>
  <c r="AV51" i="7"/>
  <c r="AT49" i="8"/>
  <c r="AS49" i="8"/>
  <c r="AR49" i="8"/>
  <c r="AQ49" i="8"/>
  <c r="AW61" i="8"/>
  <c r="AP49" i="8"/>
  <c r="AR60" i="9"/>
  <c r="AQ60" i="9"/>
  <c r="AP60" i="9"/>
  <c r="AT60" i="9"/>
  <c r="AS60" i="9"/>
  <c r="BF58" i="9"/>
  <c r="AV52" i="7"/>
  <c r="BD53" i="8"/>
  <c r="BC53" i="8"/>
  <c r="BB53" i="8"/>
  <c r="BA53" i="8"/>
  <c r="AZ53" i="8"/>
  <c r="AS54" i="8"/>
  <c r="AR54" i="8"/>
  <c r="AQ54" i="8"/>
  <c r="AP54" i="8"/>
  <c r="AT54" i="8"/>
  <c r="BF55" i="9"/>
  <c r="BC56" i="8"/>
  <c r="BB56" i="8"/>
  <c r="BA56" i="8"/>
  <c r="AZ56" i="8"/>
  <c r="BD56" i="8"/>
  <c r="BF57" i="9"/>
  <c r="AW61" i="9"/>
  <c r="AQ49" i="9"/>
  <c r="AS49" i="9"/>
  <c r="AR49" i="9"/>
  <c r="AP49" i="9"/>
  <c r="AT49" i="9"/>
  <c r="BD54" i="4"/>
  <c r="BC54" i="4"/>
  <c r="BB54" i="4"/>
  <c r="BA54" i="4"/>
  <c r="AZ54" i="4"/>
  <c r="BF55" i="7"/>
  <c r="BF58" i="7"/>
  <c r="BF49" i="7"/>
  <c r="AV50" i="7"/>
  <c r="BF57" i="7"/>
  <c r="AS50" i="8"/>
  <c r="AR50" i="8"/>
  <c r="AQ50" i="8"/>
  <c r="AP50" i="8"/>
  <c r="AT50" i="8"/>
  <c r="BB50" i="8"/>
  <c r="BA50" i="8"/>
  <c r="AZ50" i="8"/>
  <c r="BD50" i="8"/>
  <c r="BC50" i="8"/>
  <c r="AV59" i="9"/>
  <c r="BD56" i="9"/>
  <c r="BC56" i="9"/>
  <c r="BB56" i="9"/>
  <c r="BA56" i="9"/>
  <c r="AZ56" i="9"/>
  <c r="AV51" i="4"/>
  <c r="AV59" i="7"/>
  <c r="BF56" i="7"/>
  <c r="AV58" i="7"/>
  <c r="BF60" i="7"/>
  <c r="BF58" i="8"/>
  <c r="AV56" i="8"/>
  <c r="AV58" i="8"/>
  <c r="BF54" i="8"/>
  <c r="BF57" i="8"/>
  <c r="BF50" i="4"/>
  <c r="AZ49" i="4"/>
  <c r="BG61" i="4"/>
  <c r="BC49" i="4"/>
  <c r="BB49" i="4"/>
  <c r="BA49" i="4"/>
  <c r="BD49" i="4"/>
  <c r="AV60" i="7"/>
  <c r="N130" i="10"/>
  <c r="M130" i="10"/>
  <c r="L130" i="10"/>
  <c r="K130" i="10"/>
  <c r="J130" i="10"/>
  <c r="N129" i="10"/>
  <c r="M129" i="10"/>
  <c r="L129" i="10"/>
  <c r="K129" i="10"/>
  <c r="J129" i="10"/>
  <c r="N128" i="10"/>
  <c r="M128" i="10"/>
  <c r="L128" i="10"/>
  <c r="K128" i="10"/>
  <c r="J128" i="10"/>
  <c r="N127" i="10"/>
  <c r="M127" i="10"/>
  <c r="L127" i="10"/>
  <c r="K127" i="10"/>
  <c r="J127" i="10"/>
  <c r="N126" i="10"/>
  <c r="M126" i="10"/>
  <c r="L126" i="10"/>
  <c r="K126" i="10"/>
  <c r="J126" i="10"/>
  <c r="N125" i="10"/>
  <c r="M125" i="10"/>
  <c r="L125" i="10"/>
  <c r="K125" i="10"/>
  <c r="J125" i="10"/>
  <c r="N124" i="10"/>
  <c r="M124" i="10"/>
  <c r="L124" i="10"/>
  <c r="K124" i="10"/>
  <c r="J124" i="10"/>
  <c r="N123" i="10"/>
  <c r="M123" i="10"/>
  <c r="L123" i="10"/>
  <c r="K123" i="10"/>
  <c r="J123" i="10"/>
  <c r="N122" i="10"/>
  <c r="M122" i="10"/>
  <c r="L122" i="10"/>
  <c r="K122" i="10"/>
  <c r="J122" i="10"/>
  <c r="N121" i="10"/>
  <c r="M121" i="10"/>
  <c r="L121" i="10"/>
  <c r="K121" i="10"/>
  <c r="J121" i="10"/>
  <c r="Q130" i="10"/>
  <c r="Q129" i="10"/>
  <c r="Q128" i="10"/>
  <c r="Q127" i="10"/>
  <c r="Q126" i="10"/>
  <c r="Q125" i="10"/>
  <c r="Q124" i="10"/>
  <c r="Q123" i="10"/>
  <c r="Q122" i="10"/>
  <c r="Q121" i="10"/>
  <c r="Q120" i="10"/>
  <c r="N115" i="10"/>
  <c r="M115" i="10"/>
  <c r="L115" i="10"/>
  <c r="K115" i="10"/>
  <c r="J115" i="10"/>
  <c r="I115" i="10"/>
  <c r="F115" i="10"/>
  <c r="E115" i="10"/>
  <c r="D115" i="10"/>
  <c r="C115" i="10"/>
  <c r="B115" i="10"/>
  <c r="A115" i="10"/>
  <c r="B114" i="10"/>
  <c r="N94" i="10"/>
  <c r="M94" i="10"/>
  <c r="L94" i="10"/>
  <c r="K94" i="10"/>
  <c r="J94" i="10"/>
  <c r="I94" i="10"/>
  <c r="J93" i="10"/>
  <c r="F110" i="10"/>
  <c r="E110" i="10"/>
  <c r="D110" i="10"/>
  <c r="C110" i="10"/>
  <c r="B110" i="10"/>
  <c r="A110" i="10"/>
  <c r="F109" i="10"/>
  <c r="E109" i="10"/>
  <c r="D109" i="10"/>
  <c r="C109" i="10"/>
  <c r="B109" i="10"/>
  <c r="F108" i="10"/>
  <c r="E108" i="10"/>
  <c r="D108" i="10"/>
  <c r="C108" i="10"/>
  <c r="B108" i="10"/>
  <c r="F107" i="10"/>
  <c r="E107" i="10"/>
  <c r="D107" i="10"/>
  <c r="C107" i="10"/>
  <c r="B107" i="10"/>
  <c r="F106" i="10"/>
  <c r="E106" i="10"/>
  <c r="D106" i="10"/>
  <c r="C106" i="10"/>
  <c r="B106" i="10"/>
  <c r="F105" i="10"/>
  <c r="E105" i="10"/>
  <c r="D105" i="10"/>
  <c r="C105" i="10"/>
  <c r="B105" i="10"/>
  <c r="F104" i="10"/>
  <c r="E104" i="10"/>
  <c r="D104" i="10"/>
  <c r="C104" i="10"/>
  <c r="B104" i="10"/>
  <c r="F103" i="10"/>
  <c r="E103" i="10"/>
  <c r="D103" i="10"/>
  <c r="C103" i="10"/>
  <c r="B103" i="10"/>
  <c r="F102" i="10"/>
  <c r="E102" i="10"/>
  <c r="D102" i="10"/>
  <c r="C102" i="10"/>
  <c r="B102" i="10"/>
  <c r="F101" i="10"/>
  <c r="E101" i="10"/>
  <c r="D101" i="10"/>
  <c r="C101" i="10"/>
  <c r="B101" i="10"/>
  <c r="F100" i="10"/>
  <c r="E100" i="10"/>
  <c r="D100" i="10"/>
  <c r="C100" i="10"/>
  <c r="B100" i="10"/>
  <c r="F99" i="10"/>
  <c r="E99" i="10"/>
  <c r="D99" i="10"/>
  <c r="C99" i="10"/>
  <c r="B99" i="10"/>
  <c r="F98" i="10"/>
  <c r="E98" i="10"/>
  <c r="D98" i="10"/>
  <c r="C98" i="10"/>
  <c r="B98" i="10"/>
  <c r="F97" i="10"/>
  <c r="E97" i="10"/>
  <c r="D97" i="10"/>
  <c r="C97" i="10"/>
  <c r="B97" i="10"/>
  <c r="F96" i="10"/>
  <c r="E96" i="10"/>
  <c r="D96" i="10"/>
  <c r="C96" i="10"/>
  <c r="B96" i="10"/>
  <c r="F95" i="10"/>
  <c r="E95" i="10"/>
  <c r="D95" i="10"/>
  <c r="C95" i="10"/>
  <c r="B95" i="10"/>
  <c r="A95" i="10"/>
  <c r="F94" i="10"/>
  <c r="E94" i="10"/>
  <c r="D94" i="10"/>
  <c r="C94" i="10"/>
  <c r="B94" i="10"/>
  <c r="A94" i="10"/>
  <c r="C93" i="10"/>
  <c r="B93" i="10"/>
  <c r="AF48" i="6" a="1"/>
  <c r="V48" i="6" a="1"/>
  <c r="L48" i="6" a="1"/>
  <c r="B48" i="6" a="1"/>
  <c r="AZ27" i="6" a="1"/>
  <c r="AP27" i="6" a="1"/>
  <c r="AF27" i="6" a="1"/>
  <c r="V27" i="6" a="1"/>
  <c r="L27" i="6" a="1"/>
  <c r="B27" i="6" a="1"/>
  <c r="AZ6" i="6" a="1"/>
  <c r="AP6" i="6" a="1"/>
  <c r="AF6" i="6" a="1"/>
  <c r="V6" i="6" a="1"/>
  <c r="L6" i="6" a="1"/>
  <c r="B6" i="6" a="1"/>
  <c r="A5" i="6" a="1"/>
  <c r="AP6" i="5" a="1"/>
  <c r="AZ6" i="5" a="1"/>
  <c r="AF6" i="5" a="1"/>
  <c r="AF48" i="5" a="1"/>
  <c r="V48" i="5" a="1"/>
  <c r="L48" i="5" a="1"/>
  <c r="B48" i="5" a="1"/>
  <c r="AZ27" i="5" a="1"/>
  <c r="AP27" i="5" a="1"/>
  <c r="AF27" i="5" a="1"/>
  <c r="V27" i="5" a="1"/>
  <c r="L27" i="5" a="1"/>
  <c r="B27" i="5" a="1"/>
  <c r="V6" i="5" a="1"/>
  <c r="L6" i="5" a="1"/>
  <c r="B6" i="5" a="1"/>
  <c r="AE61" i="5"/>
  <c r="U61" i="5"/>
  <c r="K61" i="5"/>
  <c r="A61" i="5"/>
  <c r="AM48" i="5"/>
  <c r="AC48" i="5"/>
  <c r="S48" i="5"/>
  <c r="I48" i="5"/>
  <c r="BG47" i="5"/>
  <c r="BD47" i="5"/>
  <c r="BC47" i="5"/>
  <c r="BB47" i="5"/>
  <c r="BA47" i="5"/>
  <c r="AZ47" i="5"/>
  <c r="AW47" i="5"/>
  <c r="AT47" i="5"/>
  <c r="AS47" i="5"/>
  <c r="AR47" i="5"/>
  <c r="AQ47" i="5"/>
  <c r="AP47" i="5"/>
  <c r="AM47" i="5"/>
  <c r="AC47" i="5"/>
  <c r="S47" i="5"/>
  <c r="I47" i="5"/>
  <c r="AE40" i="5"/>
  <c r="U40" i="5"/>
  <c r="K40" i="5"/>
  <c r="A40" i="5"/>
  <c r="BG27" i="5"/>
  <c r="AW27" i="5"/>
  <c r="AM27" i="5"/>
  <c r="AC27" i="5"/>
  <c r="S27" i="5"/>
  <c r="I27" i="5"/>
  <c r="BG26" i="5"/>
  <c r="AW26" i="5"/>
  <c r="AM26" i="5"/>
  <c r="AC26" i="5"/>
  <c r="S26" i="5"/>
  <c r="I26" i="5"/>
  <c r="AE19" i="5"/>
  <c r="U19" i="5"/>
  <c r="K19" i="5"/>
  <c r="A19" i="5"/>
  <c r="BG6" i="5"/>
  <c r="AW6" i="5"/>
  <c r="AM6" i="5"/>
  <c r="AC6" i="5"/>
  <c r="S6" i="5"/>
  <c r="I6" i="5"/>
  <c r="BG5" i="5"/>
  <c r="AW5" i="5"/>
  <c r="AM5" i="5"/>
  <c r="AC5" i="5"/>
  <c r="S5" i="5"/>
  <c r="I5" i="5"/>
  <c r="BE60" i="4" l="1"/>
  <c r="AU60" i="9"/>
  <c r="AV60" i="8"/>
  <c r="BE59" i="8"/>
  <c r="BE59" i="4"/>
  <c r="BE59" i="9"/>
  <c r="AU59" i="8"/>
  <c r="AU57" i="9"/>
  <c r="BE57" i="4"/>
  <c r="AU57" i="8"/>
  <c r="AU57" i="7"/>
  <c r="BE56" i="9"/>
  <c r="AU56" i="7"/>
  <c r="BE56" i="4"/>
  <c r="AU56" i="9"/>
  <c r="BE56" i="8"/>
  <c r="BE51" i="4"/>
  <c r="AV55" i="9"/>
  <c r="AU55" i="9"/>
  <c r="BE55" i="4"/>
  <c r="AU54" i="9"/>
  <c r="BE54" i="9"/>
  <c r="AU54" i="8"/>
  <c r="BE54" i="4"/>
  <c r="AU54" i="7"/>
  <c r="BF53" i="9"/>
  <c r="AV52" i="4"/>
  <c r="BF52" i="8"/>
  <c r="BE52" i="4"/>
  <c r="AV55" i="4"/>
  <c r="BE53" i="4"/>
  <c r="BE51" i="7"/>
  <c r="BF52" i="4"/>
  <c r="AV57" i="7"/>
  <c r="AV54" i="7"/>
  <c r="AV56" i="4"/>
  <c r="AU49" i="7"/>
  <c r="BE52" i="8"/>
  <c r="BF51" i="4"/>
  <c r="AV54" i="9"/>
  <c r="AU52" i="8"/>
  <c r="AV57" i="9"/>
  <c r="BE53" i="8"/>
  <c r="AU50" i="8"/>
  <c r="BF55" i="4"/>
  <c r="AV51" i="9"/>
  <c r="BF56" i="4"/>
  <c r="AV58" i="4"/>
  <c r="BF60" i="4"/>
  <c r="AV53" i="8"/>
  <c r="BE52" i="7"/>
  <c r="AU53" i="7"/>
  <c r="BE50" i="8"/>
  <c r="AU51" i="8"/>
  <c r="BE53" i="7"/>
  <c r="AU51" i="9"/>
  <c r="AU53" i="8"/>
  <c r="AV53" i="7"/>
  <c r="AV52" i="8"/>
  <c r="BF51" i="9"/>
  <c r="AV50" i="9"/>
  <c r="BF50" i="7"/>
  <c r="BF49" i="9"/>
  <c r="BE49" i="9"/>
  <c r="AU49" i="9"/>
  <c r="BF51" i="7"/>
  <c r="AV54" i="4"/>
  <c r="BF58" i="4"/>
  <c r="BE49" i="4"/>
  <c r="BF52" i="7"/>
  <c r="AU49" i="8"/>
  <c r="BE49" i="8"/>
  <c r="BF60" i="8"/>
  <c r="AV57" i="4"/>
  <c r="BF59" i="4"/>
  <c r="AV53" i="9"/>
  <c r="BF50" i="9"/>
  <c r="BC61" i="9"/>
  <c r="BA61" i="9"/>
  <c r="BB61" i="9"/>
  <c r="BD61" i="9"/>
  <c r="AZ61" i="9"/>
  <c r="BF54" i="9"/>
  <c r="AZ61" i="7"/>
  <c r="AQ61" i="7"/>
  <c r="AP61" i="7"/>
  <c r="BA61" i="7"/>
  <c r="AR61" i="7"/>
  <c r="BB61" i="7"/>
  <c r="AS61" i="7"/>
  <c r="BC61" i="7"/>
  <c r="AT61" i="7"/>
  <c r="BD61" i="7"/>
  <c r="BF53" i="7"/>
  <c r="AV49" i="7"/>
  <c r="AV56" i="7"/>
  <c r="BF59" i="8"/>
  <c r="BE60" i="8"/>
  <c r="BF60" i="9"/>
  <c r="BE60" i="9"/>
  <c r="AV59" i="8"/>
  <c r="BD61" i="4"/>
  <c r="AP61" i="4"/>
  <c r="AR61" i="4"/>
  <c r="AQ61" i="4"/>
  <c r="BB61" i="4"/>
  <c r="BC61" i="4"/>
  <c r="BA61" i="4"/>
  <c r="AV49" i="9"/>
  <c r="BF56" i="8"/>
  <c r="AR61" i="9"/>
  <c r="BF53" i="4"/>
  <c r="AV49" i="4"/>
  <c r="AZ61" i="8"/>
  <c r="AT61" i="4"/>
  <c r="BF56" i="9"/>
  <c r="AP61" i="8"/>
  <c r="BF59" i="9"/>
  <c r="BA61" i="8"/>
  <c r="BF50" i="8"/>
  <c r="AV54" i="8"/>
  <c r="AQ61" i="8"/>
  <c r="BB61" i="8"/>
  <c r="AV57" i="8"/>
  <c r="AV60" i="9"/>
  <c r="AV49" i="8"/>
  <c r="AR61" i="8"/>
  <c r="BC61" i="8"/>
  <c r="BF49" i="4"/>
  <c r="AZ61" i="4"/>
  <c r="AS61" i="9"/>
  <c r="AS61" i="8"/>
  <c r="BF49" i="8"/>
  <c r="BD61" i="8"/>
  <c r="AT61" i="9"/>
  <c r="AT61" i="8"/>
  <c r="AV56" i="9"/>
  <c r="BF57" i="4"/>
  <c r="AP61" i="9"/>
  <c r="BF53" i="8"/>
  <c r="AV53" i="4"/>
  <c r="AV51" i="8"/>
  <c r="AV50" i="8"/>
  <c r="BF54" i="4"/>
  <c r="AQ61" i="9"/>
  <c r="AS61" i="4"/>
  <c r="BE61" i="9" l="1"/>
  <c r="BF61" i="7"/>
  <c r="AV61" i="7"/>
  <c r="AU61" i="7"/>
  <c r="BF61" i="9"/>
  <c r="BE61" i="7"/>
  <c r="BF61" i="4"/>
  <c r="BE61" i="4"/>
  <c r="AV61" i="4"/>
  <c r="AU61" i="4"/>
  <c r="AV61" i="9"/>
  <c r="AU61" i="9"/>
  <c r="AV61" i="8"/>
  <c r="AU61" i="8"/>
  <c r="BF61" i="8"/>
  <c r="BE61" i="8"/>
  <c r="U3" i="1"/>
  <c r="BG3" i="1" s="1"/>
  <c r="F131" i="10"/>
  <c r="E131" i="10"/>
  <c r="D131" i="10"/>
  <c r="C131" i="10"/>
  <c r="B131" i="10"/>
  <c r="F130" i="10"/>
  <c r="E130" i="10"/>
  <c r="D130" i="10"/>
  <c r="C130" i="10"/>
  <c r="B130" i="10"/>
  <c r="F129" i="10"/>
  <c r="E129" i="10"/>
  <c r="D129" i="10"/>
  <c r="C129" i="10"/>
  <c r="B129" i="10"/>
  <c r="F128" i="10"/>
  <c r="E128" i="10"/>
  <c r="D128" i="10"/>
  <c r="C128" i="10"/>
  <c r="B128" i="10"/>
  <c r="F127" i="10"/>
  <c r="E127" i="10"/>
  <c r="D127" i="10"/>
  <c r="C127" i="10"/>
  <c r="B127" i="10"/>
  <c r="F126" i="10"/>
  <c r="E126" i="10"/>
  <c r="D126" i="10"/>
  <c r="C126" i="10"/>
  <c r="B126" i="10"/>
  <c r="F125" i="10"/>
  <c r="E125" i="10"/>
  <c r="D125" i="10"/>
  <c r="C125" i="10"/>
  <c r="B125" i="10"/>
  <c r="F124" i="10"/>
  <c r="E124" i="10"/>
  <c r="D124" i="10"/>
  <c r="C124" i="10"/>
  <c r="B124" i="10"/>
  <c r="F123" i="10"/>
  <c r="E123" i="10"/>
  <c r="D123" i="10"/>
  <c r="C123" i="10"/>
  <c r="B123" i="10"/>
  <c r="F122" i="10"/>
  <c r="E122" i="10"/>
  <c r="D122" i="10"/>
  <c r="C122" i="10"/>
  <c r="B122" i="10"/>
  <c r="F121" i="10"/>
  <c r="E121" i="10"/>
  <c r="D121" i="10"/>
  <c r="C121" i="10"/>
  <c r="B121" i="10"/>
  <c r="F120" i="10"/>
  <c r="E120" i="10"/>
  <c r="D120" i="10"/>
  <c r="C120" i="10"/>
  <c r="B120" i="10"/>
  <c r="F119" i="10"/>
  <c r="E119" i="10"/>
  <c r="D119" i="10"/>
  <c r="C119" i="10"/>
  <c r="B119" i="10"/>
  <c r="F118" i="10"/>
  <c r="N118" i="10" s="1"/>
  <c r="E118" i="10"/>
  <c r="M118" i="10" s="1"/>
  <c r="D118" i="10"/>
  <c r="L118" i="10" s="1"/>
  <c r="C118" i="10"/>
  <c r="K118" i="10" s="1"/>
  <c r="B118" i="10"/>
  <c r="J118" i="10" s="1"/>
  <c r="F117" i="10"/>
  <c r="E117" i="10"/>
  <c r="D117" i="10"/>
  <c r="C117" i="10"/>
  <c r="B117" i="10"/>
  <c r="F116" i="10"/>
  <c r="N116" i="10" s="1"/>
  <c r="E116" i="10"/>
  <c r="M116" i="10" s="1"/>
  <c r="D116" i="10"/>
  <c r="L116" i="10" s="1"/>
  <c r="C116" i="10"/>
  <c r="K116" i="10" s="1"/>
  <c r="B116" i="10"/>
  <c r="J116" i="10" s="1"/>
  <c r="A116" i="10"/>
  <c r="I116" i="10" s="1"/>
  <c r="C114" i="10"/>
  <c r="N110" i="10"/>
  <c r="M110" i="10"/>
  <c r="L110" i="10"/>
  <c r="K110" i="10"/>
  <c r="J110" i="10"/>
  <c r="N109" i="10"/>
  <c r="M109" i="10"/>
  <c r="L109" i="10"/>
  <c r="K109" i="10"/>
  <c r="J109" i="10"/>
  <c r="N108" i="10"/>
  <c r="M108" i="10"/>
  <c r="L108" i="10"/>
  <c r="K108" i="10"/>
  <c r="J108" i="10"/>
  <c r="N107" i="10"/>
  <c r="M107" i="10"/>
  <c r="L107" i="10"/>
  <c r="K107" i="10"/>
  <c r="J107" i="10"/>
  <c r="N106" i="10"/>
  <c r="M106" i="10"/>
  <c r="L106" i="10"/>
  <c r="K106" i="10"/>
  <c r="J106" i="10"/>
  <c r="N105" i="10"/>
  <c r="M105" i="10"/>
  <c r="L105" i="10"/>
  <c r="K105" i="10"/>
  <c r="J105" i="10"/>
  <c r="N104" i="10"/>
  <c r="M104" i="10"/>
  <c r="L104" i="10"/>
  <c r="K104" i="10"/>
  <c r="J104" i="10"/>
  <c r="N103" i="10"/>
  <c r="M103" i="10"/>
  <c r="L103" i="10"/>
  <c r="K103" i="10"/>
  <c r="J103" i="10"/>
  <c r="N102" i="10"/>
  <c r="M102" i="10"/>
  <c r="L102" i="10"/>
  <c r="K102" i="10"/>
  <c r="J102" i="10"/>
  <c r="N101" i="10"/>
  <c r="M101" i="10"/>
  <c r="L101" i="10"/>
  <c r="K101" i="10"/>
  <c r="J101" i="10"/>
  <c r="N100" i="10"/>
  <c r="M100" i="10"/>
  <c r="L100" i="10"/>
  <c r="K100" i="10"/>
  <c r="J100" i="10"/>
  <c r="N99" i="10"/>
  <c r="M99" i="10"/>
  <c r="L99" i="10"/>
  <c r="K99" i="10"/>
  <c r="J99" i="10"/>
  <c r="N98" i="10"/>
  <c r="M98" i="10"/>
  <c r="L98" i="10"/>
  <c r="K98" i="10"/>
  <c r="J98" i="10"/>
  <c r="N97" i="10"/>
  <c r="M97" i="10"/>
  <c r="L97" i="10"/>
  <c r="K97" i="10"/>
  <c r="J97" i="10"/>
  <c r="N96" i="10"/>
  <c r="M96" i="10"/>
  <c r="L96" i="10"/>
  <c r="K96" i="10"/>
  <c r="J96" i="10"/>
  <c r="N95" i="10"/>
  <c r="M95" i="10"/>
  <c r="L95" i="10"/>
  <c r="K95" i="10"/>
  <c r="J95" i="10"/>
  <c r="I95" i="10"/>
  <c r="K93" i="10"/>
  <c r="A88" i="10"/>
  <c r="K88" i="10" s="1"/>
  <c r="S74" i="10"/>
  <c r="R74" i="10"/>
  <c r="Q74" i="10"/>
  <c r="P74" i="10"/>
  <c r="O74" i="10"/>
  <c r="N74" i="10"/>
  <c r="M74" i="10"/>
  <c r="L74" i="10"/>
  <c r="I74" i="10"/>
  <c r="H74" i="10"/>
  <c r="G74" i="10"/>
  <c r="F74" i="10"/>
  <c r="E74" i="10"/>
  <c r="D74" i="10"/>
  <c r="C74" i="10"/>
  <c r="B74" i="10"/>
  <c r="K68" i="10"/>
  <c r="P67" i="10"/>
  <c r="O67" i="10"/>
  <c r="P64" i="10"/>
  <c r="O64" i="10"/>
  <c r="S54" i="10"/>
  <c r="N54" i="10"/>
  <c r="M54" i="10"/>
  <c r="L54" i="10"/>
  <c r="I54" i="10"/>
  <c r="F54" i="10"/>
  <c r="E54" i="10"/>
  <c r="D54" i="10"/>
  <c r="C54" i="10"/>
  <c r="B54" i="10"/>
  <c r="K43" i="10"/>
  <c r="S29" i="10"/>
  <c r="R29" i="10"/>
  <c r="Q29" i="10"/>
  <c r="P29" i="10"/>
  <c r="O29" i="10"/>
  <c r="N29" i="10"/>
  <c r="M29" i="10"/>
  <c r="L29" i="10"/>
  <c r="I29" i="10"/>
  <c r="H29" i="10"/>
  <c r="G29" i="10"/>
  <c r="F29" i="10"/>
  <c r="E29" i="10"/>
  <c r="D29" i="10"/>
  <c r="C29" i="10"/>
  <c r="B29" i="10"/>
  <c r="K20" i="10"/>
  <c r="S6" i="10"/>
  <c r="R6" i="10"/>
  <c r="Q6" i="10"/>
  <c r="P6" i="10"/>
  <c r="O6" i="10"/>
  <c r="N6" i="10"/>
  <c r="M6" i="10"/>
  <c r="L6" i="10"/>
  <c r="I6" i="10"/>
  <c r="H6" i="10"/>
  <c r="G6" i="10"/>
  <c r="F6" i="10"/>
  <c r="E6" i="10"/>
  <c r="D6" i="10"/>
  <c r="C6" i="10"/>
  <c r="B6" i="10"/>
  <c r="S75" i="10"/>
  <c r="Q75" i="10"/>
  <c r="I75" i="10"/>
  <c r="A131" i="10"/>
  <c r="I131" i="10" s="1"/>
  <c r="A68" i="10"/>
  <c r="S55" i="10"/>
  <c r="I55" i="10"/>
  <c r="A43" i="10"/>
  <c r="S30" i="10"/>
  <c r="I30" i="10"/>
  <c r="E30" i="10"/>
  <c r="A82" i="6"/>
  <c r="I110" i="10" s="1"/>
  <c r="Q119" i="10"/>
  <c r="K67" i="6"/>
  <c r="P66" i="6"/>
  <c r="O66" i="6"/>
  <c r="N66" i="6"/>
  <c r="M66" i="6"/>
  <c r="L66" i="6"/>
  <c r="K66" i="6"/>
  <c r="AO61" i="6"/>
  <c r="A20" i="10" s="1"/>
  <c r="BG48" i="6"/>
  <c r="S7" i="10" s="1"/>
  <c r="N7" i="10"/>
  <c r="AW48" i="6"/>
  <c r="AO40" i="6"/>
  <c r="AE40" i="6"/>
  <c r="U40" i="6"/>
  <c r="AY19" i="6"/>
  <c r="AE19" i="6"/>
  <c r="CN81" i="5"/>
  <c r="CN80" i="5"/>
  <c r="CN79" i="5"/>
  <c r="CN78" i="5"/>
  <c r="CN77" i="5"/>
  <c r="CN76" i="5"/>
  <c r="CN75" i="5"/>
  <c r="CN74" i="5"/>
  <c r="CN73" i="5"/>
  <c r="CN72" i="5"/>
  <c r="CN71" i="5"/>
  <c r="CN70" i="5"/>
  <c r="CN69" i="5"/>
  <c r="CN68" i="5"/>
  <c r="CN67" i="5"/>
  <c r="CW66" i="5"/>
  <c r="CV66" i="5"/>
  <c r="CU66" i="5"/>
  <c r="CT66" i="5"/>
  <c r="CS66" i="5"/>
  <c r="CR66" i="5"/>
  <c r="CQ66" i="5"/>
  <c r="CP66" i="5"/>
  <c r="CO66" i="5"/>
  <c r="CN66" i="5"/>
  <c r="CM66" i="5"/>
  <c r="CL66" i="5"/>
  <c r="CK66" i="5"/>
  <c r="CJ66" i="5"/>
  <c r="CI66" i="5"/>
  <c r="CH66" i="5"/>
  <c r="CG66" i="5"/>
  <c r="CF66" i="5"/>
  <c r="CE66" i="5"/>
  <c r="CW65" i="5"/>
  <c r="CV65" i="5"/>
  <c r="CU65" i="5"/>
  <c r="CT65" i="5"/>
  <c r="CS65" i="5"/>
  <c r="CR65" i="5"/>
  <c r="CQ65" i="5"/>
  <c r="CP65" i="5"/>
  <c r="CO65" i="5"/>
  <c r="CN65" i="5"/>
  <c r="CM65" i="5"/>
  <c r="CL65" i="5"/>
  <c r="CK65" i="5"/>
  <c r="CJ65" i="5"/>
  <c r="CI65" i="5"/>
  <c r="CH65" i="5"/>
  <c r="CG65" i="5"/>
  <c r="CF65" i="5"/>
  <c r="CE65" i="5"/>
  <c r="CW64" i="5"/>
  <c r="CV64" i="5"/>
  <c r="CU64" i="5"/>
  <c r="CT64" i="5"/>
  <c r="CS64" i="5"/>
  <c r="CR64" i="5"/>
  <c r="CQ64" i="5"/>
  <c r="CP64" i="5"/>
  <c r="CO64" i="5"/>
  <c r="CN64" i="5"/>
  <c r="CM64" i="5"/>
  <c r="CL64" i="5"/>
  <c r="CK64" i="5"/>
  <c r="CJ64" i="5"/>
  <c r="CI64" i="5"/>
  <c r="CH64" i="5"/>
  <c r="CG64" i="5"/>
  <c r="CF64" i="5"/>
  <c r="CE64" i="5"/>
  <c r="DH61" i="5"/>
  <c r="CX61" i="5"/>
  <c r="CN61" i="5"/>
  <c r="CD61" i="5"/>
  <c r="DI61" i="5"/>
  <c r="CY61" i="5"/>
  <c r="CO61" i="5"/>
  <c r="CE61" i="5"/>
  <c r="DH60" i="5"/>
  <c r="CX60" i="5"/>
  <c r="CN60" i="5"/>
  <c r="CD60" i="5"/>
  <c r="DH59" i="5"/>
  <c r="CX59" i="5"/>
  <c r="CN59" i="5"/>
  <c r="CD59" i="5"/>
  <c r="DH58" i="5"/>
  <c r="CX58" i="5"/>
  <c r="CN58" i="5"/>
  <c r="CD58" i="5"/>
  <c r="DH57" i="5"/>
  <c r="CX57" i="5"/>
  <c r="CN57" i="5"/>
  <c r="CD57" i="5"/>
  <c r="DH56" i="5"/>
  <c r="CX56" i="5"/>
  <c r="CN56" i="5"/>
  <c r="CD56" i="5"/>
  <c r="DH55" i="5"/>
  <c r="CX55" i="5"/>
  <c r="CN55" i="5"/>
  <c r="CD55" i="5"/>
  <c r="DH54" i="5"/>
  <c r="CX54" i="5"/>
  <c r="CN54" i="5"/>
  <c r="CD54" i="5"/>
  <c r="DH53" i="5"/>
  <c r="CX53" i="5"/>
  <c r="CN53" i="5"/>
  <c r="CD53" i="5"/>
  <c r="DH52" i="5"/>
  <c r="CX52" i="5"/>
  <c r="CN52" i="5"/>
  <c r="CD52" i="5"/>
  <c r="DH51" i="5"/>
  <c r="CX51" i="5"/>
  <c r="CN51" i="5"/>
  <c r="CD51" i="5"/>
  <c r="DH50" i="5"/>
  <c r="CX50" i="5"/>
  <c r="CN50" i="5"/>
  <c r="CD50" i="5"/>
  <c r="DH49" i="5"/>
  <c r="CX49" i="5"/>
  <c r="CN49" i="5"/>
  <c r="CD49" i="5"/>
  <c r="DH48" i="5"/>
  <c r="CX48" i="5"/>
  <c r="CN48" i="5"/>
  <c r="CD48" i="5"/>
  <c r="CW48" i="5"/>
  <c r="CM48" i="5"/>
  <c r="DH47" i="5"/>
  <c r="CX47" i="5"/>
  <c r="CN47" i="5"/>
  <c r="CD47" i="5"/>
  <c r="DQ47" i="5"/>
  <c r="DN47" i="5"/>
  <c r="DM47" i="5"/>
  <c r="DL47" i="5"/>
  <c r="BF47" i="5"/>
  <c r="DP47" i="5" s="1"/>
  <c r="DJ47" i="5"/>
  <c r="DG47" i="5"/>
  <c r="DD47" i="5"/>
  <c r="DC47" i="5"/>
  <c r="DB47" i="5"/>
  <c r="AU47" i="5"/>
  <c r="DE47" i="5" s="1"/>
  <c r="CZ47" i="5"/>
  <c r="R47" i="5"/>
  <c r="DQ46" i="5"/>
  <c r="DP46" i="5"/>
  <c r="DO46" i="5"/>
  <c r="DN46" i="5"/>
  <c r="DM46" i="5"/>
  <c r="DL46" i="5"/>
  <c r="DK46" i="5"/>
  <c r="DJ46" i="5"/>
  <c r="DI46" i="5"/>
  <c r="DH46" i="5"/>
  <c r="DG46" i="5"/>
  <c r="DF46" i="5"/>
  <c r="DE46" i="5"/>
  <c r="DD46" i="5"/>
  <c r="DC46" i="5"/>
  <c r="DB46" i="5"/>
  <c r="DA46" i="5"/>
  <c r="CZ46" i="5"/>
  <c r="CY46" i="5"/>
  <c r="CX46" i="5"/>
  <c r="CW46" i="5"/>
  <c r="CV46" i="5"/>
  <c r="CU46" i="5"/>
  <c r="CT46" i="5"/>
  <c r="CS46" i="5"/>
  <c r="CR46" i="5"/>
  <c r="CQ46" i="5"/>
  <c r="CP46" i="5"/>
  <c r="CO46" i="5"/>
  <c r="CN46" i="5"/>
  <c r="CM46" i="5"/>
  <c r="CL46" i="5"/>
  <c r="CK46" i="5"/>
  <c r="CJ46" i="5"/>
  <c r="CI46" i="5"/>
  <c r="CH46" i="5"/>
  <c r="CG46" i="5"/>
  <c r="CF46" i="5"/>
  <c r="CE46" i="5"/>
  <c r="CD46" i="5"/>
  <c r="DQ45" i="5"/>
  <c r="DP45" i="5"/>
  <c r="DO45" i="5"/>
  <c r="DN45" i="5"/>
  <c r="DM45" i="5"/>
  <c r="DL45" i="5"/>
  <c r="DK45" i="5"/>
  <c r="DJ45" i="5"/>
  <c r="DI45" i="5"/>
  <c r="DH45" i="5"/>
  <c r="DG45" i="5"/>
  <c r="DF45" i="5"/>
  <c r="DE45" i="5"/>
  <c r="DD45" i="5"/>
  <c r="DC45" i="5"/>
  <c r="DB45" i="5"/>
  <c r="DA45" i="5"/>
  <c r="CZ45" i="5"/>
  <c r="CY45" i="5"/>
  <c r="CX45" i="5"/>
  <c r="CW45" i="5"/>
  <c r="CV45" i="5"/>
  <c r="CU45" i="5"/>
  <c r="CT45" i="5"/>
  <c r="CS45" i="5"/>
  <c r="CR45" i="5"/>
  <c r="CQ45" i="5"/>
  <c r="CP45" i="5"/>
  <c r="CO45" i="5"/>
  <c r="CN45" i="5"/>
  <c r="CM45" i="5"/>
  <c r="CL45" i="5"/>
  <c r="CK45" i="5"/>
  <c r="CJ45" i="5"/>
  <c r="CI45" i="5"/>
  <c r="CH45" i="5"/>
  <c r="CG45" i="5"/>
  <c r="CF45" i="5"/>
  <c r="CE45" i="5"/>
  <c r="CD45" i="5"/>
  <c r="DQ44" i="5"/>
  <c r="DP44" i="5"/>
  <c r="DO44" i="5"/>
  <c r="DN44" i="5"/>
  <c r="DM44" i="5"/>
  <c r="DL44" i="5"/>
  <c r="DK44" i="5"/>
  <c r="DJ44" i="5"/>
  <c r="DI44" i="5"/>
  <c r="DH44" i="5"/>
  <c r="DG44" i="5"/>
  <c r="DF44" i="5"/>
  <c r="DE44" i="5"/>
  <c r="DD44" i="5"/>
  <c r="DC44" i="5"/>
  <c r="DB44" i="5"/>
  <c r="DA44" i="5"/>
  <c r="CZ44" i="5"/>
  <c r="CY44" i="5"/>
  <c r="CX44" i="5"/>
  <c r="CW44" i="5"/>
  <c r="CV44" i="5"/>
  <c r="CU44" i="5"/>
  <c r="CT44" i="5"/>
  <c r="CS44" i="5"/>
  <c r="CR44" i="5"/>
  <c r="CQ44" i="5"/>
  <c r="CP44" i="5"/>
  <c r="CO44" i="5"/>
  <c r="CN44" i="5"/>
  <c r="CM44" i="5"/>
  <c r="CL44" i="5"/>
  <c r="CK44" i="5"/>
  <c r="CJ44" i="5"/>
  <c r="CI44" i="5"/>
  <c r="CH44" i="5"/>
  <c r="CG44" i="5"/>
  <c r="CF44" i="5"/>
  <c r="CE44" i="5"/>
  <c r="CD44" i="5"/>
  <c r="DQ43" i="5"/>
  <c r="DP43" i="5"/>
  <c r="DO43" i="5"/>
  <c r="DN43" i="5"/>
  <c r="DM43" i="5"/>
  <c r="DL43" i="5"/>
  <c r="DK43" i="5"/>
  <c r="DJ43" i="5"/>
  <c r="DI43" i="5"/>
  <c r="DH43" i="5"/>
  <c r="DG43" i="5"/>
  <c r="DF43" i="5"/>
  <c r="DE43" i="5"/>
  <c r="DD43" i="5"/>
  <c r="DC43" i="5"/>
  <c r="DB43" i="5"/>
  <c r="DA43" i="5"/>
  <c r="CZ43" i="5"/>
  <c r="CY43" i="5"/>
  <c r="CX43" i="5"/>
  <c r="CW43" i="5"/>
  <c r="CV43" i="5"/>
  <c r="CU43" i="5"/>
  <c r="CT43" i="5"/>
  <c r="CS43" i="5"/>
  <c r="CR43" i="5"/>
  <c r="CQ43" i="5"/>
  <c r="CP43" i="5"/>
  <c r="CO43" i="5"/>
  <c r="CN43" i="5"/>
  <c r="CM43" i="5"/>
  <c r="CL43" i="5"/>
  <c r="CK43" i="5"/>
  <c r="CJ43" i="5"/>
  <c r="CI43" i="5"/>
  <c r="CH43" i="5"/>
  <c r="CG43" i="5"/>
  <c r="CF43" i="5"/>
  <c r="CE43" i="5"/>
  <c r="CD43" i="5"/>
  <c r="CC43" i="5"/>
  <c r="CB43" i="5"/>
  <c r="CA43" i="5"/>
  <c r="BZ43" i="5"/>
  <c r="BY43" i="5"/>
  <c r="BX43" i="5"/>
  <c r="BW43" i="5"/>
  <c r="BV43" i="5"/>
  <c r="BU43" i="5"/>
  <c r="BT43" i="5"/>
  <c r="BS43" i="5"/>
  <c r="BR43" i="5"/>
  <c r="BQ43" i="5"/>
  <c r="BP43" i="5"/>
  <c r="BO43" i="5"/>
  <c r="BN43" i="5"/>
  <c r="BM43" i="5"/>
  <c r="BL43" i="5"/>
  <c r="BK43" i="5"/>
  <c r="DQ41" i="5"/>
  <c r="DP41" i="5"/>
  <c r="DO41" i="5"/>
  <c r="DN41" i="5"/>
  <c r="DM41" i="5"/>
  <c r="DL41" i="5"/>
  <c r="DK41" i="5"/>
  <c r="DJ41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L41" i="5"/>
  <c r="CK41" i="5"/>
  <c r="CJ41" i="5"/>
  <c r="CI41" i="5"/>
  <c r="CH41" i="5"/>
  <c r="CG41" i="5"/>
  <c r="CF41" i="5"/>
  <c r="CE41" i="5"/>
  <c r="CD41" i="5"/>
  <c r="CC41" i="5"/>
  <c r="CB41" i="5"/>
  <c r="CA41" i="5"/>
  <c r="BZ41" i="5"/>
  <c r="BY41" i="5"/>
  <c r="BX41" i="5"/>
  <c r="BW41" i="5"/>
  <c r="BV41" i="5"/>
  <c r="BR41" i="5"/>
  <c r="BQ41" i="5"/>
  <c r="BP41" i="5"/>
  <c r="BO41" i="5"/>
  <c r="BN41" i="5"/>
  <c r="BM41" i="5"/>
  <c r="BL41" i="5"/>
  <c r="BK41" i="5"/>
  <c r="DI40" i="5"/>
  <c r="DH40" i="5"/>
  <c r="CY40" i="5"/>
  <c r="CX40" i="5"/>
  <c r="CN40" i="5"/>
  <c r="CD40" i="5"/>
  <c r="BT40" i="5"/>
  <c r="AY40" i="5"/>
  <c r="CO81" i="5" s="1"/>
  <c r="AO40" i="5"/>
  <c r="CE81" i="5" s="1"/>
  <c r="CO40" i="5"/>
  <c r="CE40" i="5"/>
  <c r="DH39" i="5"/>
  <c r="CX39" i="5"/>
  <c r="CN39" i="5"/>
  <c r="CD39" i="5"/>
  <c r="BT39" i="5"/>
  <c r="DH38" i="5"/>
  <c r="CX38" i="5"/>
  <c r="CN38" i="5"/>
  <c r="CD38" i="5"/>
  <c r="BT38" i="5"/>
  <c r="DH37" i="5"/>
  <c r="CX37" i="5"/>
  <c r="CN37" i="5"/>
  <c r="CD37" i="5"/>
  <c r="BT37" i="5"/>
  <c r="DH36" i="5"/>
  <c r="CX36" i="5"/>
  <c r="CN36" i="5"/>
  <c r="CD36" i="5"/>
  <c r="BT36" i="5"/>
  <c r="DH35" i="5"/>
  <c r="CX35" i="5"/>
  <c r="CN35" i="5"/>
  <c r="CD35" i="5"/>
  <c r="BT35" i="5"/>
  <c r="DH34" i="5"/>
  <c r="CX34" i="5"/>
  <c r="CN34" i="5"/>
  <c r="CD34" i="5"/>
  <c r="BT34" i="5"/>
  <c r="DH33" i="5"/>
  <c r="CX33" i="5"/>
  <c r="CN33" i="5"/>
  <c r="CD33" i="5"/>
  <c r="BT33" i="5"/>
  <c r="DH32" i="5"/>
  <c r="CX32" i="5"/>
  <c r="CN32" i="5"/>
  <c r="CD32" i="5"/>
  <c r="BT32" i="5"/>
  <c r="DH31" i="5"/>
  <c r="CX31" i="5"/>
  <c r="CN31" i="5"/>
  <c r="CD31" i="5"/>
  <c r="BT31" i="5"/>
  <c r="DH30" i="5"/>
  <c r="CX30" i="5"/>
  <c r="CN30" i="5"/>
  <c r="CD30" i="5"/>
  <c r="BT30" i="5"/>
  <c r="DH29" i="5"/>
  <c r="CX29" i="5"/>
  <c r="CN29" i="5"/>
  <c r="CD29" i="5"/>
  <c r="BT29" i="5"/>
  <c r="DH28" i="5"/>
  <c r="CX28" i="5"/>
  <c r="CN28" i="5"/>
  <c r="CD28" i="5"/>
  <c r="BT28" i="5"/>
  <c r="DQ27" i="5"/>
  <c r="DH27" i="5"/>
  <c r="DG27" i="5"/>
  <c r="CX27" i="5"/>
  <c r="CN27" i="5"/>
  <c r="CD27" i="5"/>
  <c r="BT27" i="5"/>
  <c r="CW68" i="5"/>
  <c r="CM68" i="5"/>
  <c r="DQ6" i="5"/>
  <c r="CW27" i="5"/>
  <c r="CM27" i="5"/>
  <c r="DH26" i="5"/>
  <c r="CX26" i="5"/>
  <c r="CN26" i="5"/>
  <c r="CD26" i="5"/>
  <c r="BT26" i="5"/>
  <c r="DQ25" i="5"/>
  <c r="DP25" i="5"/>
  <c r="DO25" i="5"/>
  <c r="DN25" i="5"/>
  <c r="DM25" i="5"/>
  <c r="DL25" i="5"/>
  <c r="DK25" i="5"/>
  <c r="DJ25" i="5"/>
  <c r="DI25" i="5"/>
  <c r="DH25" i="5"/>
  <c r="DG25" i="5"/>
  <c r="DF25" i="5"/>
  <c r="DE25" i="5"/>
  <c r="DD25" i="5"/>
  <c r="DC25" i="5"/>
  <c r="DB25" i="5"/>
  <c r="DA25" i="5"/>
  <c r="CZ25" i="5"/>
  <c r="CY25" i="5"/>
  <c r="CX25" i="5"/>
  <c r="CW25" i="5"/>
  <c r="CV25" i="5"/>
  <c r="CU25" i="5"/>
  <c r="CT25" i="5"/>
  <c r="CS25" i="5"/>
  <c r="CR25" i="5"/>
  <c r="CQ25" i="5"/>
  <c r="CP25" i="5"/>
  <c r="CO25" i="5"/>
  <c r="CN25" i="5"/>
  <c r="CM25" i="5"/>
  <c r="CL25" i="5"/>
  <c r="CK25" i="5"/>
  <c r="CJ25" i="5"/>
  <c r="CI25" i="5"/>
  <c r="CH25" i="5"/>
  <c r="CG25" i="5"/>
  <c r="CF25" i="5"/>
  <c r="CE25" i="5"/>
  <c r="CD25" i="5"/>
  <c r="CC25" i="5"/>
  <c r="CB25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DQ24" i="5"/>
  <c r="DP24" i="5"/>
  <c r="DO24" i="5"/>
  <c r="DN24" i="5"/>
  <c r="DM24" i="5"/>
  <c r="DL24" i="5"/>
  <c r="DK24" i="5"/>
  <c r="DJ24" i="5"/>
  <c r="DI24" i="5"/>
  <c r="DH24" i="5"/>
  <c r="DG24" i="5"/>
  <c r="DF24" i="5"/>
  <c r="DE24" i="5"/>
  <c r="DD24" i="5"/>
  <c r="DC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CP24" i="5"/>
  <c r="CO24" i="5"/>
  <c r="CN24" i="5"/>
  <c r="CM24" i="5"/>
  <c r="CL24" i="5"/>
  <c r="CK24" i="5"/>
  <c r="CJ24" i="5"/>
  <c r="CI24" i="5"/>
  <c r="CH24" i="5"/>
  <c r="CG24" i="5"/>
  <c r="CF24" i="5"/>
  <c r="CE24" i="5"/>
  <c r="CD24" i="5"/>
  <c r="CC24" i="5"/>
  <c r="CB24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DQ23" i="5"/>
  <c r="DP23" i="5"/>
  <c r="DO23" i="5"/>
  <c r="DN23" i="5"/>
  <c r="DM23" i="5"/>
  <c r="DL23" i="5"/>
  <c r="DK23" i="5"/>
  <c r="DJ23" i="5"/>
  <c r="DI23" i="5"/>
  <c r="DH23" i="5"/>
  <c r="DG23" i="5"/>
  <c r="DF23" i="5"/>
  <c r="DE23" i="5"/>
  <c r="DD23" i="5"/>
  <c r="DC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CP23" i="5"/>
  <c r="CO23" i="5"/>
  <c r="CN23" i="5"/>
  <c r="CM23" i="5"/>
  <c r="CL23" i="5"/>
  <c r="CK23" i="5"/>
  <c r="CJ23" i="5"/>
  <c r="CI23" i="5"/>
  <c r="CH23" i="5"/>
  <c r="CG23" i="5"/>
  <c r="CF23" i="5"/>
  <c r="CE23" i="5"/>
  <c r="CD23" i="5"/>
  <c r="CC23" i="5"/>
  <c r="CB23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DQ22" i="5"/>
  <c r="DP22" i="5"/>
  <c r="DO22" i="5"/>
  <c r="DN22" i="5"/>
  <c r="DM22" i="5"/>
  <c r="DL22" i="5"/>
  <c r="DK22" i="5"/>
  <c r="DJ22" i="5"/>
  <c r="DI22" i="5"/>
  <c r="DH22" i="5"/>
  <c r="DG22" i="5"/>
  <c r="DF22" i="5"/>
  <c r="DE22" i="5"/>
  <c r="DD22" i="5"/>
  <c r="DC22" i="5"/>
  <c r="DB22" i="5"/>
  <c r="DA22" i="5"/>
  <c r="CZ22" i="5"/>
  <c r="CY22" i="5"/>
  <c r="CX22" i="5"/>
  <c r="CW22" i="5"/>
  <c r="CV22" i="5"/>
  <c r="CU22" i="5"/>
  <c r="CT22" i="5"/>
  <c r="CS22" i="5"/>
  <c r="CR22" i="5"/>
  <c r="CQ22" i="5"/>
  <c r="CP22" i="5"/>
  <c r="CO22" i="5"/>
  <c r="CN22" i="5"/>
  <c r="CM22" i="5"/>
  <c r="CL22" i="5"/>
  <c r="CK22" i="5"/>
  <c r="CJ22" i="5"/>
  <c r="CI22" i="5"/>
  <c r="CH22" i="5"/>
  <c r="CG22" i="5"/>
  <c r="CF22" i="5"/>
  <c r="CE22" i="5"/>
  <c r="CD22" i="5"/>
  <c r="CC22" i="5"/>
  <c r="CB22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DQ20" i="5"/>
  <c r="DP20" i="5"/>
  <c r="DO20" i="5"/>
  <c r="DN20" i="5"/>
  <c r="DM20" i="5"/>
  <c r="DL20" i="5"/>
  <c r="DK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DI19" i="5"/>
  <c r="DH19" i="5"/>
  <c r="CY19" i="5"/>
  <c r="CX19" i="5"/>
  <c r="CN19" i="5"/>
  <c r="CD19" i="5"/>
  <c r="BT19" i="5"/>
  <c r="AY19" i="5"/>
  <c r="BU40" i="5" s="1"/>
  <c r="AO19" i="5"/>
  <c r="BK40" i="5" s="1"/>
  <c r="CO19" i="5"/>
  <c r="CE19" i="5"/>
  <c r="BU19" i="5"/>
  <c r="BK19" i="5"/>
  <c r="DH18" i="5"/>
  <c r="CX18" i="5"/>
  <c r="CN18" i="5"/>
  <c r="CD18" i="5"/>
  <c r="BT18" i="5"/>
  <c r="DH17" i="5"/>
  <c r="CX17" i="5"/>
  <c r="CN17" i="5"/>
  <c r="CD17" i="5"/>
  <c r="BT17" i="5"/>
  <c r="DH16" i="5"/>
  <c r="CX16" i="5"/>
  <c r="CN16" i="5"/>
  <c r="CD16" i="5"/>
  <c r="BT16" i="5"/>
  <c r="DH15" i="5"/>
  <c r="CX15" i="5"/>
  <c r="CN15" i="5"/>
  <c r="CD15" i="5"/>
  <c r="BT15" i="5"/>
  <c r="DH14" i="5"/>
  <c r="CX14" i="5"/>
  <c r="CN14" i="5"/>
  <c r="CD14" i="5"/>
  <c r="BT14" i="5"/>
  <c r="DH13" i="5"/>
  <c r="CX13" i="5"/>
  <c r="CN13" i="5"/>
  <c r="CD13" i="5"/>
  <c r="BT13" i="5"/>
  <c r="DH12" i="5"/>
  <c r="CX12" i="5"/>
  <c r="CN12" i="5"/>
  <c r="CD12" i="5"/>
  <c r="BT12" i="5"/>
  <c r="DH11" i="5"/>
  <c r="CX11" i="5"/>
  <c r="CN11" i="5"/>
  <c r="CD11" i="5"/>
  <c r="BT11" i="5"/>
  <c r="DH10" i="5"/>
  <c r="CX10" i="5"/>
  <c r="CN10" i="5"/>
  <c r="CD10" i="5"/>
  <c r="BT10" i="5"/>
  <c r="DH9" i="5"/>
  <c r="CX9" i="5"/>
  <c r="CN9" i="5"/>
  <c r="CD9" i="5"/>
  <c r="BT9" i="5"/>
  <c r="DH8" i="5"/>
  <c r="CX8" i="5"/>
  <c r="CN8" i="5"/>
  <c r="CD8" i="5"/>
  <c r="BT8" i="5"/>
  <c r="DH7" i="5"/>
  <c r="CX7" i="5"/>
  <c r="CN7" i="5"/>
  <c r="CD7" i="5"/>
  <c r="BT7" i="5"/>
  <c r="DH6" i="5"/>
  <c r="DG6" i="5"/>
  <c r="CX6" i="5"/>
  <c r="CN6" i="5"/>
  <c r="CD6" i="5"/>
  <c r="BT6" i="5"/>
  <c r="CC27" i="5"/>
  <c r="BS27" i="5"/>
  <c r="CW6" i="5"/>
  <c r="CM6" i="5"/>
  <c r="CC6" i="5"/>
  <c r="BS6" i="5"/>
  <c r="DH5" i="5"/>
  <c r="CX5" i="5"/>
  <c r="CN5" i="5"/>
  <c r="CD5" i="5"/>
  <c r="BT5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DQ3" i="5"/>
  <c r="DP3" i="5"/>
  <c r="DO3" i="5"/>
  <c r="DN3" i="5"/>
  <c r="DM3" i="5"/>
  <c r="DL3" i="5"/>
  <c r="DK3" i="5"/>
  <c r="DJ3" i="5"/>
  <c r="DI3" i="5"/>
  <c r="DH3" i="5"/>
  <c r="DG3" i="5"/>
  <c r="DF3" i="5"/>
  <c r="DE3" i="5"/>
  <c r="DD3" i="5"/>
  <c r="DC3" i="5"/>
  <c r="DB3" i="5"/>
  <c r="DA3" i="5"/>
  <c r="CZ3" i="5"/>
  <c r="CY3" i="5"/>
  <c r="CX3" i="5"/>
  <c r="CW3" i="5"/>
  <c r="CV3" i="5"/>
  <c r="CU3" i="5"/>
  <c r="CT3" i="5"/>
  <c r="CS3" i="5"/>
  <c r="CR3" i="5"/>
  <c r="CQ3" i="5"/>
  <c r="CP3" i="5"/>
  <c r="CO3" i="5"/>
  <c r="CN3" i="5"/>
  <c r="CM3" i="5"/>
  <c r="CL3" i="5"/>
  <c r="CK3" i="5"/>
  <c r="CJ3" i="5"/>
  <c r="CI3" i="5"/>
  <c r="CH3" i="5"/>
  <c r="CG3" i="5"/>
  <c r="CF3" i="5"/>
  <c r="CE3" i="5"/>
  <c r="CD3" i="5"/>
  <c r="CC3" i="5"/>
  <c r="CB3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DQ2" i="5"/>
  <c r="DP2" i="5"/>
  <c r="DO2" i="5"/>
  <c r="DN2" i="5"/>
  <c r="DM2" i="5"/>
  <c r="DL2" i="5"/>
  <c r="DK2" i="5"/>
  <c r="DJ2" i="5"/>
  <c r="DI2" i="5"/>
  <c r="DH2" i="5"/>
  <c r="DG2" i="5"/>
  <c r="DF2" i="5"/>
  <c r="DE2" i="5"/>
  <c r="DD2" i="5"/>
  <c r="DC2" i="5"/>
  <c r="DB2" i="5"/>
  <c r="DA2" i="5"/>
  <c r="CZ2" i="5"/>
  <c r="CY2" i="5"/>
  <c r="CX2" i="5"/>
  <c r="CW2" i="5"/>
  <c r="CV2" i="5"/>
  <c r="CU2" i="5"/>
  <c r="CT2" i="5"/>
  <c r="CS2" i="5"/>
  <c r="CR2" i="5"/>
  <c r="CQ2" i="5"/>
  <c r="CP2" i="5"/>
  <c r="CO2" i="5"/>
  <c r="CN2" i="5"/>
  <c r="CM2" i="5"/>
  <c r="CL2" i="5"/>
  <c r="CK2" i="5"/>
  <c r="CJ2" i="5"/>
  <c r="CI2" i="5"/>
  <c r="CH2" i="5"/>
  <c r="CG2" i="5"/>
  <c r="CF2" i="5"/>
  <c r="CE2" i="5"/>
  <c r="CD2" i="5"/>
  <c r="CC2" i="5"/>
  <c r="CB2" i="5"/>
  <c r="CA2" i="5"/>
  <c r="BZ2" i="5"/>
  <c r="BY2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G48" i="5"/>
  <c r="DQ48" i="5" s="1"/>
  <c r="J117" i="10" l="1"/>
  <c r="R54" i="10"/>
  <c r="Q54" i="10"/>
  <c r="H54" i="10"/>
  <c r="G54" i="10"/>
  <c r="K117" i="10"/>
  <c r="L117" i="10"/>
  <c r="M117" i="10"/>
  <c r="N117" i="10"/>
  <c r="AY40" i="6"/>
  <c r="BA34" i="5"/>
  <c r="AZ34" i="5"/>
  <c r="BD34" i="5"/>
  <c r="CT75" i="5" s="1"/>
  <c r="BC34" i="5"/>
  <c r="CS75" i="5" s="1"/>
  <c r="BB34" i="5"/>
  <c r="CR75" i="5" s="1"/>
  <c r="V33" i="5"/>
  <c r="Z33" i="5"/>
  <c r="Y33" i="5"/>
  <c r="DC12" i="5" s="1"/>
  <c r="X33" i="5"/>
  <c r="DB12" i="5" s="1"/>
  <c r="W33" i="5"/>
  <c r="P36" i="5"/>
  <c r="O36" i="5"/>
  <c r="CS36" i="5" s="1"/>
  <c r="N36" i="5"/>
  <c r="CR36" i="5" s="1"/>
  <c r="M36" i="5"/>
  <c r="L36" i="5"/>
  <c r="P35" i="5"/>
  <c r="CT35" i="5" s="1"/>
  <c r="O35" i="5"/>
  <c r="CS35" i="5" s="1"/>
  <c r="N35" i="5"/>
  <c r="CR35" i="5" s="1"/>
  <c r="M35" i="5"/>
  <c r="L35" i="5"/>
  <c r="BA37" i="5"/>
  <c r="AZ37" i="5"/>
  <c r="BD37" i="5"/>
  <c r="BC37" i="5"/>
  <c r="CS78" i="5" s="1"/>
  <c r="BB37" i="5"/>
  <c r="CR78" i="5" s="1"/>
  <c r="BA36" i="5"/>
  <c r="AZ36" i="5"/>
  <c r="BD36" i="5"/>
  <c r="CT77" i="5" s="1"/>
  <c r="BC36" i="5"/>
  <c r="CS77" i="5" s="1"/>
  <c r="BB36" i="5"/>
  <c r="CR77" i="5" s="1"/>
  <c r="P34" i="5"/>
  <c r="CT34" i="5" s="1"/>
  <c r="O34" i="5"/>
  <c r="CS34" i="5" s="1"/>
  <c r="N34" i="5"/>
  <c r="CR34" i="5" s="1"/>
  <c r="M34" i="5"/>
  <c r="L34" i="5"/>
  <c r="V36" i="5"/>
  <c r="Z36" i="5"/>
  <c r="DD15" i="5" s="1"/>
  <c r="Y36" i="5"/>
  <c r="DC15" i="5" s="1"/>
  <c r="X36" i="5"/>
  <c r="W36" i="5"/>
  <c r="L39" i="5"/>
  <c r="P39" i="5"/>
  <c r="CT39" i="5" s="1"/>
  <c r="O39" i="5"/>
  <c r="N39" i="5"/>
  <c r="CR39" i="5" s="1"/>
  <c r="M39" i="5"/>
  <c r="V29" i="5"/>
  <c r="Z29" i="5"/>
  <c r="Y29" i="5"/>
  <c r="DC8" i="5" s="1"/>
  <c r="X29" i="5"/>
  <c r="DB8" i="5" s="1"/>
  <c r="W29" i="5"/>
  <c r="BD39" i="5"/>
  <c r="BC39" i="5"/>
  <c r="CS80" i="5" s="1"/>
  <c r="BB39" i="5"/>
  <c r="CR80" i="5" s="1"/>
  <c r="BA39" i="5"/>
  <c r="AZ39" i="5"/>
  <c r="V37" i="5"/>
  <c r="Z37" i="5"/>
  <c r="DD16" i="5" s="1"/>
  <c r="Y37" i="5"/>
  <c r="DC16" i="5" s="1"/>
  <c r="X37" i="5"/>
  <c r="W37" i="5"/>
  <c r="O10" i="5"/>
  <c r="BY10" i="5" s="1"/>
  <c r="N10" i="5"/>
  <c r="BX10" i="5" s="1"/>
  <c r="M10" i="5"/>
  <c r="L10" i="5"/>
  <c r="P10" i="5"/>
  <c r="BZ10" i="5" s="1"/>
  <c r="V38" i="5"/>
  <c r="Z38" i="5"/>
  <c r="Y38" i="5"/>
  <c r="DC17" i="5" s="1"/>
  <c r="X38" i="5"/>
  <c r="DB17" i="5" s="1"/>
  <c r="W38" i="5"/>
  <c r="P38" i="5"/>
  <c r="CT38" i="5" s="1"/>
  <c r="O38" i="5"/>
  <c r="CS38" i="5" s="1"/>
  <c r="N38" i="5"/>
  <c r="CR38" i="5" s="1"/>
  <c r="M38" i="5"/>
  <c r="L38" i="5"/>
  <c r="P32" i="5"/>
  <c r="CT32" i="5" s="1"/>
  <c r="O32" i="5"/>
  <c r="CS32" i="5" s="1"/>
  <c r="N32" i="5"/>
  <c r="CR32" i="5" s="1"/>
  <c r="M32" i="5"/>
  <c r="L32" i="5"/>
  <c r="V28" i="5"/>
  <c r="Z28" i="5"/>
  <c r="Y28" i="5"/>
  <c r="X28" i="5"/>
  <c r="W28" i="5"/>
  <c r="P33" i="5"/>
  <c r="CT33" i="5" s="1"/>
  <c r="O33" i="5"/>
  <c r="CS33" i="5" s="1"/>
  <c r="N33" i="5"/>
  <c r="CR33" i="5" s="1"/>
  <c r="M33" i="5"/>
  <c r="L33" i="5"/>
  <c r="BD38" i="5"/>
  <c r="CT79" i="5" s="1"/>
  <c r="BC38" i="5"/>
  <c r="CS79" i="5" s="1"/>
  <c r="BB38" i="5"/>
  <c r="CR79" i="5" s="1"/>
  <c r="BA38" i="5"/>
  <c r="AZ38" i="5"/>
  <c r="V34" i="5"/>
  <c r="Z34" i="5"/>
  <c r="DD13" i="5" s="1"/>
  <c r="Y34" i="5"/>
  <c r="DC13" i="5" s="1"/>
  <c r="X34" i="5"/>
  <c r="DB13" i="5" s="1"/>
  <c r="W34" i="5"/>
  <c r="BA35" i="5"/>
  <c r="AZ35" i="5"/>
  <c r="BD35" i="5"/>
  <c r="CT76" i="5" s="1"/>
  <c r="BC35" i="5"/>
  <c r="CS76" i="5" s="1"/>
  <c r="BB35" i="5"/>
  <c r="CR76" i="5" s="1"/>
  <c r="BA28" i="5"/>
  <c r="AZ28" i="5"/>
  <c r="BD28" i="5"/>
  <c r="BC28" i="5"/>
  <c r="BB28" i="5"/>
  <c r="V35" i="5"/>
  <c r="Z35" i="5"/>
  <c r="DD14" i="5" s="1"/>
  <c r="Y35" i="5"/>
  <c r="DC14" i="5" s="1"/>
  <c r="X35" i="5"/>
  <c r="DB14" i="5" s="1"/>
  <c r="W35" i="5"/>
  <c r="P37" i="5"/>
  <c r="CT37" i="5" s="1"/>
  <c r="O37" i="5"/>
  <c r="CS37" i="5" s="1"/>
  <c r="N37" i="5"/>
  <c r="CR37" i="5" s="1"/>
  <c r="M37" i="5"/>
  <c r="L37" i="5"/>
  <c r="P8" i="5"/>
  <c r="BZ8" i="5" s="1"/>
  <c r="O8" i="5"/>
  <c r="BY8" i="5" s="1"/>
  <c r="L8" i="5"/>
  <c r="N8" i="5"/>
  <c r="BX8" i="5" s="1"/>
  <c r="M8" i="5"/>
  <c r="P11" i="5"/>
  <c r="BZ11" i="5" s="1"/>
  <c r="O11" i="5"/>
  <c r="N11" i="5"/>
  <c r="BX11" i="5" s="1"/>
  <c r="M11" i="5"/>
  <c r="L11" i="5"/>
  <c r="Y7" i="5"/>
  <c r="X7" i="5"/>
  <c r="W7" i="5"/>
  <c r="V7" i="5"/>
  <c r="Z7" i="5"/>
  <c r="W9" i="5"/>
  <c r="V9" i="5"/>
  <c r="Z9" i="5"/>
  <c r="CJ9" i="5" s="1"/>
  <c r="Y9" i="5"/>
  <c r="CI9" i="5" s="1"/>
  <c r="X9" i="5"/>
  <c r="CH9" i="5" s="1"/>
  <c r="AT11" i="5"/>
  <c r="BP32" i="5" s="1"/>
  <c r="AS11" i="5"/>
  <c r="BO32" i="5" s="1"/>
  <c r="AR11" i="5"/>
  <c r="BN32" i="5" s="1"/>
  <c r="AQ11" i="5"/>
  <c r="AP11" i="5"/>
  <c r="C12" i="5"/>
  <c r="B12" i="5"/>
  <c r="F12" i="5"/>
  <c r="BP12" i="5" s="1"/>
  <c r="E12" i="5"/>
  <c r="BO12" i="5" s="1"/>
  <c r="D12" i="5"/>
  <c r="BN12" i="5" s="1"/>
  <c r="AH14" i="5"/>
  <c r="CR14" i="5" s="1"/>
  <c r="AG14" i="5"/>
  <c r="AF14" i="5"/>
  <c r="AJ14" i="5"/>
  <c r="CT14" i="5" s="1"/>
  <c r="AI14" i="5"/>
  <c r="CS14" i="5" s="1"/>
  <c r="BD16" i="5"/>
  <c r="BZ37" i="5" s="1"/>
  <c r="BC16" i="5"/>
  <c r="BY37" i="5" s="1"/>
  <c r="BB16" i="5"/>
  <c r="BX37" i="5" s="1"/>
  <c r="BA16" i="5"/>
  <c r="AZ16" i="5"/>
  <c r="B17" i="5"/>
  <c r="F17" i="5"/>
  <c r="BP17" i="5" s="1"/>
  <c r="E17" i="5"/>
  <c r="BO17" i="5" s="1"/>
  <c r="D17" i="5"/>
  <c r="BN17" i="5" s="1"/>
  <c r="C17" i="5"/>
  <c r="E29" i="5"/>
  <c r="CI29" i="5" s="1"/>
  <c r="D29" i="5"/>
  <c r="C29" i="5"/>
  <c r="B29" i="5"/>
  <c r="F29" i="5"/>
  <c r="CJ29" i="5" s="1"/>
  <c r="V30" i="5"/>
  <c r="Z30" i="5"/>
  <c r="DD9" i="5" s="1"/>
  <c r="Y30" i="5"/>
  <c r="DC9" i="5" s="1"/>
  <c r="X30" i="5"/>
  <c r="DB9" i="5" s="1"/>
  <c r="W30" i="5"/>
  <c r="AI31" i="5"/>
  <c r="DM10" i="5" s="1"/>
  <c r="AH31" i="5"/>
  <c r="DL10" i="5" s="1"/>
  <c r="AG31" i="5"/>
  <c r="AF31" i="5"/>
  <c r="AJ31" i="5"/>
  <c r="DN10" i="5" s="1"/>
  <c r="AT34" i="5"/>
  <c r="CJ75" i="5" s="1"/>
  <c r="AS34" i="5"/>
  <c r="CI75" i="5" s="1"/>
  <c r="AR34" i="5"/>
  <c r="CH75" i="5" s="1"/>
  <c r="AQ34" i="5"/>
  <c r="AP34" i="5"/>
  <c r="AT36" i="5"/>
  <c r="CJ77" i="5" s="1"/>
  <c r="AS36" i="5"/>
  <c r="AR36" i="5"/>
  <c r="CH77" i="5" s="1"/>
  <c r="AQ36" i="5"/>
  <c r="AP36" i="5"/>
  <c r="AG50" i="5"/>
  <c r="CQ50" i="5" s="1"/>
  <c r="AF50" i="5"/>
  <c r="CW50" i="5" s="1"/>
  <c r="AJ50" i="5"/>
  <c r="CT50" i="5" s="1"/>
  <c r="AI50" i="5"/>
  <c r="CS50" i="5" s="1"/>
  <c r="AH50" i="5"/>
  <c r="CR50" i="5" s="1"/>
  <c r="AJ52" i="5"/>
  <c r="CT52" i="5" s="1"/>
  <c r="AI52" i="5"/>
  <c r="CS52" i="5" s="1"/>
  <c r="AH52" i="5"/>
  <c r="CR52" i="5" s="1"/>
  <c r="AG52" i="5"/>
  <c r="AF52" i="5"/>
  <c r="AJ54" i="5"/>
  <c r="CT54" i="5" s="1"/>
  <c r="AI54" i="5"/>
  <c r="CS54" i="5" s="1"/>
  <c r="AH54" i="5"/>
  <c r="CR54" i="5" s="1"/>
  <c r="AG54" i="5"/>
  <c r="AF54" i="5"/>
  <c r="AI56" i="5"/>
  <c r="CS56" i="5" s="1"/>
  <c r="AH56" i="5"/>
  <c r="CR56" i="5" s="1"/>
  <c r="AG56" i="5"/>
  <c r="AF56" i="5"/>
  <c r="AJ56" i="5"/>
  <c r="CT56" i="5" s="1"/>
  <c r="E58" i="5"/>
  <c r="D58" i="5"/>
  <c r="DB37" i="5" s="1"/>
  <c r="C58" i="5"/>
  <c r="B58" i="5"/>
  <c r="F58" i="5"/>
  <c r="AJ59" i="5"/>
  <c r="CT59" i="5" s="1"/>
  <c r="AI59" i="5"/>
  <c r="CS59" i="5" s="1"/>
  <c r="AH59" i="5"/>
  <c r="CR59" i="5" s="1"/>
  <c r="AG59" i="5"/>
  <c r="AF59" i="5"/>
  <c r="P9" i="5"/>
  <c r="BZ9" i="5" s="1"/>
  <c r="N9" i="5"/>
  <c r="BX9" i="5" s="1"/>
  <c r="M9" i="5"/>
  <c r="L9" i="5"/>
  <c r="O9" i="5"/>
  <c r="BY9" i="5" s="1"/>
  <c r="N18" i="5"/>
  <c r="BX18" i="5" s="1"/>
  <c r="M18" i="5"/>
  <c r="L18" i="5"/>
  <c r="P18" i="5"/>
  <c r="BZ18" i="5" s="1"/>
  <c r="O18" i="5"/>
  <c r="BY18" i="5" s="1"/>
  <c r="AJ7" i="5"/>
  <c r="AI7" i="5"/>
  <c r="AH7" i="5"/>
  <c r="AG7" i="5"/>
  <c r="AF7" i="5"/>
  <c r="AI9" i="5"/>
  <c r="CS9" i="5" s="1"/>
  <c r="AH9" i="5"/>
  <c r="CR9" i="5" s="1"/>
  <c r="AG9" i="5"/>
  <c r="AF9" i="5"/>
  <c r="AJ9" i="5"/>
  <c r="CT9" i="5" s="1"/>
  <c r="BD11" i="5"/>
  <c r="BZ32" i="5" s="1"/>
  <c r="BC11" i="5"/>
  <c r="BY32" i="5" s="1"/>
  <c r="BB11" i="5"/>
  <c r="BX32" i="5" s="1"/>
  <c r="BA11" i="5"/>
  <c r="AZ11" i="5"/>
  <c r="X12" i="5"/>
  <c r="CH12" i="5" s="1"/>
  <c r="W12" i="5"/>
  <c r="V12" i="5"/>
  <c r="Z12" i="5"/>
  <c r="CJ12" i="5" s="1"/>
  <c r="Y12" i="5"/>
  <c r="CI12" i="5" s="1"/>
  <c r="AT14" i="5"/>
  <c r="BP35" i="5" s="1"/>
  <c r="AS14" i="5"/>
  <c r="BO35" i="5" s="1"/>
  <c r="AR14" i="5"/>
  <c r="BN35" i="5" s="1"/>
  <c r="AQ14" i="5"/>
  <c r="AP14" i="5"/>
  <c r="D15" i="5"/>
  <c r="BN15" i="5" s="1"/>
  <c r="C15" i="5"/>
  <c r="B15" i="5"/>
  <c r="F15" i="5"/>
  <c r="BP15" i="5" s="1"/>
  <c r="E15" i="5"/>
  <c r="BO15" i="5" s="1"/>
  <c r="W17" i="5"/>
  <c r="V17" i="5"/>
  <c r="Z17" i="5"/>
  <c r="CJ17" i="5" s="1"/>
  <c r="Y17" i="5"/>
  <c r="CI17" i="5" s="1"/>
  <c r="X17" i="5"/>
  <c r="CH17" i="5" s="1"/>
  <c r="P29" i="5"/>
  <c r="CT29" i="5" s="1"/>
  <c r="O29" i="5"/>
  <c r="CS29" i="5" s="1"/>
  <c r="N29" i="5"/>
  <c r="CR29" i="5" s="1"/>
  <c r="M29" i="5"/>
  <c r="L29" i="5"/>
  <c r="AI30" i="5"/>
  <c r="DM9" i="5" s="1"/>
  <c r="AH30" i="5"/>
  <c r="DL9" i="5" s="1"/>
  <c r="AG30" i="5"/>
  <c r="AF30" i="5"/>
  <c r="AJ30" i="5"/>
  <c r="DN9" i="5" s="1"/>
  <c r="AT31" i="5"/>
  <c r="CJ72" i="5" s="1"/>
  <c r="AS31" i="5"/>
  <c r="CI72" i="5" s="1"/>
  <c r="AR31" i="5"/>
  <c r="CH72" i="5" s="1"/>
  <c r="AQ31" i="5"/>
  <c r="AP31" i="5"/>
  <c r="E33" i="5"/>
  <c r="CI33" i="5" s="1"/>
  <c r="D33" i="5"/>
  <c r="CH33" i="5" s="1"/>
  <c r="C33" i="5"/>
  <c r="B33" i="5"/>
  <c r="F33" i="5"/>
  <c r="CJ33" i="5" s="1"/>
  <c r="F39" i="5"/>
  <c r="CJ39" i="5" s="1"/>
  <c r="E39" i="5"/>
  <c r="CI39" i="5" s="1"/>
  <c r="D39" i="5"/>
  <c r="CH39" i="5" s="1"/>
  <c r="C39" i="5"/>
  <c r="B39" i="5"/>
  <c r="B49" i="5"/>
  <c r="F49" i="5"/>
  <c r="E49" i="5"/>
  <c r="D49" i="5"/>
  <c r="C49" i="5"/>
  <c r="F51" i="5"/>
  <c r="DD30" i="5" s="1"/>
  <c r="E51" i="5"/>
  <c r="DC30" i="5" s="1"/>
  <c r="D51" i="5"/>
  <c r="DB30" i="5" s="1"/>
  <c r="C51" i="5"/>
  <c r="B51" i="5"/>
  <c r="F53" i="5"/>
  <c r="DD32" i="5" s="1"/>
  <c r="E53" i="5"/>
  <c r="DC32" i="5" s="1"/>
  <c r="D53" i="5"/>
  <c r="DB32" i="5" s="1"/>
  <c r="C53" i="5"/>
  <c r="B53" i="5"/>
  <c r="D55" i="5"/>
  <c r="DB34" i="5" s="1"/>
  <c r="C55" i="5"/>
  <c r="B55" i="5"/>
  <c r="F55" i="5"/>
  <c r="DD34" i="5" s="1"/>
  <c r="E55" i="5"/>
  <c r="DC34" i="5" s="1"/>
  <c r="B57" i="5"/>
  <c r="F57" i="5"/>
  <c r="DD36" i="5" s="1"/>
  <c r="E57" i="5"/>
  <c r="DC36" i="5" s="1"/>
  <c r="D57" i="5"/>
  <c r="DB36" i="5" s="1"/>
  <c r="C57" i="5"/>
  <c r="P58" i="5"/>
  <c r="DN37" i="5" s="1"/>
  <c r="O58" i="5"/>
  <c r="DM37" i="5" s="1"/>
  <c r="N58" i="5"/>
  <c r="DL37" i="5" s="1"/>
  <c r="M58" i="5"/>
  <c r="L58" i="5"/>
  <c r="N7" i="5"/>
  <c r="M7" i="5"/>
  <c r="L7" i="5"/>
  <c r="P7" i="5"/>
  <c r="O7" i="5"/>
  <c r="Y39" i="5"/>
  <c r="DC18" i="5" s="1"/>
  <c r="X39" i="5"/>
  <c r="DB18" i="5" s="1"/>
  <c r="W39" i="5"/>
  <c r="V39" i="5"/>
  <c r="Z39" i="5"/>
  <c r="DD18" i="5" s="1"/>
  <c r="AP7" i="5"/>
  <c r="AT7" i="5"/>
  <c r="AS7" i="5"/>
  <c r="AR7" i="5"/>
  <c r="AQ7" i="5"/>
  <c r="AT9" i="5"/>
  <c r="BP30" i="5" s="1"/>
  <c r="AS9" i="5"/>
  <c r="BO30" i="5" s="1"/>
  <c r="AR9" i="5"/>
  <c r="BN30" i="5" s="1"/>
  <c r="AQ9" i="5"/>
  <c r="AP9" i="5"/>
  <c r="E10" i="5"/>
  <c r="BO10" i="5" s="1"/>
  <c r="D10" i="5"/>
  <c r="BN10" i="5" s="1"/>
  <c r="C10" i="5"/>
  <c r="B10" i="5"/>
  <c r="F10" i="5"/>
  <c r="BP10" i="5" s="1"/>
  <c r="AJ12" i="5"/>
  <c r="CT12" i="5" s="1"/>
  <c r="AI12" i="5"/>
  <c r="CS12" i="5" s="1"/>
  <c r="AH12" i="5"/>
  <c r="CR12" i="5" s="1"/>
  <c r="AG12" i="5"/>
  <c r="AF12" i="5"/>
  <c r="AZ14" i="5"/>
  <c r="BD14" i="5"/>
  <c r="BZ35" i="5" s="1"/>
  <c r="BC14" i="5"/>
  <c r="BY35" i="5" s="1"/>
  <c r="BB14" i="5"/>
  <c r="BX35" i="5" s="1"/>
  <c r="BA14" i="5"/>
  <c r="Y15" i="5"/>
  <c r="CI15" i="5" s="1"/>
  <c r="X15" i="5"/>
  <c r="CH15" i="5" s="1"/>
  <c r="W15" i="5"/>
  <c r="V15" i="5"/>
  <c r="Z15" i="5"/>
  <c r="CJ15" i="5" s="1"/>
  <c r="AI17" i="5"/>
  <c r="CS17" i="5" s="1"/>
  <c r="AH17" i="5"/>
  <c r="CR17" i="5" s="1"/>
  <c r="AG17" i="5"/>
  <c r="AF17" i="5"/>
  <c r="AJ17" i="5"/>
  <c r="CT17" i="5" s="1"/>
  <c r="AI29" i="5"/>
  <c r="DM8" i="5" s="1"/>
  <c r="AH29" i="5"/>
  <c r="DL8" i="5" s="1"/>
  <c r="AG29" i="5"/>
  <c r="AF29" i="5"/>
  <c r="AJ29" i="5"/>
  <c r="DN8" i="5" s="1"/>
  <c r="AT30" i="5"/>
  <c r="CJ71" i="5" s="1"/>
  <c r="AS30" i="5"/>
  <c r="CI71" i="5" s="1"/>
  <c r="AR30" i="5"/>
  <c r="CH71" i="5" s="1"/>
  <c r="AQ30" i="5"/>
  <c r="AP30" i="5"/>
  <c r="BA31" i="5"/>
  <c r="AZ31" i="5"/>
  <c r="BD31" i="5"/>
  <c r="CT72" i="5" s="1"/>
  <c r="BC31" i="5"/>
  <c r="CS72" i="5" s="1"/>
  <c r="BB31" i="5"/>
  <c r="CR72" i="5" s="1"/>
  <c r="AI33" i="5"/>
  <c r="DM12" i="5" s="1"/>
  <c r="AH33" i="5"/>
  <c r="DL12" i="5" s="1"/>
  <c r="AG33" i="5"/>
  <c r="AF33" i="5"/>
  <c r="AJ33" i="5"/>
  <c r="DN12" i="5" s="1"/>
  <c r="E35" i="5"/>
  <c r="CI35" i="5" s="1"/>
  <c r="D35" i="5"/>
  <c r="C35" i="5"/>
  <c r="B35" i="5"/>
  <c r="F35" i="5"/>
  <c r="CJ35" i="5" s="1"/>
  <c r="E37" i="5"/>
  <c r="CI37" i="5" s="1"/>
  <c r="D37" i="5"/>
  <c r="CH37" i="5" s="1"/>
  <c r="C37" i="5"/>
  <c r="B37" i="5"/>
  <c r="F37" i="5"/>
  <c r="CJ37" i="5" s="1"/>
  <c r="AJ39" i="5"/>
  <c r="DN18" i="5" s="1"/>
  <c r="AI39" i="5"/>
  <c r="DM18" i="5" s="1"/>
  <c r="AH39" i="5"/>
  <c r="DL18" i="5" s="1"/>
  <c r="AG39" i="5"/>
  <c r="AF39" i="5"/>
  <c r="N49" i="5"/>
  <c r="M49" i="5"/>
  <c r="L49" i="5"/>
  <c r="P49" i="5"/>
  <c r="O49" i="5"/>
  <c r="L51" i="5"/>
  <c r="P51" i="5"/>
  <c r="DN30" i="5" s="1"/>
  <c r="O51" i="5"/>
  <c r="DM30" i="5" s="1"/>
  <c r="N51" i="5"/>
  <c r="DL30" i="5" s="1"/>
  <c r="M51" i="5"/>
  <c r="P53" i="5"/>
  <c r="DN32" i="5" s="1"/>
  <c r="O53" i="5"/>
  <c r="DM32" i="5" s="1"/>
  <c r="N53" i="5"/>
  <c r="DL32" i="5" s="1"/>
  <c r="M53" i="5"/>
  <c r="L53" i="5"/>
  <c r="P55" i="5"/>
  <c r="DN34" i="5" s="1"/>
  <c r="O55" i="5"/>
  <c r="N55" i="5"/>
  <c r="DL34" i="5" s="1"/>
  <c r="M55" i="5"/>
  <c r="L55" i="5"/>
  <c r="N57" i="5"/>
  <c r="DL36" i="5" s="1"/>
  <c r="M57" i="5"/>
  <c r="L57" i="5"/>
  <c r="P57" i="5"/>
  <c r="DN36" i="5" s="1"/>
  <c r="O57" i="5"/>
  <c r="Z58" i="5"/>
  <c r="CJ58" i="5" s="1"/>
  <c r="Y58" i="5"/>
  <c r="CI58" i="5" s="1"/>
  <c r="X58" i="5"/>
  <c r="CH58" i="5" s="1"/>
  <c r="W58" i="5"/>
  <c r="V58" i="5"/>
  <c r="C60" i="5"/>
  <c r="B60" i="5"/>
  <c r="F60" i="5"/>
  <c r="DD39" i="5" s="1"/>
  <c r="E60" i="5"/>
  <c r="DC39" i="5" s="1"/>
  <c r="D60" i="5"/>
  <c r="DB39" i="5" s="1"/>
  <c r="BC7" i="5"/>
  <c r="BB7" i="5"/>
  <c r="BA7" i="5"/>
  <c r="AZ7" i="5"/>
  <c r="BD7" i="5"/>
  <c r="F8" i="5"/>
  <c r="BP8" i="5" s="1"/>
  <c r="E8" i="5"/>
  <c r="BO8" i="5" s="1"/>
  <c r="D8" i="5"/>
  <c r="BN8" i="5" s="1"/>
  <c r="C8" i="5"/>
  <c r="B8" i="5"/>
  <c r="BA9" i="5"/>
  <c r="AZ9" i="5"/>
  <c r="BD9" i="5"/>
  <c r="BZ30" i="5" s="1"/>
  <c r="BC9" i="5"/>
  <c r="BY30" i="5" s="1"/>
  <c r="BB9" i="5"/>
  <c r="BX30" i="5" s="1"/>
  <c r="Z10" i="5"/>
  <c r="CJ10" i="5" s="1"/>
  <c r="Y10" i="5"/>
  <c r="CI10" i="5" s="1"/>
  <c r="X10" i="5"/>
  <c r="CH10" i="5" s="1"/>
  <c r="W10" i="5"/>
  <c r="V10" i="5"/>
  <c r="AT12" i="5"/>
  <c r="BP33" i="5" s="1"/>
  <c r="AS12" i="5"/>
  <c r="BO33" i="5" s="1"/>
  <c r="AR12" i="5"/>
  <c r="BN33" i="5" s="1"/>
  <c r="AQ12" i="5"/>
  <c r="AP12" i="5"/>
  <c r="F13" i="5"/>
  <c r="BP13" i="5" s="1"/>
  <c r="E13" i="5"/>
  <c r="BO13" i="5" s="1"/>
  <c r="D13" i="5"/>
  <c r="BN13" i="5" s="1"/>
  <c r="C13" i="5"/>
  <c r="B13" i="5"/>
  <c r="AJ15" i="5"/>
  <c r="CT15" i="5" s="1"/>
  <c r="AI15" i="5"/>
  <c r="CS15" i="5" s="1"/>
  <c r="AH15" i="5"/>
  <c r="CR15" i="5" s="1"/>
  <c r="AG15" i="5"/>
  <c r="AF15" i="5"/>
  <c r="AT17" i="5"/>
  <c r="BP38" i="5" s="1"/>
  <c r="AS17" i="5"/>
  <c r="BO38" i="5" s="1"/>
  <c r="AR17" i="5"/>
  <c r="BN38" i="5" s="1"/>
  <c r="AQ17" i="5"/>
  <c r="AP17" i="5"/>
  <c r="E18" i="5"/>
  <c r="BO18" i="5" s="1"/>
  <c r="D18" i="5"/>
  <c r="BN18" i="5" s="1"/>
  <c r="C18" i="5"/>
  <c r="B18" i="5"/>
  <c r="F18" i="5"/>
  <c r="BP18" i="5" s="1"/>
  <c r="E28" i="5"/>
  <c r="D28" i="5"/>
  <c r="C28" i="5"/>
  <c r="B28" i="5"/>
  <c r="F28" i="5"/>
  <c r="AT29" i="5"/>
  <c r="CJ70" i="5" s="1"/>
  <c r="AS29" i="5"/>
  <c r="AR29" i="5"/>
  <c r="CH70" i="5" s="1"/>
  <c r="AQ29" i="5"/>
  <c r="AP29" i="5"/>
  <c r="BA30" i="5"/>
  <c r="AZ30" i="5"/>
  <c r="BD30" i="5"/>
  <c r="CT71" i="5" s="1"/>
  <c r="BC30" i="5"/>
  <c r="CS71" i="5" s="1"/>
  <c r="BB30" i="5"/>
  <c r="CR71" i="5" s="1"/>
  <c r="E32" i="5"/>
  <c r="CI32" i="5" s="1"/>
  <c r="D32" i="5"/>
  <c r="CH32" i="5" s="1"/>
  <c r="C32" i="5"/>
  <c r="B32" i="5"/>
  <c r="F32" i="5"/>
  <c r="CJ32" i="5" s="1"/>
  <c r="AT33" i="5"/>
  <c r="CJ74" i="5" s="1"/>
  <c r="AS33" i="5"/>
  <c r="CI74" i="5" s="1"/>
  <c r="AR33" i="5"/>
  <c r="CH74" i="5" s="1"/>
  <c r="AQ33" i="5"/>
  <c r="AP33" i="5"/>
  <c r="AI35" i="5"/>
  <c r="DM14" i="5" s="1"/>
  <c r="AH35" i="5"/>
  <c r="DL14" i="5" s="1"/>
  <c r="AG35" i="5"/>
  <c r="AF35" i="5"/>
  <c r="AJ35" i="5"/>
  <c r="DN14" i="5" s="1"/>
  <c r="AI37" i="5"/>
  <c r="DM16" i="5" s="1"/>
  <c r="AH37" i="5"/>
  <c r="DL16" i="5" s="1"/>
  <c r="AG37" i="5"/>
  <c r="AF37" i="5"/>
  <c r="AJ37" i="5"/>
  <c r="DN16" i="5" s="1"/>
  <c r="AQ39" i="5"/>
  <c r="AP39" i="5"/>
  <c r="AT39" i="5"/>
  <c r="CJ80" i="5" s="1"/>
  <c r="AS39" i="5"/>
  <c r="CI80" i="5" s="1"/>
  <c r="AR39" i="5"/>
  <c r="CH80" i="5" s="1"/>
  <c r="Z49" i="5"/>
  <c r="Y49" i="5"/>
  <c r="X49" i="5"/>
  <c r="W49" i="5"/>
  <c r="V49" i="5"/>
  <c r="X51" i="5"/>
  <c r="CH51" i="5" s="1"/>
  <c r="W51" i="5"/>
  <c r="V51" i="5"/>
  <c r="Z51" i="5"/>
  <c r="CJ51" i="5" s="1"/>
  <c r="Y51" i="5"/>
  <c r="CI51" i="5" s="1"/>
  <c r="V53" i="5"/>
  <c r="CM53" i="5" s="1"/>
  <c r="Z53" i="5"/>
  <c r="CJ53" i="5" s="1"/>
  <c r="Y53" i="5"/>
  <c r="CI53" i="5" s="1"/>
  <c r="X53" i="5"/>
  <c r="CH53" i="5" s="1"/>
  <c r="W53" i="5"/>
  <c r="AB53" i="5" s="1"/>
  <c r="CL53" i="5" s="1"/>
  <c r="Z55" i="5"/>
  <c r="CJ55" i="5" s="1"/>
  <c r="Y55" i="5"/>
  <c r="CI55" i="5" s="1"/>
  <c r="X55" i="5"/>
  <c r="CH55" i="5" s="1"/>
  <c r="W55" i="5"/>
  <c r="V55" i="5"/>
  <c r="Z57" i="5"/>
  <c r="CJ57" i="5" s="1"/>
  <c r="Y57" i="5"/>
  <c r="CI57" i="5" s="1"/>
  <c r="X57" i="5"/>
  <c r="CH57" i="5" s="1"/>
  <c r="W57" i="5"/>
  <c r="V57" i="5"/>
  <c r="AG58" i="5"/>
  <c r="AF58" i="5"/>
  <c r="AJ58" i="5"/>
  <c r="CT58" i="5" s="1"/>
  <c r="AI58" i="5"/>
  <c r="CS58" i="5" s="1"/>
  <c r="AH58" i="5"/>
  <c r="CR58" i="5" s="1"/>
  <c r="O60" i="5"/>
  <c r="DM39" i="5" s="1"/>
  <c r="N60" i="5"/>
  <c r="DL39" i="5" s="1"/>
  <c r="M60" i="5"/>
  <c r="L60" i="5"/>
  <c r="P60" i="5"/>
  <c r="DN39" i="5" s="1"/>
  <c r="M16" i="5"/>
  <c r="L16" i="5"/>
  <c r="P16" i="5"/>
  <c r="BZ16" i="5" s="1"/>
  <c r="O16" i="5"/>
  <c r="BY16" i="5" s="1"/>
  <c r="N16" i="5"/>
  <c r="BX16" i="5" s="1"/>
  <c r="L15" i="5"/>
  <c r="P15" i="5"/>
  <c r="BZ15" i="5" s="1"/>
  <c r="O15" i="5"/>
  <c r="BY15" i="5" s="1"/>
  <c r="N15" i="5"/>
  <c r="BX15" i="5" s="1"/>
  <c r="M15" i="5"/>
  <c r="Z8" i="5"/>
  <c r="CJ8" i="5" s="1"/>
  <c r="Y8" i="5"/>
  <c r="CI8" i="5" s="1"/>
  <c r="X8" i="5"/>
  <c r="CH8" i="5" s="1"/>
  <c r="W8" i="5"/>
  <c r="V8" i="5"/>
  <c r="AJ10" i="5"/>
  <c r="CT10" i="5" s="1"/>
  <c r="AI10" i="5"/>
  <c r="CS10" i="5" s="1"/>
  <c r="AH10" i="5"/>
  <c r="CR10" i="5" s="1"/>
  <c r="AG10" i="5"/>
  <c r="AF10" i="5"/>
  <c r="BB12" i="5"/>
  <c r="BX33" i="5" s="1"/>
  <c r="BA12" i="5"/>
  <c r="AZ12" i="5"/>
  <c r="BD12" i="5"/>
  <c r="BZ33" i="5" s="1"/>
  <c r="BC12" i="5"/>
  <c r="BY33" i="5" s="1"/>
  <c r="Z13" i="5"/>
  <c r="CJ13" i="5" s="1"/>
  <c r="Y13" i="5"/>
  <c r="CI13" i="5" s="1"/>
  <c r="X13" i="5"/>
  <c r="CH13" i="5" s="1"/>
  <c r="W13" i="5"/>
  <c r="V13" i="5"/>
  <c r="AP15" i="5"/>
  <c r="AT15" i="5"/>
  <c r="BP36" i="5" s="1"/>
  <c r="AS15" i="5"/>
  <c r="BO36" i="5" s="1"/>
  <c r="AR15" i="5"/>
  <c r="BN36" i="5" s="1"/>
  <c r="AQ15" i="5"/>
  <c r="F16" i="5"/>
  <c r="BP16" i="5" s="1"/>
  <c r="E16" i="5"/>
  <c r="BO16" i="5" s="1"/>
  <c r="D16" i="5"/>
  <c r="BN16" i="5" s="1"/>
  <c r="C16" i="5"/>
  <c r="B16" i="5"/>
  <c r="BA17" i="5"/>
  <c r="AZ17" i="5"/>
  <c r="BD17" i="5"/>
  <c r="BZ38" i="5" s="1"/>
  <c r="BC17" i="5"/>
  <c r="BY38" i="5" s="1"/>
  <c r="BB17" i="5"/>
  <c r="BX38" i="5" s="1"/>
  <c r="Z18" i="5"/>
  <c r="CJ18" i="5" s="1"/>
  <c r="Y18" i="5"/>
  <c r="CI18" i="5" s="1"/>
  <c r="X18" i="5"/>
  <c r="CH18" i="5" s="1"/>
  <c r="W18" i="5"/>
  <c r="V18" i="5"/>
  <c r="P28" i="5"/>
  <c r="O28" i="5"/>
  <c r="N28" i="5"/>
  <c r="M28" i="5"/>
  <c r="L28" i="5"/>
  <c r="BA29" i="5"/>
  <c r="AZ29" i="5"/>
  <c r="BD29" i="5"/>
  <c r="CT70" i="5" s="1"/>
  <c r="BC29" i="5"/>
  <c r="CS70" i="5" s="1"/>
  <c r="BB29" i="5"/>
  <c r="CR70" i="5" s="1"/>
  <c r="V32" i="5"/>
  <c r="Z32" i="5"/>
  <c r="DD11" i="5" s="1"/>
  <c r="Y32" i="5"/>
  <c r="DC11" i="5" s="1"/>
  <c r="X32" i="5"/>
  <c r="DB11" i="5" s="1"/>
  <c r="W32" i="5"/>
  <c r="BA33" i="5"/>
  <c r="AZ33" i="5"/>
  <c r="BD33" i="5"/>
  <c r="CT74" i="5" s="1"/>
  <c r="BC33" i="5"/>
  <c r="CS74" i="5" s="1"/>
  <c r="BB33" i="5"/>
  <c r="CR74" i="5" s="1"/>
  <c r="AT35" i="5"/>
  <c r="CJ76" i="5" s="1"/>
  <c r="AS35" i="5"/>
  <c r="CI76" i="5" s="1"/>
  <c r="AR35" i="5"/>
  <c r="CH76" i="5" s="1"/>
  <c r="AQ35" i="5"/>
  <c r="AP35" i="5"/>
  <c r="AT37" i="5"/>
  <c r="CJ78" i="5" s="1"/>
  <c r="AS37" i="5"/>
  <c r="CI78" i="5" s="1"/>
  <c r="AR37" i="5"/>
  <c r="CH78" i="5" s="1"/>
  <c r="AQ37" i="5"/>
  <c r="AP37" i="5"/>
  <c r="AJ49" i="5"/>
  <c r="AI49" i="5"/>
  <c r="AH49" i="5"/>
  <c r="AG49" i="5"/>
  <c r="AF49" i="5"/>
  <c r="AJ51" i="5"/>
  <c r="CT51" i="5" s="1"/>
  <c r="AI51" i="5"/>
  <c r="CS51" i="5" s="1"/>
  <c r="AH51" i="5"/>
  <c r="CR51" i="5" s="1"/>
  <c r="AG51" i="5"/>
  <c r="AF51" i="5"/>
  <c r="AH53" i="5"/>
  <c r="CR53" i="5" s="1"/>
  <c r="AG53" i="5"/>
  <c r="CQ53" i="5" s="1"/>
  <c r="AF53" i="5"/>
  <c r="CW53" i="5" s="1"/>
  <c r="AJ53" i="5"/>
  <c r="CT53" i="5" s="1"/>
  <c r="AI53" i="5"/>
  <c r="CS53" i="5" s="1"/>
  <c r="AF55" i="5"/>
  <c r="AJ55" i="5"/>
  <c r="CT55" i="5" s="1"/>
  <c r="AI55" i="5"/>
  <c r="CS55" i="5" s="1"/>
  <c r="AH55" i="5"/>
  <c r="CR55" i="5" s="1"/>
  <c r="AG55" i="5"/>
  <c r="AJ57" i="5"/>
  <c r="CT57" i="5" s="1"/>
  <c r="AI57" i="5"/>
  <c r="CS57" i="5" s="1"/>
  <c r="AH57" i="5"/>
  <c r="CR57" i="5" s="1"/>
  <c r="AG57" i="5"/>
  <c r="AF57" i="5"/>
  <c r="Z60" i="5"/>
  <c r="CJ60" i="5" s="1"/>
  <c r="Y60" i="5"/>
  <c r="CI60" i="5" s="1"/>
  <c r="X60" i="5"/>
  <c r="CH60" i="5" s="1"/>
  <c r="W60" i="5"/>
  <c r="V60" i="5"/>
  <c r="L12" i="5"/>
  <c r="P12" i="5"/>
  <c r="BZ12" i="5" s="1"/>
  <c r="O12" i="5"/>
  <c r="BY12" i="5" s="1"/>
  <c r="N12" i="5"/>
  <c r="BX12" i="5" s="1"/>
  <c r="M12" i="5"/>
  <c r="P13" i="5"/>
  <c r="BZ13" i="5" s="1"/>
  <c r="O13" i="5"/>
  <c r="BY13" i="5" s="1"/>
  <c r="N13" i="5"/>
  <c r="BX13" i="5" s="1"/>
  <c r="M13" i="5"/>
  <c r="L13" i="5"/>
  <c r="AF8" i="5"/>
  <c r="AJ8" i="5"/>
  <c r="CT8" i="5" s="1"/>
  <c r="AI8" i="5"/>
  <c r="CS8" i="5" s="1"/>
  <c r="AH8" i="5"/>
  <c r="CR8" i="5" s="1"/>
  <c r="AG8" i="5"/>
  <c r="AQ10" i="5"/>
  <c r="AP10" i="5"/>
  <c r="AT10" i="5"/>
  <c r="BP31" i="5" s="1"/>
  <c r="AS10" i="5"/>
  <c r="BO31" i="5" s="1"/>
  <c r="AR10" i="5"/>
  <c r="BN31" i="5" s="1"/>
  <c r="F11" i="5"/>
  <c r="BP11" i="5" s="1"/>
  <c r="E11" i="5"/>
  <c r="BO11" i="5" s="1"/>
  <c r="D11" i="5"/>
  <c r="BN11" i="5" s="1"/>
  <c r="C11" i="5"/>
  <c r="B11" i="5"/>
  <c r="AJ13" i="5"/>
  <c r="CT13" i="5" s="1"/>
  <c r="AI13" i="5"/>
  <c r="CS13" i="5" s="1"/>
  <c r="AH13" i="5"/>
  <c r="CR13" i="5" s="1"/>
  <c r="AG13" i="5"/>
  <c r="AF13" i="5"/>
  <c r="BC15" i="5"/>
  <c r="BY36" i="5" s="1"/>
  <c r="BB15" i="5"/>
  <c r="BX36" i="5" s="1"/>
  <c r="BA15" i="5"/>
  <c r="AZ15" i="5"/>
  <c r="BD15" i="5"/>
  <c r="BZ36" i="5" s="1"/>
  <c r="Z16" i="5"/>
  <c r="CJ16" i="5" s="1"/>
  <c r="Y16" i="5"/>
  <c r="CI16" i="5" s="1"/>
  <c r="X16" i="5"/>
  <c r="CH16" i="5" s="1"/>
  <c r="W16" i="5"/>
  <c r="V16" i="5"/>
  <c r="AJ18" i="5"/>
  <c r="CT18" i="5" s="1"/>
  <c r="AI18" i="5"/>
  <c r="CS18" i="5" s="1"/>
  <c r="AH18" i="5"/>
  <c r="CR18" i="5" s="1"/>
  <c r="AG18" i="5"/>
  <c r="AF18" i="5"/>
  <c r="AI28" i="5"/>
  <c r="AH28" i="5"/>
  <c r="AG28" i="5"/>
  <c r="AF28" i="5"/>
  <c r="AJ28" i="5"/>
  <c r="E31" i="5"/>
  <c r="CI31" i="5" s="1"/>
  <c r="D31" i="5"/>
  <c r="CH31" i="5" s="1"/>
  <c r="C31" i="5"/>
  <c r="B31" i="5"/>
  <c r="F31" i="5"/>
  <c r="CJ31" i="5" s="1"/>
  <c r="AI32" i="5"/>
  <c r="DM11" i="5" s="1"/>
  <c r="AH32" i="5"/>
  <c r="DL11" i="5" s="1"/>
  <c r="AG32" i="5"/>
  <c r="AF32" i="5"/>
  <c r="AJ32" i="5"/>
  <c r="DN11" i="5" s="1"/>
  <c r="E38" i="5"/>
  <c r="CI38" i="5" s="1"/>
  <c r="D38" i="5"/>
  <c r="CH38" i="5" s="1"/>
  <c r="C38" i="5"/>
  <c r="B38" i="5"/>
  <c r="F38" i="5"/>
  <c r="CJ38" i="5" s="1"/>
  <c r="E50" i="5"/>
  <c r="DC29" i="5" s="1"/>
  <c r="D50" i="5"/>
  <c r="DB29" i="5" s="1"/>
  <c r="C50" i="5"/>
  <c r="B50" i="5"/>
  <c r="F50" i="5"/>
  <c r="DD29" i="5" s="1"/>
  <c r="C52" i="5"/>
  <c r="B52" i="5"/>
  <c r="F52" i="5"/>
  <c r="DD31" i="5" s="1"/>
  <c r="E52" i="5"/>
  <c r="DC31" i="5" s="1"/>
  <c r="D52" i="5"/>
  <c r="DB31" i="5" s="1"/>
  <c r="F54" i="5"/>
  <c r="DD33" i="5" s="1"/>
  <c r="E54" i="5"/>
  <c r="DC33" i="5" s="1"/>
  <c r="D54" i="5"/>
  <c r="DB33" i="5" s="1"/>
  <c r="C54" i="5"/>
  <c r="B54" i="5"/>
  <c r="F56" i="5"/>
  <c r="DD35" i="5" s="1"/>
  <c r="E56" i="5"/>
  <c r="DC35" i="5" s="1"/>
  <c r="D56" i="5"/>
  <c r="DB35" i="5" s="1"/>
  <c r="C56" i="5"/>
  <c r="B56" i="5"/>
  <c r="F59" i="5"/>
  <c r="DD38" i="5" s="1"/>
  <c r="E59" i="5"/>
  <c r="DC38" i="5" s="1"/>
  <c r="D59" i="5"/>
  <c r="DB38" i="5" s="1"/>
  <c r="C59" i="5"/>
  <c r="B59" i="5"/>
  <c r="AJ60" i="5"/>
  <c r="CT60" i="5" s="1"/>
  <c r="AI60" i="5"/>
  <c r="CS60" i="5" s="1"/>
  <c r="AH60" i="5"/>
  <c r="CR60" i="5" s="1"/>
  <c r="AG60" i="5"/>
  <c r="AF60" i="5"/>
  <c r="L14" i="5"/>
  <c r="P14" i="5"/>
  <c r="BZ14" i="5" s="1"/>
  <c r="O14" i="5"/>
  <c r="BY14" i="5" s="1"/>
  <c r="N14" i="5"/>
  <c r="BX14" i="5" s="1"/>
  <c r="M14" i="5"/>
  <c r="O17" i="5"/>
  <c r="BY17" i="5" s="1"/>
  <c r="N17" i="5"/>
  <c r="BX17" i="5" s="1"/>
  <c r="M17" i="5"/>
  <c r="L17" i="5"/>
  <c r="P17" i="5"/>
  <c r="BZ17" i="5" s="1"/>
  <c r="AS8" i="5"/>
  <c r="BO29" i="5" s="1"/>
  <c r="AR8" i="5"/>
  <c r="BN29" i="5" s="1"/>
  <c r="AQ8" i="5"/>
  <c r="AP8" i="5"/>
  <c r="AT8" i="5"/>
  <c r="BP29" i="5" s="1"/>
  <c r="BD10" i="5"/>
  <c r="BZ31" i="5" s="1"/>
  <c r="BC10" i="5"/>
  <c r="BY31" i="5" s="1"/>
  <c r="BB10" i="5"/>
  <c r="BX31" i="5" s="1"/>
  <c r="BA10" i="5"/>
  <c r="AZ10" i="5"/>
  <c r="Z11" i="5"/>
  <c r="CJ11" i="5" s="1"/>
  <c r="Y11" i="5"/>
  <c r="CI11" i="5" s="1"/>
  <c r="X11" i="5"/>
  <c r="CH11" i="5" s="1"/>
  <c r="W11" i="5"/>
  <c r="V11" i="5"/>
  <c r="AR13" i="5"/>
  <c r="BN34" i="5" s="1"/>
  <c r="AQ13" i="5"/>
  <c r="AP13" i="5"/>
  <c r="AT13" i="5"/>
  <c r="BP34" i="5" s="1"/>
  <c r="AS13" i="5"/>
  <c r="BO34" i="5" s="1"/>
  <c r="F14" i="5"/>
  <c r="BP14" i="5" s="1"/>
  <c r="E14" i="5"/>
  <c r="BO14" i="5" s="1"/>
  <c r="D14" i="5"/>
  <c r="BN14" i="5" s="1"/>
  <c r="C14" i="5"/>
  <c r="B14" i="5"/>
  <c r="AF16" i="5"/>
  <c r="AJ16" i="5"/>
  <c r="CT16" i="5" s="1"/>
  <c r="AI16" i="5"/>
  <c r="CS16" i="5" s="1"/>
  <c r="AH16" i="5"/>
  <c r="CR16" i="5" s="1"/>
  <c r="AG16" i="5"/>
  <c r="AQ18" i="5"/>
  <c r="AP18" i="5"/>
  <c r="AT18" i="5"/>
  <c r="BP39" i="5" s="1"/>
  <c r="AS18" i="5"/>
  <c r="BO39" i="5" s="1"/>
  <c r="AR18" i="5"/>
  <c r="BN39" i="5" s="1"/>
  <c r="AT28" i="5"/>
  <c r="AS28" i="5"/>
  <c r="AR28" i="5"/>
  <c r="AQ28" i="5"/>
  <c r="AP28" i="5"/>
  <c r="E30" i="5"/>
  <c r="CI30" i="5" s="1"/>
  <c r="D30" i="5"/>
  <c r="CH30" i="5" s="1"/>
  <c r="C30" i="5"/>
  <c r="B30" i="5"/>
  <c r="F30" i="5"/>
  <c r="CJ30" i="5" s="1"/>
  <c r="P31" i="5"/>
  <c r="CT31" i="5" s="1"/>
  <c r="O31" i="5"/>
  <c r="CS31" i="5" s="1"/>
  <c r="N31" i="5"/>
  <c r="CR31" i="5" s="1"/>
  <c r="M31" i="5"/>
  <c r="L31" i="5"/>
  <c r="AT32" i="5"/>
  <c r="CJ73" i="5" s="1"/>
  <c r="AS32" i="5"/>
  <c r="CI73" i="5" s="1"/>
  <c r="AR32" i="5"/>
  <c r="CH73" i="5" s="1"/>
  <c r="AQ32" i="5"/>
  <c r="AP32" i="5"/>
  <c r="E34" i="5"/>
  <c r="CI34" i="5" s="1"/>
  <c r="D34" i="5"/>
  <c r="CH34" i="5" s="1"/>
  <c r="C34" i="5"/>
  <c r="B34" i="5"/>
  <c r="F34" i="5"/>
  <c r="CJ34" i="5" s="1"/>
  <c r="E36" i="5"/>
  <c r="CI36" i="5" s="1"/>
  <c r="D36" i="5"/>
  <c r="CH36" i="5" s="1"/>
  <c r="C36" i="5"/>
  <c r="B36" i="5"/>
  <c r="F36" i="5"/>
  <c r="CJ36" i="5" s="1"/>
  <c r="AH38" i="5"/>
  <c r="DL17" i="5" s="1"/>
  <c r="AJ38" i="5"/>
  <c r="DN17" i="5" s="1"/>
  <c r="AI38" i="5"/>
  <c r="DM17" i="5" s="1"/>
  <c r="AG38" i="5"/>
  <c r="AF38" i="5"/>
  <c r="AW48" i="5"/>
  <c r="DG48" i="5" s="1"/>
  <c r="P50" i="5"/>
  <c r="DN29" i="5" s="1"/>
  <c r="O50" i="5"/>
  <c r="DM29" i="5" s="1"/>
  <c r="N50" i="5"/>
  <c r="DL29" i="5" s="1"/>
  <c r="M50" i="5"/>
  <c r="L50" i="5"/>
  <c r="O52" i="5"/>
  <c r="DM31" i="5" s="1"/>
  <c r="N52" i="5"/>
  <c r="DL31" i="5" s="1"/>
  <c r="M52" i="5"/>
  <c r="L52" i="5"/>
  <c r="P52" i="5"/>
  <c r="DN31" i="5" s="1"/>
  <c r="M54" i="5"/>
  <c r="L54" i="5"/>
  <c r="P54" i="5"/>
  <c r="DN33" i="5" s="1"/>
  <c r="O54" i="5"/>
  <c r="DM33" i="5" s="1"/>
  <c r="N54" i="5"/>
  <c r="DL33" i="5" s="1"/>
  <c r="P56" i="5"/>
  <c r="DN35" i="5" s="1"/>
  <c r="O56" i="5"/>
  <c r="DM35" i="5" s="1"/>
  <c r="N56" i="5"/>
  <c r="DL35" i="5" s="1"/>
  <c r="M56" i="5"/>
  <c r="L56" i="5"/>
  <c r="L59" i="5"/>
  <c r="P59" i="5"/>
  <c r="DN38" i="5" s="1"/>
  <c r="O59" i="5"/>
  <c r="DM38" i="5" s="1"/>
  <c r="N59" i="5"/>
  <c r="DL38" i="5" s="1"/>
  <c r="M59" i="5"/>
  <c r="D7" i="5"/>
  <c r="C7" i="5"/>
  <c r="F7" i="5"/>
  <c r="E7" i="5"/>
  <c r="BD8" i="5"/>
  <c r="BZ29" i="5" s="1"/>
  <c r="BC8" i="5"/>
  <c r="BY29" i="5" s="1"/>
  <c r="BB8" i="5"/>
  <c r="BX29" i="5" s="1"/>
  <c r="BA8" i="5"/>
  <c r="AZ8" i="5"/>
  <c r="B9" i="5"/>
  <c r="F9" i="5"/>
  <c r="BP9" i="5" s="1"/>
  <c r="E9" i="5"/>
  <c r="BO9" i="5" s="1"/>
  <c r="D9" i="5"/>
  <c r="BN9" i="5" s="1"/>
  <c r="C9" i="5"/>
  <c r="AG11" i="5"/>
  <c r="AF11" i="5"/>
  <c r="AJ11" i="5"/>
  <c r="CT11" i="5" s="1"/>
  <c r="AI11" i="5"/>
  <c r="CS11" i="5" s="1"/>
  <c r="AH11" i="5"/>
  <c r="CR11" i="5" s="1"/>
  <c r="BD13" i="5"/>
  <c r="BZ34" i="5" s="1"/>
  <c r="BC13" i="5"/>
  <c r="BY34" i="5" s="1"/>
  <c r="BB13" i="5"/>
  <c r="BX34" i="5" s="1"/>
  <c r="BA13" i="5"/>
  <c r="AZ13" i="5"/>
  <c r="V14" i="5"/>
  <c r="Z14" i="5"/>
  <c r="CJ14" i="5" s="1"/>
  <c r="Y14" i="5"/>
  <c r="CI14" i="5" s="1"/>
  <c r="X14" i="5"/>
  <c r="CH14" i="5" s="1"/>
  <c r="W14" i="5"/>
  <c r="AS16" i="5"/>
  <c r="BO37" i="5" s="1"/>
  <c r="AR16" i="5"/>
  <c r="BN37" i="5" s="1"/>
  <c r="AQ16" i="5"/>
  <c r="AP16" i="5"/>
  <c r="AT16" i="5"/>
  <c r="BP37" i="5" s="1"/>
  <c r="BD18" i="5"/>
  <c r="BZ39" i="5" s="1"/>
  <c r="BC18" i="5"/>
  <c r="BY39" i="5" s="1"/>
  <c r="BB18" i="5"/>
  <c r="BX39" i="5" s="1"/>
  <c r="BA18" i="5"/>
  <c r="AZ18" i="5"/>
  <c r="P30" i="5"/>
  <c r="CT30" i="5" s="1"/>
  <c r="O30" i="5"/>
  <c r="CS30" i="5" s="1"/>
  <c r="N30" i="5"/>
  <c r="CR30" i="5" s="1"/>
  <c r="M30" i="5"/>
  <c r="L30" i="5"/>
  <c r="V31" i="5"/>
  <c r="Z31" i="5"/>
  <c r="DD10" i="5" s="1"/>
  <c r="Y31" i="5"/>
  <c r="DC10" i="5" s="1"/>
  <c r="X31" i="5"/>
  <c r="DB10" i="5" s="1"/>
  <c r="W31" i="5"/>
  <c r="BA32" i="5"/>
  <c r="AZ32" i="5"/>
  <c r="BD32" i="5"/>
  <c r="CT73" i="5" s="1"/>
  <c r="BC32" i="5"/>
  <c r="CS73" i="5" s="1"/>
  <c r="BB32" i="5"/>
  <c r="CR73" i="5" s="1"/>
  <c r="AI34" i="5"/>
  <c r="DM13" i="5" s="1"/>
  <c r="AH34" i="5"/>
  <c r="DL13" i="5" s="1"/>
  <c r="AG34" i="5"/>
  <c r="AF34" i="5"/>
  <c r="AJ34" i="5"/>
  <c r="DN13" i="5" s="1"/>
  <c r="AI36" i="5"/>
  <c r="DM15" i="5" s="1"/>
  <c r="AH36" i="5"/>
  <c r="DL15" i="5" s="1"/>
  <c r="AG36" i="5"/>
  <c r="AF36" i="5"/>
  <c r="AJ36" i="5"/>
  <c r="DN15" i="5" s="1"/>
  <c r="AT38" i="5"/>
  <c r="CJ79" i="5" s="1"/>
  <c r="AS38" i="5"/>
  <c r="CI79" i="5" s="1"/>
  <c r="AR38" i="5"/>
  <c r="CH79" i="5" s="1"/>
  <c r="AQ38" i="5"/>
  <c r="AP38" i="5"/>
  <c r="Z50" i="5"/>
  <c r="CJ50" i="5" s="1"/>
  <c r="Y50" i="5"/>
  <c r="CI50" i="5" s="1"/>
  <c r="X50" i="5"/>
  <c r="CH50" i="5" s="1"/>
  <c r="W50" i="5"/>
  <c r="V50" i="5"/>
  <c r="Z52" i="5"/>
  <c r="CJ52" i="5" s="1"/>
  <c r="Y52" i="5"/>
  <c r="CI52" i="5" s="1"/>
  <c r="X52" i="5"/>
  <c r="CH52" i="5" s="1"/>
  <c r="W52" i="5"/>
  <c r="V52" i="5"/>
  <c r="Y54" i="5"/>
  <c r="CI54" i="5" s="1"/>
  <c r="X54" i="5"/>
  <c r="CH54" i="5" s="1"/>
  <c r="W54" i="5"/>
  <c r="V54" i="5"/>
  <c r="Z54" i="5"/>
  <c r="CJ54" i="5" s="1"/>
  <c r="W56" i="5"/>
  <c r="V56" i="5"/>
  <c r="Z56" i="5"/>
  <c r="CJ56" i="5" s="1"/>
  <c r="Y56" i="5"/>
  <c r="CI56" i="5" s="1"/>
  <c r="X56" i="5"/>
  <c r="CH56" i="5" s="1"/>
  <c r="X59" i="5"/>
  <c r="CH59" i="5" s="1"/>
  <c r="W59" i="5"/>
  <c r="V59" i="5"/>
  <c r="Z59" i="5"/>
  <c r="CJ59" i="5" s="1"/>
  <c r="Y59" i="5"/>
  <c r="CI59" i="5" s="1"/>
  <c r="F55" i="10"/>
  <c r="P75" i="10"/>
  <c r="L75" i="10"/>
  <c r="D127" i="7"/>
  <c r="C55" i="10"/>
  <c r="E121" i="7"/>
  <c r="E55" i="10"/>
  <c r="AV47" i="5"/>
  <c r="DF47" i="5" s="1"/>
  <c r="B30" i="10"/>
  <c r="K82" i="6"/>
  <c r="C30" i="10"/>
  <c r="D30" i="10"/>
  <c r="O7" i="10"/>
  <c r="F30" i="10"/>
  <c r="DA47" i="5"/>
  <c r="AK50" i="5"/>
  <c r="CU50" i="5" s="1"/>
  <c r="P7" i="10"/>
  <c r="G30" i="10"/>
  <c r="AW49" i="6"/>
  <c r="AW49" i="5" s="1"/>
  <c r="BG50" i="6"/>
  <c r="BG50" i="5" s="1"/>
  <c r="BG51" i="6"/>
  <c r="BG51" i="5" s="1"/>
  <c r="AW59" i="6"/>
  <c r="AW59" i="5" s="1"/>
  <c r="DD8" i="5"/>
  <c r="BG49" i="6"/>
  <c r="BG49" i="5" s="1"/>
  <c r="AW54" i="6"/>
  <c r="AW54" i="5" s="1"/>
  <c r="BG58" i="6"/>
  <c r="BG58" i="5" s="1"/>
  <c r="DD12" i="5"/>
  <c r="AW53" i="6"/>
  <c r="AW53" i="5" s="1"/>
  <c r="BG54" i="6"/>
  <c r="BG54" i="5" s="1"/>
  <c r="AW57" i="6"/>
  <c r="AW57" i="5" s="1"/>
  <c r="AW52" i="6"/>
  <c r="AW52" i="5" s="1"/>
  <c r="BG56" i="6"/>
  <c r="BG56" i="5" s="1"/>
  <c r="AW51" i="6"/>
  <c r="AW51" i="5" s="1"/>
  <c r="BG53" i="6"/>
  <c r="BG53" i="5" s="1"/>
  <c r="BY11" i="5"/>
  <c r="CH35" i="5"/>
  <c r="AW50" i="6"/>
  <c r="AW50" i="5" s="1"/>
  <c r="BG52" i="6"/>
  <c r="BG52" i="5" s="1"/>
  <c r="AW55" i="6"/>
  <c r="AW55" i="5" s="1"/>
  <c r="BG60" i="6"/>
  <c r="BG60" i="5" s="1"/>
  <c r="DB16" i="5"/>
  <c r="AW60" i="6"/>
  <c r="AW60" i="5" s="1"/>
  <c r="BG55" i="6"/>
  <c r="BG55" i="5" s="1"/>
  <c r="AW56" i="6"/>
  <c r="AW56" i="5" s="1"/>
  <c r="BG59" i="6"/>
  <c r="BG59" i="5" s="1"/>
  <c r="DD17" i="5"/>
  <c r="CS39" i="5"/>
  <c r="CT80" i="5"/>
  <c r="I125" i="7"/>
  <c r="F125" i="7"/>
  <c r="E125" i="7"/>
  <c r="D125" i="7"/>
  <c r="C125" i="7"/>
  <c r="B125" i="7"/>
  <c r="DM34" i="5"/>
  <c r="DD37" i="5"/>
  <c r="DC37" i="5"/>
  <c r="BG57" i="6"/>
  <c r="BG57" i="5" s="1"/>
  <c r="AW58" i="6"/>
  <c r="AW58" i="5" s="1"/>
  <c r="DB15" i="5"/>
  <c r="CT78" i="5"/>
  <c r="B120" i="7"/>
  <c r="I120" i="7"/>
  <c r="F120" i="7"/>
  <c r="E120" i="7"/>
  <c r="D120" i="7"/>
  <c r="C120" i="7"/>
  <c r="DM36" i="5"/>
  <c r="B126" i="7"/>
  <c r="I126" i="7"/>
  <c r="F126" i="7"/>
  <c r="E126" i="7"/>
  <c r="D126" i="7"/>
  <c r="C126" i="7"/>
  <c r="I119" i="7"/>
  <c r="F119" i="7"/>
  <c r="E119" i="7"/>
  <c r="D119" i="7"/>
  <c r="C119" i="7"/>
  <c r="B119" i="7"/>
  <c r="CI77" i="5"/>
  <c r="CH29" i="5"/>
  <c r="CT36" i="5"/>
  <c r="CI70" i="5"/>
  <c r="DK47" i="5"/>
  <c r="AL50" i="5"/>
  <c r="CV50" i="5" s="1"/>
  <c r="CF53" i="5"/>
  <c r="BE47" i="5"/>
  <c r="DO47" i="5" s="1"/>
  <c r="I7" i="10"/>
  <c r="AP48" i="5"/>
  <c r="AQ48" i="5"/>
  <c r="L7" i="10"/>
  <c r="AR48" i="5"/>
  <c r="AS48" i="5"/>
  <c r="Q131" i="10"/>
  <c r="G82" i="6"/>
  <c r="O131" i="10" s="1"/>
  <c r="N30" i="10"/>
  <c r="D121" i="7"/>
  <c r="F118" i="7"/>
  <c r="E118" i="7"/>
  <c r="D118" i="7"/>
  <c r="C118" i="7"/>
  <c r="B118" i="7"/>
  <c r="I118" i="7"/>
  <c r="F122" i="7"/>
  <c r="E122" i="7"/>
  <c r="D122" i="7"/>
  <c r="C122" i="7"/>
  <c r="B122" i="7"/>
  <c r="I122" i="7"/>
  <c r="F128" i="7"/>
  <c r="E128" i="7"/>
  <c r="D128" i="7"/>
  <c r="C128" i="7"/>
  <c r="B128" i="7"/>
  <c r="I128" i="7"/>
  <c r="E127" i="7"/>
  <c r="N55" i="10"/>
  <c r="H30" i="10"/>
  <c r="F121" i="7"/>
  <c r="F127" i="7"/>
  <c r="O55" i="10"/>
  <c r="I121" i="7"/>
  <c r="I127" i="7"/>
  <c r="D55" i="10"/>
  <c r="B121" i="7"/>
  <c r="B127" i="7"/>
  <c r="C121" i="7"/>
  <c r="C127" i="7"/>
  <c r="CP53" i="5" l="1"/>
  <c r="H55" i="10"/>
  <c r="G55" i="10"/>
  <c r="AW61" i="5"/>
  <c r="BG61" i="5"/>
  <c r="AL53" i="5"/>
  <c r="CV53" i="5" s="1"/>
  <c r="AK53" i="5"/>
  <c r="CU53" i="5" s="1"/>
  <c r="CG53" i="5"/>
  <c r="AA53" i="5"/>
  <c r="CK53" i="5" s="1"/>
  <c r="CP50" i="5"/>
  <c r="BC48" i="5"/>
  <c r="DM48" i="5" s="1"/>
  <c r="BB48" i="5"/>
  <c r="DL48" i="5" s="1"/>
  <c r="AT48" i="5"/>
  <c r="DD48" i="5" s="1"/>
  <c r="BD48" i="5"/>
  <c r="DN48" i="5" s="1"/>
  <c r="BA48" i="5"/>
  <c r="AZ48" i="5"/>
  <c r="DJ48" i="5" s="1"/>
  <c r="N131" i="10"/>
  <c r="J131" i="10"/>
  <c r="M131" i="10"/>
  <c r="L131" i="10"/>
  <c r="K131" i="10"/>
  <c r="L30" i="10"/>
  <c r="O30" i="10"/>
  <c r="R75" i="10"/>
  <c r="R30" i="10"/>
  <c r="N75" i="10"/>
  <c r="R7" i="10"/>
  <c r="M7" i="10"/>
  <c r="M75" i="10"/>
  <c r="I85" i="10"/>
  <c r="S79" i="10"/>
  <c r="O75" i="10"/>
  <c r="E75" i="10"/>
  <c r="I87" i="10"/>
  <c r="L55" i="10"/>
  <c r="S60" i="10"/>
  <c r="F75" i="10"/>
  <c r="S81" i="10"/>
  <c r="S77" i="10"/>
  <c r="S80" i="10"/>
  <c r="I56" i="10"/>
  <c r="P55" i="10"/>
  <c r="I58" i="10"/>
  <c r="S59" i="10"/>
  <c r="G7" i="10"/>
  <c r="R32" i="5"/>
  <c r="CV32" i="5" s="1"/>
  <c r="Q32" i="5"/>
  <c r="CU32" i="5" s="1"/>
  <c r="CQ32" i="5"/>
  <c r="CF32" i="5"/>
  <c r="CF73" i="5"/>
  <c r="CI69" i="5"/>
  <c r="H51" i="5"/>
  <c r="DF30" i="5" s="1"/>
  <c r="G51" i="5"/>
  <c r="DE30" i="5" s="1"/>
  <c r="DA30" i="5"/>
  <c r="DJ28" i="5"/>
  <c r="DM7" i="5"/>
  <c r="DB28" i="5"/>
  <c r="CP36" i="5"/>
  <c r="G37" i="5"/>
  <c r="CK37" i="5" s="1"/>
  <c r="CG37" i="5"/>
  <c r="H37" i="5"/>
  <c r="CL37" i="5" s="1"/>
  <c r="CF29" i="5"/>
  <c r="H36" i="5"/>
  <c r="CL36" i="5" s="1"/>
  <c r="G36" i="5"/>
  <c r="CK36" i="5" s="1"/>
  <c r="CG36" i="5"/>
  <c r="CI28" i="5"/>
  <c r="CZ39" i="5"/>
  <c r="CF75" i="5"/>
  <c r="BM37" i="5"/>
  <c r="AU16" i="5"/>
  <c r="BQ37" i="5" s="1"/>
  <c r="AV16" i="5"/>
  <c r="BR37" i="5" s="1"/>
  <c r="CF18" i="5"/>
  <c r="AL38" i="5"/>
  <c r="DP17" i="5" s="1"/>
  <c r="AK38" i="5"/>
  <c r="DO17" i="5" s="1"/>
  <c r="DK17" i="5"/>
  <c r="CP77" i="5"/>
  <c r="CP73" i="5"/>
  <c r="CZ10" i="5"/>
  <c r="Q55" i="5"/>
  <c r="DO34" i="5" s="1"/>
  <c r="R55" i="5"/>
  <c r="DP34" i="5" s="1"/>
  <c r="DK34" i="5"/>
  <c r="CG60" i="5"/>
  <c r="AB60" i="5"/>
  <c r="CL60" i="5" s="1"/>
  <c r="AA60" i="5"/>
  <c r="CK60" i="5" s="1"/>
  <c r="R56" i="5"/>
  <c r="DP35" i="5" s="1"/>
  <c r="Q56" i="5"/>
  <c r="DO35" i="5" s="1"/>
  <c r="DK35" i="5"/>
  <c r="CQ76" i="5"/>
  <c r="BF35" i="5"/>
  <c r="CV76" i="5" s="1"/>
  <c r="BE35" i="5"/>
  <c r="CU76" i="5" s="1"/>
  <c r="CQ72" i="5"/>
  <c r="BF31" i="5"/>
  <c r="CV72" i="5" s="1"/>
  <c r="BE31" i="5"/>
  <c r="CU72" i="5" s="1"/>
  <c r="BW17" i="5"/>
  <c r="R17" i="5"/>
  <c r="CB17" i="5" s="1"/>
  <c r="Q17" i="5"/>
  <c r="CA17" i="5" s="1"/>
  <c r="AB16" i="5"/>
  <c r="CL16" i="5" s="1"/>
  <c r="AA16" i="5"/>
  <c r="CK16" i="5" s="1"/>
  <c r="CG16" i="5"/>
  <c r="BV34" i="5"/>
  <c r="BW13" i="5"/>
  <c r="R13" i="5"/>
  <c r="CB13" i="5" s="1"/>
  <c r="Q13" i="5"/>
  <c r="CA13" i="5" s="1"/>
  <c r="CF52" i="5"/>
  <c r="BL18" i="5"/>
  <c r="R18" i="5"/>
  <c r="CB18" i="5" s="1"/>
  <c r="Q18" i="5"/>
  <c r="CA18" i="5" s="1"/>
  <c r="BW18" i="5"/>
  <c r="BN28" i="5"/>
  <c r="BV11" i="5"/>
  <c r="BM38" i="5"/>
  <c r="AU17" i="5"/>
  <c r="BQ38" i="5" s="1"/>
  <c r="AV17" i="5"/>
  <c r="BR38" i="5" s="1"/>
  <c r="S15" i="10"/>
  <c r="BB56" i="6"/>
  <c r="AZ56" i="6"/>
  <c r="BD56" i="6"/>
  <c r="BC56" i="6"/>
  <c r="BA56" i="6"/>
  <c r="BM10" i="5"/>
  <c r="G10" i="5"/>
  <c r="BQ10" i="5" s="1"/>
  <c r="H10" i="5"/>
  <c r="BR10" i="5" s="1"/>
  <c r="BL30" i="5"/>
  <c r="CP75" i="5"/>
  <c r="G12" i="5"/>
  <c r="BQ12" i="5" s="1"/>
  <c r="H12" i="5"/>
  <c r="BR12" i="5" s="1"/>
  <c r="BM12" i="5"/>
  <c r="CJ7" i="5"/>
  <c r="CG13" i="5"/>
  <c r="AA13" i="5"/>
  <c r="CK13" i="5" s="1"/>
  <c r="AB13" i="5"/>
  <c r="CL13" i="5" s="1"/>
  <c r="AB8" i="5"/>
  <c r="CL8" i="5" s="1"/>
  <c r="AA8" i="5"/>
  <c r="CK8" i="5" s="1"/>
  <c r="CG8" i="5"/>
  <c r="BV7" i="5"/>
  <c r="CZ35" i="5"/>
  <c r="BV28" i="5"/>
  <c r="S10" i="10"/>
  <c r="BA51" i="6"/>
  <c r="AZ51" i="6"/>
  <c r="BD51" i="6"/>
  <c r="BC51" i="6"/>
  <c r="BB51" i="6"/>
  <c r="BO7" i="5"/>
  <c r="Q7" i="10"/>
  <c r="R31" i="5"/>
  <c r="CV31" i="5" s="1"/>
  <c r="Q31" i="5"/>
  <c r="CU31" i="5" s="1"/>
  <c r="CQ31" i="5"/>
  <c r="CG31" i="5"/>
  <c r="H31" i="5"/>
  <c r="CL31" i="5" s="1"/>
  <c r="G31" i="5"/>
  <c r="CK31" i="5" s="1"/>
  <c r="CZ31" i="5"/>
  <c r="CG73" i="5"/>
  <c r="AV32" i="5"/>
  <c r="CL73" i="5" s="1"/>
  <c r="AU32" i="5"/>
  <c r="CK73" i="5" s="1"/>
  <c r="DJ8" i="5"/>
  <c r="CJ69" i="5"/>
  <c r="R49" i="5"/>
  <c r="DP28" i="5" s="1"/>
  <c r="Q49" i="5"/>
  <c r="DO28" i="5" s="1"/>
  <c r="DK28" i="5"/>
  <c r="I66" i="10"/>
  <c r="CF70" i="5"/>
  <c r="CF79" i="5"/>
  <c r="Q36" i="5"/>
  <c r="CU36" i="5" s="1"/>
  <c r="CQ36" i="5"/>
  <c r="R36" i="5"/>
  <c r="CV36" i="5" s="1"/>
  <c r="G29" i="5"/>
  <c r="CK29" i="5" s="1"/>
  <c r="H29" i="5"/>
  <c r="CL29" i="5" s="1"/>
  <c r="CG29" i="5"/>
  <c r="Q33" i="5"/>
  <c r="CU33" i="5" s="1"/>
  <c r="CQ33" i="5"/>
  <c r="R33" i="5"/>
  <c r="CV33" i="5" s="1"/>
  <c r="CF80" i="5"/>
  <c r="CQ60" i="5"/>
  <c r="AL60" i="5"/>
  <c r="CV60" i="5" s="1"/>
  <c r="AK60" i="5"/>
  <c r="CU60" i="5" s="1"/>
  <c r="CP58" i="5"/>
  <c r="CQ9" i="5"/>
  <c r="AL9" i="5"/>
  <c r="CV9" i="5" s="1"/>
  <c r="AK9" i="5"/>
  <c r="CU9" i="5" s="1"/>
  <c r="G60" i="5"/>
  <c r="DE39" i="5" s="1"/>
  <c r="H60" i="5"/>
  <c r="DF39" i="5" s="1"/>
  <c r="DA39" i="5"/>
  <c r="CW55" i="5"/>
  <c r="CP55" i="5"/>
  <c r="DJ18" i="5"/>
  <c r="CP78" i="5"/>
  <c r="DJ14" i="5"/>
  <c r="CG75" i="5"/>
  <c r="AV34" i="5"/>
  <c r="CL75" i="5" s="1"/>
  <c r="AU34" i="5"/>
  <c r="CK75" i="5" s="1"/>
  <c r="CF34" i="5"/>
  <c r="AA32" i="5"/>
  <c r="DE11" i="5" s="1"/>
  <c r="DA11" i="5"/>
  <c r="AB32" i="5"/>
  <c r="DF11" i="5" s="1"/>
  <c r="CP70" i="5"/>
  <c r="BL37" i="5"/>
  <c r="BL16" i="5"/>
  <c r="S16" i="10"/>
  <c r="BA57" i="6"/>
  <c r="BD57" i="6"/>
  <c r="BC57" i="6"/>
  <c r="BB57" i="6"/>
  <c r="AZ57" i="6"/>
  <c r="H58" i="5"/>
  <c r="DF37" i="5" s="1"/>
  <c r="G58" i="5"/>
  <c r="DE37" i="5" s="1"/>
  <c r="DA37" i="5"/>
  <c r="CF55" i="5"/>
  <c r="CZ18" i="5"/>
  <c r="CQ77" i="5"/>
  <c r="BF36" i="5"/>
  <c r="CV77" i="5" s="1"/>
  <c r="BE36" i="5"/>
  <c r="CU77" i="5" s="1"/>
  <c r="CQ73" i="5"/>
  <c r="BE32" i="5"/>
  <c r="CU73" i="5" s="1"/>
  <c r="BF32" i="5"/>
  <c r="CV73" i="5" s="1"/>
  <c r="AB31" i="5"/>
  <c r="DF10" i="5" s="1"/>
  <c r="AA31" i="5"/>
  <c r="DE10" i="5" s="1"/>
  <c r="DA10" i="5"/>
  <c r="CR69" i="5"/>
  <c r="CP59" i="5"/>
  <c r="CZ17" i="5"/>
  <c r="DJ16" i="5"/>
  <c r="DJ12" i="5"/>
  <c r="BW34" i="5"/>
  <c r="BF13" i="5"/>
  <c r="CB34" i="5" s="1"/>
  <c r="BE13" i="5"/>
  <c r="CA34" i="5" s="1"/>
  <c r="CG52" i="5"/>
  <c r="AB52" i="5"/>
  <c r="CL52" i="5" s="1"/>
  <c r="AA52" i="5"/>
  <c r="CK52" i="5" s="1"/>
  <c r="CF76" i="5"/>
  <c r="BL13" i="5"/>
  <c r="BV29" i="5"/>
  <c r="BO28" i="5"/>
  <c r="BV31" i="5"/>
  <c r="CG39" i="5"/>
  <c r="H39" i="5"/>
  <c r="CL39" i="5" s="1"/>
  <c r="G39" i="5"/>
  <c r="CK39" i="5" s="1"/>
  <c r="CF15" i="5"/>
  <c r="BM30" i="5"/>
  <c r="AV9" i="5"/>
  <c r="BR30" i="5" s="1"/>
  <c r="AU9" i="5"/>
  <c r="BQ30" i="5" s="1"/>
  <c r="AL8" i="5"/>
  <c r="CV8" i="5" s="1"/>
  <c r="AK8" i="5"/>
  <c r="CU8" i="5" s="1"/>
  <c r="CQ8" i="5"/>
  <c r="CQ75" i="5"/>
  <c r="BF34" i="5"/>
  <c r="CV75" i="5" s="1"/>
  <c r="BE34" i="5"/>
  <c r="CU75" i="5" s="1"/>
  <c r="BL12" i="5"/>
  <c r="BL32" i="5"/>
  <c r="CF7" i="5"/>
  <c r="BW35" i="5"/>
  <c r="BF14" i="5"/>
  <c r="CB35" i="5" s="1"/>
  <c r="BE14" i="5"/>
  <c r="CA35" i="5" s="1"/>
  <c r="CQ10" i="5"/>
  <c r="AL10" i="5"/>
  <c r="CV10" i="5" s="1"/>
  <c r="AK10" i="5"/>
  <c r="CU10" i="5" s="1"/>
  <c r="BW7" i="5"/>
  <c r="R7" i="5"/>
  <c r="CB7" i="5" s="1"/>
  <c r="Q7" i="5"/>
  <c r="CA7" i="5" s="1"/>
  <c r="AB29" i="5"/>
  <c r="DF8" i="5" s="1"/>
  <c r="AA29" i="5"/>
  <c r="DE8" i="5" s="1"/>
  <c r="DA8" i="5"/>
  <c r="BL33" i="5"/>
  <c r="BW28" i="5"/>
  <c r="BE7" i="5"/>
  <c r="CA28" i="5" s="1"/>
  <c r="BF7" i="5"/>
  <c r="CB28" i="5" s="1"/>
  <c r="BW8" i="5"/>
  <c r="R8" i="5"/>
  <c r="CB8" i="5" s="1"/>
  <c r="Q8" i="5"/>
  <c r="CA8" i="5" s="1"/>
  <c r="BP7" i="5"/>
  <c r="G75" i="10"/>
  <c r="H75" i="10"/>
  <c r="I78" i="10"/>
  <c r="I77" i="10"/>
  <c r="Q30" i="10"/>
  <c r="P30" i="10"/>
  <c r="S58" i="10"/>
  <c r="H7" i="10"/>
  <c r="R30" i="5"/>
  <c r="CV30" i="5" s="1"/>
  <c r="Q30" i="5"/>
  <c r="CU30" i="5" s="1"/>
  <c r="CQ30" i="5"/>
  <c r="I83" i="10"/>
  <c r="S82" i="10"/>
  <c r="CG69" i="5"/>
  <c r="AV28" i="5"/>
  <c r="CL69" i="5" s="1"/>
  <c r="AU28" i="5"/>
  <c r="CK69" i="5" s="1"/>
  <c r="DJ32" i="5"/>
  <c r="CP49" i="5"/>
  <c r="I65" i="10"/>
  <c r="CG70" i="5"/>
  <c r="AV29" i="5"/>
  <c r="CL70" i="5" s="1"/>
  <c r="AU29" i="5"/>
  <c r="CK70" i="5" s="1"/>
  <c r="I64" i="10"/>
  <c r="I63" i="10"/>
  <c r="S65" i="10"/>
  <c r="CP29" i="5"/>
  <c r="Q57" i="5"/>
  <c r="DO36" i="5" s="1"/>
  <c r="R57" i="5"/>
  <c r="DP36" i="5" s="1"/>
  <c r="DK36" i="5"/>
  <c r="CP9" i="5"/>
  <c r="CQ55" i="5"/>
  <c r="AK55" i="5"/>
  <c r="CU55" i="5" s="1"/>
  <c r="AL55" i="5"/>
  <c r="CV55" i="5" s="1"/>
  <c r="CG49" i="5"/>
  <c r="AB49" i="5"/>
  <c r="CL49" i="5" s="1"/>
  <c r="AA49" i="5"/>
  <c r="CK49" i="5" s="1"/>
  <c r="CF38" i="5"/>
  <c r="AL35" i="5"/>
  <c r="DP14" i="5" s="1"/>
  <c r="AK35" i="5"/>
  <c r="DO14" i="5" s="1"/>
  <c r="DK14" i="5"/>
  <c r="AL17" i="5"/>
  <c r="CV17" i="5" s="1"/>
  <c r="AK17" i="5"/>
  <c r="CU17" i="5" s="1"/>
  <c r="CQ17" i="5"/>
  <c r="BM16" i="5"/>
  <c r="H16" i="5"/>
  <c r="BR16" i="5" s="1"/>
  <c r="G16" i="5"/>
  <c r="BQ16" i="5" s="1"/>
  <c r="AB39" i="5"/>
  <c r="DF18" i="5" s="1"/>
  <c r="AA39" i="5"/>
  <c r="DE18" i="5" s="1"/>
  <c r="DA18" i="5"/>
  <c r="DJ13" i="5"/>
  <c r="CS69" i="5"/>
  <c r="CQ59" i="5"/>
  <c r="AL59" i="5"/>
  <c r="CV59" i="5" s="1"/>
  <c r="AK59" i="5"/>
  <c r="CU59" i="5" s="1"/>
  <c r="CF51" i="5"/>
  <c r="CF60" i="5"/>
  <c r="CP39" i="5"/>
  <c r="AB38" i="5"/>
  <c r="DF17" i="5" s="1"/>
  <c r="AA38" i="5"/>
  <c r="DE17" i="5" s="1"/>
  <c r="DA17" i="5"/>
  <c r="AL37" i="5"/>
  <c r="DP16" i="5" s="1"/>
  <c r="AK37" i="5"/>
  <c r="DO16" i="5" s="1"/>
  <c r="DK16" i="5"/>
  <c r="AL33" i="5"/>
  <c r="DP12" i="5" s="1"/>
  <c r="AK33" i="5"/>
  <c r="DO12" i="5" s="1"/>
  <c r="DK12" i="5"/>
  <c r="BV38" i="5"/>
  <c r="BL14" i="5"/>
  <c r="DJ39" i="5"/>
  <c r="I19" i="10"/>
  <c r="AS60" i="6"/>
  <c r="AR60" i="6"/>
  <c r="AQ60" i="6"/>
  <c r="AP60" i="6"/>
  <c r="AT60" i="6"/>
  <c r="CG76" i="5"/>
  <c r="AV35" i="5"/>
  <c r="CL76" i="5" s="1"/>
  <c r="AU35" i="5"/>
  <c r="CK76" i="5" s="1"/>
  <c r="BM13" i="5"/>
  <c r="H13" i="5"/>
  <c r="BR13" i="5" s="1"/>
  <c r="G13" i="5"/>
  <c r="BQ13" i="5" s="1"/>
  <c r="CP12" i="5"/>
  <c r="S11" i="10"/>
  <c r="BB52" i="6"/>
  <c r="BC52" i="6"/>
  <c r="BA52" i="6"/>
  <c r="AZ52" i="6"/>
  <c r="BD52" i="6"/>
  <c r="BW29" i="5"/>
  <c r="BF8" i="5"/>
  <c r="CB29" i="5" s="1"/>
  <c r="BE8" i="5"/>
  <c r="CA29" i="5" s="1"/>
  <c r="BL8" i="5"/>
  <c r="BP28" i="5"/>
  <c r="CP16" i="5"/>
  <c r="I10" i="10"/>
  <c r="AQ51" i="6"/>
  <c r="AP51" i="6"/>
  <c r="AT51" i="6"/>
  <c r="AS51" i="6"/>
  <c r="AR51" i="6"/>
  <c r="BM34" i="5"/>
  <c r="AV13" i="5"/>
  <c r="BR34" i="5" s="1"/>
  <c r="AU13" i="5"/>
  <c r="BQ34" i="5" s="1"/>
  <c r="CF17" i="5"/>
  <c r="BL15" i="5"/>
  <c r="CP13" i="5"/>
  <c r="S13" i="10"/>
  <c r="BB54" i="6"/>
  <c r="BD54" i="6"/>
  <c r="BC54" i="6"/>
  <c r="BA54" i="6"/>
  <c r="AZ54" i="6"/>
  <c r="I12" i="10"/>
  <c r="AT53" i="6"/>
  <c r="AS53" i="6"/>
  <c r="AR53" i="6"/>
  <c r="AQ53" i="6"/>
  <c r="AP53" i="6"/>
  <c r="CP8" i="5"/>
  <c r="BM32" i="5"/>
  <c r="AU11" i="5"/>
  <c r="BQ32" i="5" s="1"/>
  <c r="AV11" i="5"/>
  <c r="BR32" i="5" s="1"/>
  <c r="CP34" i="5"/>
  <c r="BV39" i="5"/>
  <c r="BL17" i="5"/>
  <c r="AV12" i="5"/>
  <c r="BR33" i="5" s="1"/>
  <c r="AU12" i="5"/>
  <c r="BQ33" i="5" s="1"/>
  <c r="BM33" i="5"/>
  <c r="BX28" i="5"/>
  <c r="R9" i="5"/>
  <c r="CB9" i="5" s="1"/>
  <c r="Q9" i="5"/>
  <c r="CA9" i="5" s="1"/>
  <c r="BW9" i="5"/>
  <c r="BL7" i="5"/>
  <c r="I82" i="10"/>
  <c r="H32" i="5"/>
  <c r="CL32" i="5" s="1"/>
  <c r="G32" i="5"/>
  <c r="CK32" i="5" s="1"/>
  <c r="CG32" i="5"/>
  <c r="S86" i="10"/>
  <c r="CF31" i="5"/>
  <c r="CH69" i="5"/>
  <c r="CF72" i="5"/>
  <c r="R53" i="5"/>
  <c r="DP32" i="5" s="1"/>
  <c r="Q53" i="5"/>
  <c r="DO32" i="5" s="1"/>
  <c r="DK32" i="5"/>
  <c r="CQ49" i="5"/>
  <c r="AL49" i="5"/>
  <c r="CV49" i="5" s="1"/>
  <c r="AK49" i="5"/>
  <c r="CU49" i="5" s="1"/>
  <c r="CF71" i="5"/>
  <c r="CF77" i="5"/>
  <c r="DJ31" i="5"/>
  <c r="CP37" i="5"/>
  <c r="CQ29" i="5"/>
  <c r="R29" i="5"/>
  <c r="CV29" i="5" s="1"/>
  <c r="Q29" i="5"/>
  <c r="CU29" i="5" s="1"/>
  <c r="CS28" i="5"/>
  <c r="DJ38" i="5"/>
  <c r="AB57" i="5"/>
  <c r="CL57" i="5" s="1"/>
  <c r="AA57" i="5"/>
  <c r="CK57" i="5" s="1"/>
  <c r="CG57" i="5"/>
  <c r="CH49" i="5"/>
  <c r="G38" i="5"/>
  <c r="CK38" i="5" s="1"/>
  <c r="CG38" i="5"/>
  <c r="H38" i="5"/>
  <c r="CL38" i="5" s="1"/>
  <c r="CZ15" i="5"/>
  <c r="DJ10" i="5"/>
  <c r="DB7" i="5"/>
  <c r="CP17" i="5"/>
  <c r="I17" i="10"/>
  <c r="AS58" i="6"/>
  <c r="AT58" i="6"/>
  <c r="AR58" i="6"/>
  <c r="AQ58" i="6"/>
  <c r="AP58" i="6"/>
  <c r="AK56" i="5"/>
  <c r="CU56" i="5" s="1"/>
  <c r="AL56" i="5"/>
  <c r="CV56" i="5" s="1"/>
  <c r="CQ56" i="5"/>
  <c r="CP51" i="5"/>
  <c r="CZ14" i="5"/>
  <c r="AK34" i="5"/>
  <c r="DO13" i="5" s="1"/>
  <c r="AL34" i="5"/>
  <c r="DP13" i="5" s="1"/>
  <c r="DK13" i="5"/>
  <c r="CT69" i="5"/>
  <c r="CG51" i="5"/>
  <c r="AB51" i="5"/>
  <c r="CL51" i="5" s="1"/>
  <c r="AA51" i="5"/>
  <c r="CK51" i="5" s="1"/>
  <c r="CQ39" i="5"/>
  <c r="R39" i="5"/>
  <c r="CV39" i="5" s="1"/>
  <c r="Q39" i="5"/>
  <c r="CU39" i="5" s="1"/>
  <c r="CP35" i="5"/>
  <c r="CZ13" i="5"/>
  <c r="BW38" i="5"/>
  <c r="BF17" i="5"/>
  <c r="CB38" i="5" s="1"/>
  <c r="BE17" i="5"/>
  <c r="CA38" i="5" s="1"/>
  <c r="BM35" i="5"/>
  <c r="AV14" i="5"/>
  <c r="BR35" i="5" s="1"/>
  <c r="AU14" i="5"/>
  <c r="BQ35" i="5" s="1"/>
  <c r="H14" i="5"/>
  <c r="BR14" i="5" s="1"/>
  <c r="BM14" i="5"/>
  <c r="G14" i="5"/>
  <c r="BQ14" i="5" s="1"/>
  <c r="Q60" i="5"/>
  <c r="DO39" i="5" s="1"/>
  <c r="R60" i="5"/>
  <c r="DP39" i="5" s="1"/>
  <c r="DK39" i="5"/>
  <c r="CF59" i="5"/>
  <c r="CZ16" i="5"/>
  <c r="S19" i="10"/>
  <c r="BB60" i="6"/>
  <c r="BD60" i="6"/>
  <c r="BC60" i="6"/>
  <c r="BA60" i="6"/>
  <c r="AZ60" i="6"/>
  <c r="AL14" i="5"/>
  <c r="CV14" i="5" s="1"/>
  <c r="AK14" i="5"/>
  <c r="CU14" i="5" s="1"/>
  <c r="CQ14" i="5"/>
  <c r="CQ12" i="5"/>
  <c r="AK12" i="5"/>
  <c r="CU12" i="5" s="1"/>
  <c r="AL12" i="5"/>
  <c r="CV12" i="5" s="1"/>
  <c r="BM8" i="5"/>
  <c r="H8" i="5"/>
  <c r="BR8" i="5" s="1"/>
  <c r="G8" i="5"/>
  <c r="BQ8" i="5" s="1"/>
  <c r="CF35" i="5"/>
  <c r="AL16" i="5"/>
  <c r="CV16" i="5" s="1"/>
  <c r="AK16" i="5"/>
  <c r="CU16" i="5" s="1"/>
  <c r="CQ16" i="5"/>
  <c r="BL29" i="5"/>
  <c r="BV32" i="5"/>
  <c r="CP7" i="5"/>
  <c r="BM15" i="5"/>
  <c r="G15" i="5"/>
  <c r="BQ15" i="5" s="1"/>
  <c r="H15" i="5"/>
  <c r="BR15" i="5" s="1"/>
  <c r="AL13" i="5"/>
  <c r="CV13" i="5" s="1"/>
  <c r="AK13" i="5"/>
  <c r="CU13" i="5" s="1"/>
  <c r="CQ13" i="5"/>
  <c r="BL31" i="5"/>
  <c r="CP71" i="5"/>
  <c r="BW16" i="5"/>
  <c r="R16" i="5"/>
  <c r="CB16" i="5" s="1"/>
  <c r="Q16" i="5"/>
  <c r="CA16" i="5" s="1"/>
  <c r="R34" i="5"/>
  <c r="CV34" i="5" s="1"/>
  <c r="CQ34" i="5"/>
  <c r="Q34" i="5"/>
  <c r="CU34" i="5" s="1"/>
  <c r="BW39" i="5"/>
  <c r="BE18" i="5"/>
  <c r="CA39" i="5" s="1"/>
  <c r="BF18" i="5"/>
  <c r="CB39" i="5" s="1"/>
  <c r="CP10" i="5"/>
  <c r="CQ79" i="5"/>
  <c r="BF38" i="5"/>
  <c r="CV79" i="5" s="1"/>
  <c r="BE38" i="5"/>
  <c r="CU79" i="5" s="1"/>
  <c r="CZ8" i="5"/>
  <c r="BM17" i="5"/>
  <c r="H17" i="5"/>
  <c r="BR17" i="5" s="1"/>
  <c r="G17" i="5"/>
  <c r="BQ17" i="5" s="1"/>
  <c r="BY28" i="5"/>
  <c r="AK54" i="5"/>
  <c r="CU54" i="5" s="1"/>
  <c r="CQ54" i="5"/>
  <c r="AL54" i="5"/>
  <c r="CV54" i="5" s="1"/>
  <c r="BM7" i="5"/>
  <c r="H7" i="5"/>
  <c r="BR7" i="5" s="1"/>
  <c r="G7" i="5"/>
  <c r="BQ7" i="5" s="1"/>
  <c r="S76" i="10"/>
  <c r="I84" i="10"/>
  <c r="I80" i="10"/>
  <c r="B55" i="10"/>
  <c r="B75" i="10"/>
  <c r="I81" i="10"/>
  <c r="I79" i="10"/>
  <c r="S78" i="10"/>
  <c r="CP30" i="5"/>
  <c r="AL29" i="5"/>
  <c r="DP8" i="5" s="1"/>
  <c r="AK29" i="5"/>
  <c r="DO8" i="5" s="1"/>
  <c r="DK8" i="5"/>
  <c r="CG72" i="5"/>
  <c r="AV31" i="5"/>
  <c r="CL72" i="5" s="1"/>
  <c r="AU31" i="5"/>
  <c r="CK72" i="5" s="1"/>
  <c r="AL28" i="5"/>
  <c r="DP7" i="5" s="1"/>
  <c r="AK28" i="5"/>
  <c r="DO7" i="5" s="1"/>
  <c r="DK7" i="5"/>
  <c r="DC28" i="5"/>
  <c r="S64" i="10"/>
  <c r="CZ29" i="5"/>
  <c r="CR49" i="5"/>
  <c r="CF78" i="5"/>
  <c r="CG77" i="5"/>
  <c r="AV36" i="5"/>
  <c r="CL77" i="5" s="1"/>
  <c r="AU36" i="5"/>
  <c r="CK77" i="5" s="1"/>
  <c r="R52" i="5"/>
  <c r="DP31" i="5" s="1"/>
  <c r="Q52" i="5"/>
  <c r="DO31" i="5" s="1"/>
  <c r="DK31" i="5"/>
  <c r="S61" i="10"/>
  <c r="CQ37" i="5"/>
  <c r="R37" i="5"/>
  <c r="CV37" i="5" s="1"/>
  <c r="Q37" i="5"/>
  <c r="CU37" i="5" s="1"/>
  <c r="CP28" i="5"/>
  <c r="CJ28" i="5"/>
  <c r="CI49" i="5"/>
  <c r="AB36" i="5"/>
  <c r="DF15" i="5" s="1"/>
  <c r="AA36" i="5"/>
  <c r="DE15" i="5" s="1"/>
  <c r="DA15" i="5"/>
  <c r="CP74" i="5"/>
  <c r="CZ7" i="5"/>
  <c r="AA55" i="5"/>
  <c r="CK55" i="5" s="1"/>
  <c r="CG55" i="5"/>
  <c r="AB55" i="5"/>
  <c r="CL55" i="5" s="1"/>
  <c r="CQ51" i="5"/>
  <c r="AL51" i="5"/>
  <c r="CV51" i="5" s="1"/>
  <c r="AK51" i="5"/>
  <c r="CU51" i="5" s="1"/>
  <c r="AA35" i="5"/>
  <c r="DE14" i="5" s="1"/>
  <c r="AB35" i="5"/>
  <c r="DF14" i="5" s="1"/>
  <c r="DA14" i="5"/>
  <c r="CP69" i="5"/>
  <c r="CQ80" i="5"/>
  <c r="BF39" i="5"/>
  <c r="CV80" i="5" s="1"/>
  <c r="BE39" i="5"/>
  <c r="CU80" i="5" s="1"/>
  <c r="R35" i="5"/>
  <c r="CV35" i="5" s="1"/>
  <c r="Q35" i="5"/>
  <c r="CU35" i="5" s="1"/>
  <c r="CQ35" i="5"/>
  <c r="AB34" i="5"/>
  <c r="DF13" i="5" s="1"/>
  <c r="AA34" i="5"/>
  <c r="DE13" i="5" s="1"/>
  <c r="DA13" i="5"/>
  <c r="CZ9" i="5"/>
  <c r="BV17" i="5"/>
  <c r="S14" i="10"/>
  <c r="BD55" i="6"/>
  <c r="BC55" i="6"/>
  <c r="BB55" i="6"/>
  <c r="BA55" i="6"/>
  <c r="AZ55" i="6"/>
  <c r="CZ34" i="5"/>
  <c r="BM18" i="5"/>
  <c r="H18" i="5"/>
  <c r="BR18" i="5" s="1"/>
  <c r="G18" i="5"/>
  <c r="BQ18" i="5" s="1"/>
  <c r="CQ38" i="5"/>
  <c r="R38" i="5"/>
  <c r="CV38" i="5" s="1"/>
  <c r="Q38" i="5"/>
  <c r="CU38" i="5" s="1"/>
  <c r="AB37" i="5"/>
  <c r="DF16" i="5" s="1"/>
  <c r="AA37" i="5"/>
  <c r="DE16" i="5" s="1"/>
  <c r="DA16" i="5"/>
  <c r="BV10" i="5"/>
  <c r="H35" i="5"/>
  <c r="CL35" i="5" s="1"/>
  <c r="G35" i="5"/>
  <c r="CK35" i="5" s="1"/>
  <c r="CG35" i="5"/>
  <c r="BM9" i="5"/>
  <c r="H9" i="5"/>
  <c r="BR9" i="5" s="1"/>
  <c r="G9" i="5"/>
  <c r="BQ9" i="5" s="1"/>
  <c r="BM29" i="5"/>
  <c r="AU8" i="5"/>
  <c r="BQ29" i="5" s="1"/>
  <c r="AV8" i="5"/>
  <c r="BR29" i="5" s="1"/>
  <c r="CF39" i="5"/>
  <c r="BW32" i="5"/>
  <c r="BF11" i="5"/>
  <c r="CB32" i="5" s="1"/>
  <c r="BE11" i="5"/>
  <c r="CA32" i="5" s="1"/>
  <c r="I11" i="10"/>
  <c r="AS52" i="6"/>
  <c r="AR52" i="6"/>
  <c r="AQ52" i="6"/>
  <c r="AP52" i="6"/>
  <c r="AT52" i="6"/>
  <c r="CR7" i="5"/>
  <c r="AB17" i="5"/>
  <c r="CL17" i="5" s="1"/>
  <c r="AA17" i="5"/>
  <c r="CK17" i="5" s="1"/>
  <c r="CG17" i="5"/>
  <c r="BL11" i="5"/>
  <c r="CQ71" i="5"/>
  <c r="BF30" i="5"/>
  <c r="CV71" i="5" s="1"/>
  <c r="BE30" i="5"/>
  <c r="CU71" i="5" s="1"/>
  <c r="CF58" i="5"/>
  <c r="BW33" i="5"/>
  <c r="BF12" i="5"/>
  <c r="CB33" i="5" s="1"/>
  <c r="BE12" i="5"/>
  <c r="CA33" i="5" s="1"/>
  <c r="S8" i="10"/>
  <c r="BD49" i="6"/>
  <c r="BG61" i="6"/>
  <c r="BD61" i="6" s="1"/>
  <c r="BC49" i="6"/>
  <c r="BB49" i="6"/>
  <c r="BA49" i="6"/>
  <c r="AZ49" i="6"/>
  <c r="AA10" i="5"/>
  <c r="CK10" i="5" s="1"/>
  <c r="CG10" i="5"/>
  <c r="AB10" i="5"/>
  <c r="CL10" i="5" s="1"/>
  <c r="BZ28" i="5"/>
  <c r="BL36" i="5"/>
  <c r="BN7" i="5"/>
  <c r="M30" i="10"/>
  <c r="DC48" i="5"/>
  <c r="S83" i="10"/>
  <c r="H52" i="5"/>
  <c r="DF31" i="5" s="1"/>
  <c r="G52" i="5"/>
  <c r="DE31" i="5" s="1"/>
  <c r="DA31" i="5"/>
  <c r="DL28" i="5"/>
  <c r="DJ11" i="5"/>
  <c r="DN7" i="5"/>
  <c r="S66" i="10"/>
  <c r="DD28" i="5"/>
  <c r="H50" i="5"/>
  <c r="DF29" i="5" s="1"/>
  <c r="G50" i="5"/>
  <c r="DE29" i="5" s="1"/>
  <c r="DA29" i="5"/>
  <c r="CS49" i="5"/>
  <c r="S62" i="10"/>
  <c r="CG79" i="5"/>
  <c r="AU38" i="5"/>
  <c r="CK79" i="5" s="1"/>
  <c r="AV38" i="5"/>
  <c r="CL79" i="5" s="1"/>
  <c r="CG78" i="5"/>
  <c r="AV37" i="5"/>
  <c r="CL78" i="5" s="1"/>
  <c r="AU37" i="5"/>
  <c r="CK78" i="5" s="1"/>
  <c r="DJ30" i="5"/>
  <c r="I62" i="10"/>
  <c r="CP33" i="5"/>
  <c r="I59" i="10"/>
  <c r="I67" i="10"/>
  <c r="CG80" i="5"/>
  <c r="AV39" i="5"/>
  <c r="CL80" i="5" s="1"/>
  <c r="AU39" i="5"/>
  <c r="CK80" i="5" s="1"/>
  <c r="Q28" i="5"/>
  <c r="CU28" i="5" s="1"/>
  <c r="CQ28" i="5"/>
  <c r="R28" i="5"/>
  <c r="CV28" i="5" s="1"/>
  <c r="AK58" i="5"/>
  <c r="CU58" i="5" s="1"/>
  <c r="CQ58" i="5"/>
  <c r="AL58" i="5"/>
  <c r="CV58" i="5" s="1"/>
  <c r="CF28" i="5"/>
  <c r="DJ37" i="5"/>
  <c r="CM54" i="5"/>
  <c r="CF54" i="5"/>
  <c r="CJ49" i="5"/>
  <c r="AK39" i="5"/>
  <c r="DO18" i="5" s="1"/>
  <c r="AL39" i="5"/>
  <c r="DP18" i="5" s="1"/>
  <c r="DK18" i="5"/>
  <c r="CQ78" i="5"/>
  <c r="BF37" i="5"/>
  <c r="CV78" i="5" s="1"/>
  <c r="BE37" i="5"/>
  <c r="CU78" i="5" s="1"/>
  <c r="G34" i="5"/>
  <c r="CK34" i="5" s="1"/>
  <c r="CG34" i="5"/>
  <c r="H34" i="5"/>
  <c r="CL34" i="5" s="1"/>
  <c r="CQ74" i="5"/>
  <c r="BF33" i="5"/>
  <c r="CV74" i="5" s="1"/>
  <c r="BE33" i="5"/>
  <c r="CU74" i="5" s="1"/>
  <c r="CZ11" i="5"/>
  <c r="CQ70" i="5"/>
  <c r="BE29" i="5"/>
  <c r="CU70" i="5" s="1"/>
  <c r="BF29" i="5"/>
  <c r="CV70" i="5" s="1"/>
  <c r="AB28" i="5"/>
  <c r="DF7" i="5" s="1"/>
  <c r="AA28" i="5"/>
  <c r="DE7" i="5" s="1"/>
  <c r="DA7" i="5"/>
  <c r="BW36" i="5"/>
  <c r="BE15" i="5"/>
  <c r="CA36" i="5" s="1"/>
  <c r="BF15" i="5"/>
  <c r="CB36" i="5" s="1"/>
  <c r="CF14" i="5"/>
  <c r="CZ37" i="5"/>
  <c r="CF50" i="5"/>
  <c r="CQ69" i="5"/>
  <c r="BF28" i="5"/>
  <c r="CV69" i="5" s="1"/>
  <c r="BE28" i="5"/>
  <c r="CU69" i="5" s="1"/>
  <c r="DJ34" i="5"/>
  <c r="BL35" i="5"/>
  <c r="CP57" i="5"/>
  <c r="H55" i="5"/>
  <c r="DF34" i="5" s="1"/>
  <c r="G55" i="5"/>
  <c r="DE34" i="5" s="1"/>
  <c r="DA34" i="5"/>
  <c r="BV37" i="5"/>
  <c r="I9" i="10"/>
  <c r="AS50" i="6"/>
  <c r="AT50" i="6"/>
  <c r="AR50" i="6"/>
  <c r="AQ50" i="6"/>
  <c r="AP50" i="6"/>
  <c r="S12" i="10"/>
  <c r="BD53" i="6"/>
  <c r="BC53" i="6"/>
  <c r="BB53" i="6"/>
  <c r="BA53" i="6"/>
  <c r="AZ53" i="6"/>
  <c r="AB15" i="5"/>
  <c r="CL15" i="5" s="1"/>
  <c r="AA15" i="5"/>
  <c r="CK15" i="5" s="1"/>
  <c r="CG15" i="5"/>
  <c r="BV14" i="5"/>
  <c r="CS7" i="5"/>
  <c r="BV12" i="5"/>
  <c r="CZ12" i="5"/>
  <c r="BV16" i="5"/>
  <c r="I13" i="10"/>
  <c r="AS54" i="6"/>
  <c r="AT54" i="6"/>
  <c r="AR54" i="6"/>
  <c r="AQ54" i="6"/>
  <c r="AP54" i="6"/>
  <c r="AB7" i="5"/>
  <c r="CL7" i="5" s="1"/>
  <c r="AA7" i="5"/>
  <c r="CK7" i="5" s="1"/>
  <c r="CG7" i="5"/>
  <c r="CG58" i="5"/>
  <c r="AB58" i="5"/>
  <c r="CL58" i="5" s="1"/>
  <c r="AA58" i="5"/>
  <c r="CK58" i="5" s="1"/>
  <c r="BX7" i="5"/>
  <c r="I18" i="10"/>
  <c r="AR59" i="6"/>
  <c r="AT59" i="6"/>
  <c r="AS59" i="6"/>
  <c r="AQ59" i="6"/>
  <c r="AP59" i="6"/>
  <c r="CP11" i="5"/>
  <c r="CF10" i="5"/>
  <c r="BV9" i="5"/>
  <c r="BV8" i="5"/>
  <c r="D75" i="10"/>
  <c r="I76" i="10"/>
  <c r="M55" i="10"/>
  <c r="DB48" i="5"/>
  <c r="CF30" i="5"/>
  <c r="CP31" i="5"/>
  <c r="S84" i="10"/>
  <c r="CZ33" i="5"/>
  <c r="DM28" i="5"/>
  <c r="AL32" i="5"/>
  <c r="DP11" i="5" s="1"/>
  <c r="AK32" i="5"/>
  <c r="DO11" i="5" s="1"/>
  <c r="DK11" i="5"/>
  <c r="DJ7" i="5"/>
  <c r="CP52" i="5"/>
  <c r="DJ29" i="5"/>
  <c r="CZ28" i="5"/>
  <c r="DJ33" i="5"/>
  <c r="CZ32" i="5"/>
  <c r="CT49" i="5"/>
  <c r="S63" i="10"/>
  <c r="I61" i="10"/>
  <c r="Q51" i="5"/>
  <c r="DO30" i="5" s="1"/>
  <c r="R51" i="5"/>
  <c r="DP30" i="5" s="1"/>
  <c r="DK30" i="5"/>
  <c r="CF74" i="5"/>
  <c r="CF33" i="5"/>
  <c r="CR28" i="5"/>
  <c r="CP60" i="5"/>
  <c r="DJ36" i="5"/>
  <c r="H28" i="5"/>
  <c r="CL28" i="5" s="1"/>
  <c r="G28" i="5"/>
  <c r="CK28" i="5" s="1"/>
  <c r="CG28" i="5"/>
  <c r="R58" i="5"/>
  <c r="DP37" i="5" s="1"/>
  <c r="Q58" i="5"/>
  <c r="DO37" i="5" s="1"/>
  <c r="DK37" i="5"/>
  <c r="CP18" i="5"/>
  <c r="CZ38" i="5"/>
  <c r="CG54" i="5"/>
  <c r="AB54" i="5"/>
  <c r="CL54" i="5" s="1"/>
  <c r="AA54" i="5"/>
  <c r="CK54" i="5" s="1"/>
  <c r="CF49" i="5"/>
  <c r="DC7" i="5"/>
  <c r="BV36" i="5"/>
  <c r="BV15" i="5"/>
  <c r="CG14" i="5"/>
  <c r="AB14" i="5"/>
  <c r="CL14" i="5" s="1"/>
  <c r="AA14" i="5"/>
  <c r="CK14" i="5" s="1"/>
  <c r="CZ36" i="5"/>
  <c r="CG50" i="5"/>
  <c r="AB50" i="5"/>
  <c r="CL50" i="5" s="1"/>
  <c r="AA50" i="5"/>
  <c r="CK50" i="5" s="1"/>
  <c r="DJ9" i="5"/>
  <c r="CF56" i="5"/>
  <c r="S18" i="10"/>
  <c r="BA59" i="6"/>
  <c r="BD59" i="6"/>
  <c r="BC59" i="6"/>
  <c r="BB59" i="6"/>
  <c r="AZ59" i="6"/>
  <c r="CP15" i="5"/>
  <c r="CF12" i="5"/>
  <c r="CF9" i="5"/>
  <c r="CQ57" i="5"/>
  <c r="AL57" i="5"/>
  <c r="CV57" i="5" s="1"/>
  <c r="AK57" i="5"/>
  <c r="CU57" i="5" s="1"/>
  <c r="BL39" i="5"/>
  <c r="CP38" i="5"/>
  <c r="BV18" i="5"/>
  <c r="BW37" i="5"/>
  <c r="BF16" i="5"/>
  <c r="CB37" i="5" s="1"/>
  <c r="BE16" i="5"/>
  <c r="CA37" i="5" s="1"/>
  <c r="CF11" i="5"/>
  <c r="BV30" i="5"/>
  <c r="BL28" i="5"/>
  <c r="DJ15" i="5"/>
  <c r="BE10" i="5"/>
  <c r="CA31" i="5" s="1"/>
  <c r="BF10" i="5"/>
  <c r="CB31" i="5" s="1"/>
  <c r="BW31" i="5"/>
  <c r="BW14" i="5"/>
  <c r="Q14" i="5"/>
  <c r="CA14" i="5" s="1"/>
  <c r="R14" i="5"/>
  <c r="CB14" i="5" s="1"/>
  <c r="BL34" i="5"/>
  <c r="AL7" i="5"/>
  <c r="CV7" i="5" s="1"/>
  <c r="AK7" i="5"/>
  <c r="CU7" i="5" s="1"/>
  <c r="CQ7" i="5"/>
  <c r="I16" i="10"/>
  <c r="AR57" i="6"/>
  <c r="AT57" i="6"/>
  <c r="AS57" i="6"/>
  <c r="AQ57" i="6"/>
  <c r="AP57" i="6"/>
  <c r="BW12" i="5"/>
  <c r="R12" i="5"/>
  <c r="CB12" i="5" s="1"/>
  <c r="Q12" i="5"/>
  <c r="CA12" i="5" s="1"/>
  <c r="BM31" i="5"/>
  <c r="AV10" i="5"/>
  <c r="BR31" i="5" s="1"/>
  <c r="AU10" i="5"/>
  <c r="BQ31" i="5" s="1"/>
  <c r="AB33" i="5"/>
  <c r="DF12" i="5" s="1"/>
  <c r="AA33" i="5"/>
  <c r="DE12" i="5" s="1"/>
  <c r="DA12" i="5"/>
  <c r="CI7" i="5"/>
  <c r="BY7" i="5"/>
  <c r="H56" i="5"/>
  <c r="DF35" i="5" s="1"/>
  <c r="G56" i="5"/>
  <c r="DE35" i="5" s="1"/>
  <c r="DA35" i="5"/>
  <c r="CQ11" i="5"/>
  <c r="AL11" i="5"/>
  <c r="CV11" i="5" s="1"/>
  <c r="AK11" i="5"/>
  <c r="CU11" i="5" s="1"/>
  <c r="BM36" i="5"/>
  <c r="AV15" i="5"/>
  <c r="BR36" i="5" s="1"/>
  <c r="AU15" i="5"/>
  <c r="BQ36" i="5" s="1"/>
  <c r="C75" i="10"/>
  <c r="I86" i="10"/>
  <c r="I60" i="10"/>
  <c r="S56" i="10"/>
  <c r="CZ48" i="5"/>
  <c r="S85" i="10"/>
  <c r="CP32" i="5"/>
  <c r="CG30" i="5"/>
  <c r="H30" i="5"/>
  <c r="CL30" i="5" s="1"/>
  <c r="G30" i="5"/>
  <c r="CK30" i="5" s="1"/>
  <c r="S87" i="10"/>
  <c r="H54" i="5"/>
  <c r="DF33" i="5" s="1"/>
  <c r="G54" i="5"/>
  <c r="DE33" i="5" s="1"/>
  <c r="DA33" i="5"/>
  <c r="CF69" i="5"/>
  <c r="CZ30" i="5"/>
  <c r="DN28" i="5"/>
  <c r="S67" i="10"/>
  <c r="DL7" i="5"/>
  <c r="AK52" i="5"/>
  <c r="CU52" i="5" s="1"/>
  <c r="CQ52" i="5"/>
  <c r="AL52" i="5"/>
  <c r="CV52" i="5" s="1"/>
  <c r="R50" i="5"/>
  <c r="DP29" i="5" s="1"/>
  <c r="Q50" i="5"/>
  <c r="DO29" i="5" s="1"/>
  <c r="DK29" i="5"/>
  <c r="H49" i="5"/>
  <c r="DF28" i="5" s="1"/>
  <c r="G49" i="5"/>
  <c r="DE28" i="5" s="1"/>
  <c r="DA28" i="5"/>
  <c r="R54" i="5"/>
  <c r="DP33" i="5" s="1"/>
  <c r="Q54" i="5"/>
  <c r="DO33" i="5" s="1"/>
  <c r="DK33" i="5"/>
  <c r="H53" i="5"/>
  <c r="DF32" i="5" s="1"/>
  <c r="G53" i="5"/>
  <c r="DE32" i="5" s="1"/>
  <c r="DA32" i="5"/>
  <c r="CG71" i="5"/>
  <c r="AU30" i="5"/>
  <c r="CK71" i="5" s="1"/>
  <c r="AV30" i="5"/>
  <c r="CL71" i="5" s="1"/>
  <c r="CF37" i="5"/>
  <c r="S57" i="10"/>
  <c r="CF36" i="5"/>
  <c r="I57" i="10"/>
  <c r="CG74" i="5"/>
  <c r="AU33" i="5"/>
  <c r="CK74" i="5" s="1"/>
  <c r="AV33" i="5"/>
  <c r="CL74" i="5" s="1"/>
  <c r="H33" i="5"/>
  <c r="CL33" i="5" s="1"/>
  <c r="G33" i="5"/>
  <c r="CK33" i="5" s="1"/>
  <c r="CG33" i="5"/>
  <c r="CT28" i="5"/>
  <c r="Q59" i="5"/>
  <c r="DO38" i="5" s="1"/>
  <c r="R59" i="5"/>
  <c r="DP38" i="5" s="1"/>
  <c r="DK38" i="5"/>
  <c r="CH28" i="5"/>
  <c r="CF57" i="5"/>
  <c r="AK18" i="5"/>
  <c r="CU18" i="5" s="1"/>
  <c r="CQ18" i="5"/>
  <c r="AL18" i="5"/>
  <c r="CV18" i="5" s="1"/>
  <c r="H59" i="5"/>
  <c r="DF38" i="5" s="1"/>
  <c r="G59" i="5"/>
  <c r="DE38" i="5" s="1"/>
  <c r="DA38" i="5"/>
  <c r="AK31" i="5"/>
  <c r="DO10" i="5" s="1"/>
  <c r="AL31" i="5"/>
  <c r="DP10" i="5" s="1"/>
  <c r="DK10" i="5"/>
  <c r="DD7" i="5"/>
  <c r="BW15" i="5"/>
  <c r="R15" i="5"/>
  <c r="CB15" i="5" s="1"/>
  <c r="Q15" i="5"/>
  <c r="CA15" i="5" s="1"/>
  <c r="CP56" i="5"/>
  <c r="AB18" i="5"/>
  <c r="CL18" i="5" s="1"/>
  <c r="AA18" i="5"/>
  <c r="CK18" i="5" s="1"/>
  <c r="CG18" i="5"/>
  <c r="H57" i="5"/>
  <c r="DF36" i="5" s="1"/>
  <c r="G57" i="5"/>
  <c r="DE36" i="5" s="1"/>
  <c r="DA36" i="5"/>
  <c r="DJ17" i="5"/>
  <c r="AL30" i="5"/>
  <c r="DP9" i="5" s="1"/>
  <c r="AK30" i="5"/>
  <c r="DO9" i="5" s="1"/>
  <c r="DK9" i="5"/>
  <c r="CG56" i="5"/>
  <c r="AB56" i="5"/>
  <c r="CL56" i="5" s="1"/>
  <c r="AA56" i="5"/>
  <c r="CK56" i="5" s="1"/>
  <c r="DJ35" i="5"/>
  <c r="CP80" i="5"/>
  <c r="CP76" i="5"/>
  <c r="CP72" i="5"/>
  <c r="AB30" i="5"/>
  <c r="DF9" i="5" s="1"/>
  <c r="AA30" i="5"/>
  <c r="DE9" i="5" s="1"/>
  <c r="DA9" i="5"/>
  <c r="CF16" i="5"/>
  <c r="AL15" i="5"/>
  <c r="CV15" i="5" s="1"/>
  <c r="AK15" i="5"/>
  <c r="CU15" i="5" s="1"/>
  <c r="CQ15" i="5"/>
  <c r="I15" i="10"/>
  <c r="AS56" i="6"/>
  <c r="AP56" i="6"/>
  <c r="AT56" i="6"/>
  <c r="AR56" i="6"/>
  <c r="AQ56" i="6"/>
  <c r="BV13" i="5"/>
  <c r="CG12" i="5"/>
  <c r="AB12" i="5"/>
  <c r="CL12" i="5" s="1"/>
  <c r="AA12" i="5"/>
  <c r="CK12" i="5" s="1"/>
  <c r="CG9" i="5"/>
  <c r="AB9" i="5"/>
  <c r="CL9" i="5" s="1"/>
  <c r="AA9" i="5"/>
  <c r="CK9" i="5" s="1"/>
  <c r="AB59" i="5"/>
  <c r="CL59" i="5" s="1"/>
  <c r="AA59" i="5"/>
  <c r="CK59" i="5" s="1"/>
  <c r="CG59" i="5"/>
  <c r="BM39" i="5"/>
  <c r="AV18" i="5"/>
  <c r="BR39" i="5" s="1"/>
  <c r="AU18" i="5"/>
  <c r="BQ39" i="5" s="1"/>
  <c r="CP14" i="5"/>
  <c r="I14" i="10"/>
  <c r="AT55" i="6"/>
  <c r="AS55" i="6"/>
  <c r="AR55" i="6"/>
  <c r="AQ55" i="6"/>
  <c r="AP55" i="6"/>
  <c r="CG11" i="5"/>
  <c r="AB11" i="5"/>
  <c r="CL11" i="5" s="1"/>
  <c r="AA11" i="5"/>
  <c r="CK11" i="5" s="1"/>
  <c r="R10" i="5"/>
  <c r="CB10" i="5" s="1"/>
  <c r="BW10" i="5"/>
  <c r="Q10" i="5"/>
  <c r="CA10" i="5" s="1"/>
  <c r="BW30" i="5"/>
  <c r="BF9" i="5"/>
  <c r="CB30" i="5" s="1"/>
  <c r="BE9" i="5"/>
  <c r="CA30" i="5" s="1"/>
  <c r="BM28" i="5"/>
  <c r="AV7" i="5"/>
  <c r="BR28" i="5" s="1"/>
  <c r="AU7" i="5"/>
  <c r="BQ28" i="5" s="1"/>
  <c r="AL36" i="5"/>
  <c r="DP15" i="5" s="1"/>
  <c r="AK36" i="5"/>
  <c r="DO15" i="5" s="1"/>
  <c r="DK15" i="5"/>
  <c r="Q11" i="5"/>
  <c r="CA11" i="5" s="1"/>
  <c r="BW11" i="5"/>
  <c r="R11" i="5"/>
  <c r="CB11" i="5" s="1"/>
  <c r="BL9" i="5"/>
  <c r="BL38" i="5"/>
  <c r="BL10" i="5"/>
  <c r="CT7" i="5"/>
  <c r="H11" i="5"/>
  <c r="BR11" i="5" s="1"/>
  <c r="G11" i="5"/>
  <c r="BQ11" i="5" s="1"/>
  <c r="BM11" i="5"/>
  <c r="S17" i="10"/>
  <c r="BB58" i="6"/>
  <c r="BD58" i="6"/>
  <c r="BC58" i="6"/>
  <c r="BA58" i="6"/>
  <c r="AZ58" i="6"/>
  <c r="CH7" i="5"/>
  <c r="BV35" i="5"/>
  <c r="CF13" i="5"/>
  <c r="BV33" i="5"/>
  <c r="CF8" i="5"/>
  <c r="BZ7" i="5"/>
  <c r="CP79" i="5"/>
  <c r="CW54" i="5"/>
  <c r="CP54" i="5"/>
  <c r="S9" i="10"/>
  <c r="BB50" i="6"/>
  <c r="BD50" i="6"/>
  <c r="BC50" i="6"/>
  <c r="BA50" i="6"/>
  <c r="AZ50" i="6"/>
  <c r="I8" i="10"/>
  <c r="AW61" i="6"/>
  <c r="AP61" i="6" s="1"/>
  <c r="AT49" i="6"/>
  <c r="AS49" i="6"/>
  <c r="AR49" i="6"/>
  <c r="AQ49" i="6"/>
  <c r="AP49" i="6"/>
  <c r="AU60" i="6" l="1"/>
  <c r="BE60" i="6"/>
  <c r="AU59" i="6"/>
  <c r="BE59" i="6"/>
  <c r="BE58" i="6"/>
  <c r="AU58" i="6"/>
  <c r="AU57" i="6"/>
  <c r="BE57" i="6"/>
  <c r="AZ20" i="5"/>
  <c r="DJ20" i="5" s="1"/>
  <c r="AU56" i="6"/>
  <c r="BE56" i="6"/>
  <c r="AU55" i="6"/>
  <c r="BE55" i="6"/>
  <c r="BE54" i="6"/>
  <c r="AU54" i="6"/>
  <c r="R55" i="10"/>
  <c r="Q55" i="10"/>
  <c r="AU52" i="6"/>
  <c r="BE52" i="6"/>
  <c r="BE51" i="6"/>
  <c r="BE50" i="6"/>
  <c r="BE53" i="6"/>
  <c r="AU51" i="6"/>
  <c r="AU53" i="6"/>
  <c r="AU50" i="6"/>
  <c r="BE49" i="6"/>
  <c r="AU49" i="6"/>
  <c r="BA57" i="5"/>
  <c r="AQ52" i="5"/>
  <c r="AQ59" i="5"/>
  <c r="BA53" i="5"/>
  <c r="BA54" i="5"/>
  <c r="AQ60" i="5"/>
  <c r="AQ57" i="5"/>
  <c r="BA52" i="5"/>
  <c r="BA60" i="5"/>
  <c r="AQ58" i="5"/>
  <c r="BA59" i="5"/>
  <c r="BA56" i="5"/>
  <c r="BA55" i="5"/>
  <c r="BA58" i="5"/>
  <c r="BA50" i="5"/>
  <c r="BA51" i="5"/>
  <c r="BA49" i="5"/>
  <c r="AP53" i="5"/>
  <c r="AQ53" i="5"/>
  <c r="AR53" i="5"/>
  <c r="DB53" i="5" s="1"/>
  <c r="AS53" i="5"/>
  <c r="DC53" i="5" s="1"/>
  <c r="AT53" i="5"/>
  <c r="DD53" i="5" s="1"/>
  <c r="AQ51" i="5"/>
  <c r="AQ55" i="5"/>
  <c r="AQ54" i="5"/>
  <c r="AQ50" i="5"/>
  <c r="AQ56" i="5"/>
  <c r="AQ49" i="5"/>
  <c r="AT54" i="5"/>
  <c r="DD54" i="5" s="1"/>
  <c r="AT56" i="5"/>
  <c r="DD56" i="5" s="1"/>
  <c r="AS57" i="5"/>
  <c r="DC57" i="5" s="1"/>
  <c r="AP51" i="5"/>
  <c r="AT55" i="5"/>
  <c r="DD55" i="5" s="1"/>
  <c r="AP60" i="5"/>
  <c r="AS50" i="5"/>
  <c r="DC50" i="5" s="1"/>
  <c r="AP49" i="5"/>
  <c r="AT57" i="5"/>
  <c r="DD57" i="5" s="1"/>
  <c r="AR51" i="5"/>
  <c r="DB51" i="5" s="1"/>
  <c r="AT50" i="5"/>
  <c r="DD50" i="5" s="1"/>
  <c r="AT59" i="5"/>
  <c r="DD59" i="5" s="1"/>
  <c r="AS51" i="5"/>
  <c r="DC51" i="5" s="1"/>
  <c r="AP54" i="5"/>
  <c r="AR54" i="5"/>
  <c r="DB54" i="5" s="1"/>
  <c r="AP50" i="5"/>
  <c r="AP59" i="5"/>
  <c r="AP58" i="5"/>
  <c r="AR49" i="5"/>
  <c r="AT51" i="5"/>
  <c r="DD51" i="5" s="1"/>
  <c r="AP55" i="5"/>
  <c r="AR60" i="5"/>
  <c r="DB60" i="5" s="1"/>
  <c r="AR55" i="5"/>
  <c r="DB55" i="5" s="1"/>
  <c r="AP52" i="5"/>
  <c r="AR58" i="5"/>
  <c r="DB58" i="5" s="1"/>
  <c r="AS55" i="5"/>
  <c r="DC55" i="5" s="1"/>
  <c r="AR52" i="5"/>
  <c r="DB52" i="5" s="1"/>
  <c r="AT60" i="5"/>
  <c r="DD60" i="5" s="1"/>
  <c r="AR50" i="5"/>
  <c r="DB50" i="5" s="1"/>
  <c r="AP56" i="5"/>
  <c r="AS58" i="5"/>
  <c r="DC58" i="5" s="1"/>
  <c r="AS52" i="5"/>
  <c r="DC52" i="5" s="1"/>
  <c r="AS60" i="5"/>
  <c r="DC60" i="5" s="1"/>
  <c r="AR59" i="5"/>
  <c r="DB59" i="5" s="1"/>
  <c r="AR56" i="5"/>
  <c r="DB56" i="5" s="1"/>
  <c r="AT58" i="5"/>
  <c r="DD58" i="5" s="1"/>
  <c r="AS49" i="5"/>
  <c r="AP57" i="5"/>
  <c r="AS54" i="5"/>
  <c r="DC54" i="5" s="1"/>
  <c r="AT52" i="5"/>
  <c r="DD52" i="5" s="1"/>
  <c r="AS59" i="5"/>
  <c r="DC59" i="5" s="1"/>
  <c r="AS56" i="5"/>
  <c r="DC56" i="5" s="1"/>
  <c r="AT49" i="5"/>
  <c r="AR57" i="5"/>
  <c r="DB57" i="5" s="1"/>
  <c r="BB54" i="5"/>
  <c r="DL54" i="5" s="1"/>
  <c r="BC57" i="5"/>
  <c r="DM57" i="5" s="1"/>
  <c r="BC60" i="5"/>
  <c r="DM60" i="5" s="1"/>
  <c r="BB51" i="5"/>
  <c r="DL51" i="5" s="1"/>
  <c r="BC54" i="5"/>
  <c r="DM54" i="5" s="1"/>
  <c r="BD59" i="5"/>
  <c r="DN59" i="5" s="1"/>
  <c r="BD52" i="5"/>
  <c r="DN52" i="5" s="1"/>
  <c r="BD57" i="5"/>
  <c r="DN57" i="5" s="1"/>
  <c r="AZ56" i="5"/>
  <c r="BC51" i="5"/>
  <c r="DM51" i="5" s="1"/>
  <c r="BD54" i="5"/>
  <c r="DN54" i="5" s="1"/>
  <c r="AZ59" i="5"/>
  <c r="AZ55" i="5"/>
  <c r="BC50" i="5"/>
  <c r="DM50" i="5" s="1"/>
  <c r="AZ58" i="5"/>
  <c r="BC52" i="5"/>
  <c r="DM52" i="5" s="1"/>
  <c r="BB56" i="5"/>
  <c r="DL56" i="5" s="1"/>
  <c r="BD51" i="5"/>
  <c r="DN51" i="5" s="1"/>
  <c r="BB55" i="5"/>
  <c r="DL55" i="5" s="1"/>
  <c r="BD50" i="5"/>
  <c r="DN50" i="5" s="1"/>
  <c r="BB58" i="5"/>
  <c r="DL58" i="5" s="1"/>
  <c r="AZ52" i="5"/>
  <c r="BC53" i="5"/>
  <c r="DM53" i="5" s="1"/>
  <c r="BC56" i="5"/>
  <c r="DM56" i="5" s="1"/>
  <c r="BD53" i="5"/>
  <c r="DN53" i="5" s="1"/>
  <c r="BC55" i="5"/>
  <c r="DM55" i="5" s="1"/>
  <c r="AZ50" i="5"/>
  <c r="BC58" i="5"/>
  <c r="DM58" i="5" s="1"/>
  <c r="BB52" i="5"/>
  <c r="DL52" i="5" s="1"/>
  <c r="AZ51" i="5"/>
  <c r="BB59" i="5"/>
  <c r="DL59" i="5" s="1"/>
  <c r="AZ53" i="5"/>
  <c r="BD58" i="5"/>
  <c r="DN58" i="5" s="1"/>
  <c r="BB60" i="5"/>
  <c r="DL60" i="5" s="1"/>
  <c r="BD56" i="5"/>
  <c r="DN56" i="5" s="1"/>
  <c r="BD55" i="5"/>
  <c r="DN55" i="5" s="1"/>
  <c r="AZ60" i="5"/>
  <c r="BB50" i="5"/>
  <c r="DL50" i="5" s="1"/>
  <c r="AZ57" i="5"/>
  <c r="BC59" i="5"/>
  <c r="DM59" i="5" s="1"/>
  <c r="BD60" i="5"/>
  <c r="DN60" i="5" s="1"/>
  <c r="AZ54" i="5"/>
  <c r="BB53" i="5"/>
  <c r="DL53" i="5" s="1"/>
  <c r="BB57" i="5"/>
  <c r="DL57" i="5" s="1"/>
  <c r="BD49" i="5"/>
  <c r="BC49" i="5"/>
  <c r="AZ49" i="5"/>
  <c r="BB49" i="5"/>
  <c r="B68" i="10"/>
  <c r="D68" i="10"/>
  <c r="F68" i="10"/>
  <c r="CW72" i="5"/>
  <c r="CM36" i="5"/>
  <c r="DQ15" i="5"/>
  <c r="CM74" i="5"/>
  <c r="DQ33" i="5"/>
  <c r="CC8" i="5"/>
  <c r="DG12" i="5"/>
  <c r="CC37" i="5"/>
  <c r="CM50" i="5"/>
  <c r="DG11" i="5"/>
  <c r="CM40" i="5"/>
  <c r="CM28" i="5"/>
  <c r="E40" i="5"/>
  <c r="CI40" i="5" s="1"/>
  <c r="F40" i="5"/>
  <c r="CJ40" i="5" s="1"/>
  <c r="CW30" i="5"/>
  <c r="CM72" i="5"/>
  <c r="DQ13" i="5"/>
  <c r="BS32" i="5"/>
  <c r="CC31" i="5"/>
  <c r="CM76" i="5"/>
  <c r="DQ14" i="5"/>
  <c r="DG10" i="5"/>
  <c r="DQ40" i="5"/>
  <c r="DQ28" i="5"/>
  <c r="O61" i="5"/>
  <c r="DM40" i="5" s="1"/>
  <c r="P61" i="5"/>
  <c r="DN40" i="5" s="1"/>
  <c r="CC35" i="5"/>
  <c r="DG30" i="5"/>
  <c r="BS28" i="5"/>
  <c r="BS40" i="5"/>
  <c r="AS19" i="5"/>
  <c r="BO40" i="5" s="1"/>
  <c r="AT19" i="5"/>
  <c r="BP40" i="5" s="1"/>
  <c r="CW15" i="5"/>
  <c r="DG36" i="5"/>
  <c r="DQ19" i="5"/>
  <c r="DQ7" i="5"/>
  <c r="AJ40" i="5"/>
  <c r="DN19" i="5" s="1"/>
  <c r="AI40" i="5"/>
  <c r="DM19" i="5" s="1"/>
  <c r="DG33" i="5"/>
  <c r="CC12" i="5"/>
  <c r="DQ11" i="5"/>
  <c r="BS31" i="5"/>
  <c r="CW17" i="5"/>
  <c r="BS15" i="5"/>
  <c r="CC38" i="5"/>
  <c r="CM51" i="5"/>
  <c r="CW29" i="5"/>
  <c r="CW49" i="5"/>
  <c r="AJ61" i="5"/>
  <c r="CT61" i="5" s="1"/>
  <c r="AI61" i="5"/>
  <c r="CS61" i="5" s="1"/>
  <c r="DQ12" i="5"/>
  <c r="CW78" i="5"/>
  <c r="DG31" i="5"/>
  <c r="CC34" i="5"/>
  <c r="CM18" i="5"/>
  <c r="CW36" i="5"/>
  <c r="CM32" i="5"/>
  <c r="CW76" i="5"/>
  <c r="CW32" i="5"/>
  <c r="CM56" i="5"/>
  <c r="DG38" i="5"/>
  <c r="DG40" i="5"/>
  <c r="DG28" i="5"/>
  <c r="E61" i="5"/>
  <c r="DC40" i="5" s="1"/>
  <c r="F61" i="5"/>
  <c r="DD40" i="5" s="1"/>
  <c r="CW31" i="5"/>
  <c r="CC9" i="5"/>
  <c r="CM10" i="5"/>
  <c r="DQ34" i="5"/>
  <c r="DG37" i="5"/>
  <c r="BS11" i="5"/>
  <c r="DG34" i="5"/>
  <c r="CC17" i="5"/>
  <c r="DG29" i="5"/>
  <c r="CW19" i="5"/>
  <c r="CW7" i="5"/>
  <c r="AI19" i="5"/>
  <c r="CS19" i="5" s="1"/>
  <c r="AJ19" i="5"/>
  <c r="CT19" i="5" s="1"/>
  <c r="DQ31" i="5"/>
  <c r="CW34" i="5"/>
  <c r="BS16" i="5"/>
  <c r="CM79" i="5"/>
  <c r="CW75" i="5"/>
  <c r="CW73" i="5"/>
  <c r="CM69" i="5"/>
  <c r="CM81" i="5"/>
  <c r="AS40" i="5"/>
  <c r="CI81" i="5" s="1"/>
  <c r="AT40" i="5"/>
  <c r="CJ81" i="5" s="1"/>
  <c r="CC18" i="5"/>
  <c r="CW18" i="5"/>
  <c r="DQ36" i="5"/>
  <c r="CM14" i="5"/>
  <c r="BS36" i="5"/>
  <c r="CM39" i="5"/>
  <c r="DG14" i="5"/>
  <c r="CM77" i="5"/>
  <c r="CM17" i="5"/>
  <c r="BS8" i="5"/>
  <c r="BS12" i="5"/>
  <c r="CM15" i="5"/>
  <c r="DQ16" i="5"/>
  <c r="BS37" i="5"/>
  <c r="CM34" i="5"/>
  <c r="CW58" i="5"/>
  <c r="DG35" i="5"/>
  <c r="CC11" i="5"/>
  <c r="BS18" i="5"/>
  <c r="BS10" i="5"/>
  <c r="CW14" i="5"/>
  <c r="BS38" i="5"/>
  <c r="CM8" i="5"/>
  <c r="CM16" i="5"/>
  <c r="CW80" i="5"/>
  <c r="CW56" i="5"/>
  <c r="CM57" i="5"/>
  <c r="CC30" i="5"/>
  <c r="CM9" i="5"/>
  <c r="DQ9" i="5"/>
  <c r="CM49" i="5"/>
  <c r="Z61" i="5"/>
  <c r="CJ61" i="5" s="1"/>
  <c r="Y61" i="5"/>
  <c r="CI61" i="5" s="1"/>
  <c r="CM30" i="5"/>
  <c r="CW11" i="5"/>
  <c r="CW33" i="5"/>
  <c r="DG19" i="5"/>
  <c r="DG7" i="5"/>
  <c r="Y40" i="5"/>
  <c r="DC19" i="5" s="1"/>
  <c r="Z40" i="5"/>
  <c r="DD19" i="5" s="1"/>
  <c r="CW28" i="5"/>
  <c r="CW40" i="5"/>
  <c r="P40" i="5"/>
  <c r="CT40" i="5" s="1"/>
  <c r="O40" i="5"/>
  <c r="CS40" i="5" s="1"/>
  <c r="CM78" i="5"/>
  <c r="CC32" i="5"/>
  <c r="CM35" i="5"/>
  <c r="DG16" i="5"/>
  <c r="DG13" i="5"/>
  <c r="I19" i="5"/>
  <c r="BS19" i="5" s="1"/>
  <c r="BS7" i="5"/>
  <c r="E19" i="5"/>
  <c r="BO19" i="5" s="1"/>
  <c r="F19" i="5"/>
  <c r="BP19" i="5" s="1"/>
  <c r="CW39" i="5"/>
  <c r="CC29" i="5"/>
  <c r="DG18" i="5"/>
  <c r="DQ18" i="5"/>
  <c r="CM70" i="5"/>
  <c r="DQ8" i="5"/>
  <c r="CC19" i="5"/>
  <c r="CC7" i="5"/>
  <c r="P19" i="5"/>
  <c r="BZ19" i="5" s="1"/>
  <c r="O19" i="5"/>
  <c r="BY19" i="5" s="1"/>
  <c r="BS30" i="5"/>
  <c r="CM52" i="5"/>
  <c r="CW77" i="5"/>
  <c r="CM75" i="5"/>
  <c r="CM29" i="5"/>
  <c r="CC33" i="5"/>
  <c r="BS9" i="5"/>
  <c r="DQ17" i="5"/>
  <c r="CW38" i="5"/>
  <c r="CC15" i="5"/>
  <c r="CW60" i="5"/>
  <c r="DQ29" i="5"/>
  <c r="CC16" i="5"/>
  <c r="CC14" i="5"/>
  <c r="DQ30" i="5"/>
  <c r="CM58" i="5"/>
  <c r="DG9" i="5"/>
  <c r="CW35" i="5"/>
  <c r="CW51" i="5"/>
  <c r="DQ10" i="5"/>
  <c r="CW37" i="5"/>
  <c r="CM71" i="5"/>
  <c r="CM31" i="5"/>
  <c r="CM38" i="5"/>
  <c r="CM19" i="5"/>
  <c r="CM7" i="5"/>
  <c r="Z19" i="5"/>
  <c r="CJ19" i="5" s="1"/>
  <c r="Y19" i="5"/>
  <c r="CI19" i="5" s="1"/>
  <c r="DG17" i="5"/>
  <c r="CW70" i="5"/>
  <c r="DG39" i="5"/>
  <c r="CM12" i="5"/>
  <c r="CM33" i="5"/>
  <c r="DG32" i="5"/>
  <c r="CW57" i="5"/>
  <c r="CW74" i="5"/>
  <c r="BS29" i="5"/>
  <c r="CM59" i="5"/>
  <c r="BS17" i="5"/>
  <c r="CW8" i="5"/>
  <c r="CW13" i="5"/>
  <c r="CW16" i="5"/>
  <c r="CW12" i="5"/>
  <c r="DQ39" i="5"/>
  <c r="CW9" i="5"/>
  <c r="DQ32" i="5"/>
  <c r="BS33" i="5"/>
  <c r="CM55" i="5"/>
  <c r="CW79" i="5"/>
  <c r="CM13" i="5"/>
  <c r="CC13" i="5"/>
  <c r="DQ35" i="5"/>
  <c r="CM37" i="5"/>
  <c r="BS34" i="5"/>
  <c r="CM11" i="5"/>
  <c r="BS39" i="5"/>
  <c r="CC36" i="5"/>
  <c r="CW52" i="5"/>
  <c r="BS35" i="5"/>
  <c r="DQ37" i="5"/>
  <c r="CC10" i="5"/>
  <c r="CW69" i="5"/>
  <c r="CW81" i="5"/>
  <c r="BC40" i="5"/>
  <c r="CS81" i="5" s="1"/>
  <c r="BD40" i="5"/>
  <c r="CT81" i="5" s="1"/>
  <c r="DG8" i="5"/>
  <c r="CW10" i="5"/>
  <c r="CW71" i="5"/>
  <c r="DG15" i="5"/>
  <c r="DQ38" i="5"/>
  <c r="CC39" i="5"/>
  <c r="BS14" i="5"/>
  <c r="CM60" i="5"/>
  <c r="BS13" i="5"/>
  <c r="CW59" i="5"/>
  <c r="CM80" i="5"/>
  <c r="CC28" i="5"/>
  <c r="CC40" i="5"/>
  <c r="BD19" i="5"/>
  <c r="BZ40" i="5" s="1"/>
  <c r="BC19" i="5"/>
  <c r="BY40" i="5" s="1"/>
  <c r="CM73" i="5"/>
  <c r="P20" i="10"/>
  <c r="F88" i="10"/>
  <c r="B20" i="10"/>
  <c r="E68" i="10"/>
  <c r="B8" i="10"/>
  <c r="M17" i="10"/>
  <c r="BF58" i="6"/>
  <c r="M9" i="10"/>
  <c r="BF50" i="6"/>
  <c r="O17" i="10"/>
  <c r="D8" i="10"/>
  <c r="O9" i="10"/>
  <c r="P17" i="10"/>
  <c r="P85" i="10"/>
  <c r="N56" i="10"/>
  <c r="C60" i="10"/>
  <c r="B86" i="10"/>
  <c r="F61" i="10"/>
  <c r="M63" i="10"/>
  <c r="F76" i="10"/>
  <c r="E18" i="10"/>
  <c r="C13" i="10"/>
  <c r="AV54" i="6"/>
  <c r="E67" i="10"/>
  <c r="C59" i="10"/>
  <c r="B62" i="10"/>
  <c r="P83" i="10"/>
  <c r="DA48" i="5"/>
  <c r="AV48" i="5"/>
  <c r="DF48" i="5" s="1"/>
  <c r="AU48" i="5"/>
  <c r="DE48" i="5" s="1"/>
  <c r="C84" i="10"/>
  <c r="S88" i="10"/>
  <c r="AZ61" i="6"/>
  <c r="O86" i="10"/>
  <c r="L13" i="10"/>
  <c r="E10" i="10"/>
  <c r="B19" i="10"/>
  <c r="E63" i="10"/>
  <c r="D64" i="10"/>
  <c r="N82" i="10"/>
  <c r="F83" i="10"/>
  <c r="L58" i="10"/>
  <c r="B78" i="10"/>
  <c r="D66" i="10"/>
  <c r="N10" i="10"/>
  <c r="D58" i="10"/>
  <c r="B56" i="10"/>
  <c r="P81" i="10"/>
  <c r="D87" i="10"/>
  <c r="E85" i="10"/>
  <c r="P9" i="10"/>
  <c r="C15" i="10"/>
  <c r="AV56" i="6"/>
  <c r="B57" i="10"/>
  <c r="L67" i="10"/>
  <c r="L87" i="10"/>
  <c r="L85" i="10"/>
  <c r="S68" i="10"/>
  <c r="E60" i="10"/>
  <c r="C86" i="10"/>
  <c r="D16" i="10"/>
  <c r="E61" i="10"/>
  <c r="I88" i="10"/>
  <c r="F18" i="10"/>
  <c r="D13" i="10"/>
  <c r="B9" i="10"/>
  <c r="F59" i="10"/>
  <c r="D62" i="10"/>
  <c r="L66" i="10"/>
  <c r="DK48" i="5"/>
  <c r="BF48" i="5"/>
  <c r="DP48" i="5" s="1"/>
  <c r="BE48" i="5"/>
  <c r="DO48" i="5" s="1"/>
  <c r="P88" i="10"/>
  <c r="F11" i="10"/>
  <c r="L61" i="10"/>
  <c r="L78" i="10"/>
  <c r="E81" i="10"/>
  <c r="C80" i="10"/>
  <c r="B84" i="10"/>
  <c r="BA61" i="6"/>
  <c r="N19" i="10"/>
  <c r="B17" i="10"/>
  <c r="P86" i="10"/>
  <c r="B12" i="10"/>
  <c r="M13" i="10"/>
  <c r="BF54" i="6"/>
  <c r="F10" i="10"/>
  <c r="L11" i="10"/>
  <c r="C19" i="10"/>
  <c r="AV60" i="6"/>
  <c r="E64" i="10"/>
  <c r="C65" i="10"/>
  <c r="F77" i="10"/>
  <c r="C78" i="10"/>
  <c r="E66" i="10"/>
  <c r="O10" i="10"/>
  <c r="M15" i="10"/>
  <c r="BF56" i="6"/>
  <c r="C56" i="10"/>
  <c r="M77" i="10"/>
  <c r="O81" i="10"/>
  <c r="M60" i="10"/>
  <c r="E87" i="10"/>
  <c r="N17" i="10"/>
  <c r="C57" i="10"/>
  <c r="L57" i="10"/>
  <c r="M67" i="10"/>
  <c r="M87" i="10"/>
  <c r="D86" i="10"/>
  <c r="L18" i="10"/>
  <c r="F13" i="10"/>
  <c r="C9" i="10"/>
  <c r="AV50" i="6"/>
  <c r="F67" i="10"/>
  <c r="F62" i="10"/>
  <c r="M66" i="10"/>
  <c r="L8" i="10"/>
  <c r="M78" i="10"/>
  <c r="B79" i="10"/>
  <c r="F81" i="10"/>
  <c r="D80" i="10"/>
  <c r="D84" i="10"/>
  <c r="BB61" i="6"/>
  <c r="C17" i="10"/>
  <c r="AV58" i="6"/>
  <c r="L86" i="10"/>
  <c r="B82" i="10"/>
  <c r="C12" i="10"/>
  <c r="AV53" i="6"/>
  <c r="O13" i="10"/>
  <c r="M11" i="10"/>
  <c r="BF52" i="6"/>
  <c r="D19" i="10"/>
  <c r="B63" i="10"/>
  <c r="E65" i="10"/>
  <c r="M58" i="10"/>
  <c r="C77" i="10"/>
  <c r="E78" i="10"/>
  <c r="L16" i="10"/>
  <c r="P10" i="10"/>
  <c r="O15" i="10"/>
  <c r="D56" i="10"/>
  <c r="M80" i="10"/>
  <c r="O77" i="10"/>
  <c r="M81" i="10"/>
  <c r="F87" i="10"/>
  <c r="L79" i="10"/>
  <c r="C85" i="10"/>
  <c r="E8" i="10"/>
  <c r="F8" i="10"/>
  <c r="B14" i="10"/>
  <c r="N9" i="10"/>
  <c r="C14" i="10"/>
  <c r="AV55" i="6"/>
  <c r="F15" i="10"/>
  <c r="D57" i="10"/>
  <c r="M57" i="10"/>
  <c r="N67" i="10"/>
  <c r="N87" i="10"/>
  <c r="N18" i="10"/>
  <c r="B61" i="10"/>
  <c r="M84" i="10"/>
  <c r="B76" i="10"/>
  <c r="D18" i="10"/>
  <c r="E13" i="10"/>
  <c r="L12" i="10"/>
  <c r="D9" i="10"/>
  <c r="N66" i="10"/>
  <c r="M8" i="10"/>
  <c r="BF49" i="6"/>
  <c r="B11" i="10"/>
  <c r="L14" i="10"/>
  <c r="N61" i="10"/>
  <c r="L64" i="10"/>
  <c r="O78" i="10"/>
  <c r="C79" i="10"/>
  <c r="C81" i="10"/>
  <c r="E80" i="10"/>
  <c r="E84" i="10"/>
  <c r="L76" i="10"/>
  <c r="D17" i="10"/>
  <c r="M86" i="10"/>
  <c r="C82" i="10"/>
  <c r="D12" i="10"/>
  <c r="P13" i="10"/>
  <c r="B10" i="10"/>
  <c r="O11" i="10"/>
  <c r="E19" i="10"/>
  <c r="L65" i="10"/>
  <c r="C63" i="10"/>
  <c r="F64" i="10"/>
  <c r="C83" i="10"/>
  <c r="N58" i="10"/>
  <c r="D77" i="10"/>
  <c r="F78" i="10"/>
  <c r="N16" i="10"/>
  <c r="F66" i="10"/>
  <c r="P15" i="10"/>
  <c r="E58" i="10"/>
  <c r="E56" i="10"/>
  <c r="N80" i="10"/>
  <c r="P77" i="10"/>
  <c r="N81" i="10"/>
  <c r="L60" i="10"/>
  <c r="M79" i="10"/>
  <c r="D85" i="10"/>
  <c r="D15" i="10"/>
  <c r="I20" i="10"/>
  <c r="D14" i="10"/>
  <c r="E57" i="10"/>
  <c r="N57" i="10"/>
  <c r="O87" i="10"/>
  <c r="B16" i="10"/>
  <c r="O18" i="10"/>
  <c r="D61" i="10"/>
  <c r="L84" i="10"/>
  <c r="AQ61" i="6"/>
  <c r="M12" i="10"/>
  <c r="BF53" i="6"/>
  <c r="F9" i="10"/>
  <c r="E59" i="10"/>
  <c r="L62" i="10"/>
  <c r="M83" i="10"/>
  <c r="M88" i="10"/>
  <c r="N8" i="10"/>
  <c r="C11" i="10"/>
  <c r="AV52" i="6"/>
  <c r="M14" i="10"/>
  <c r="BF55" i="6"/>
  <c r="M61" i="10"/>
  <c r="M64" i="10"/>
  <c r="P78" i="10"/>
  <c r="D79" i="10"/>
  <c r="D81" i="10"/>
  <c r="F80" i="10"/>
  <c r="F84" i="10"/>
  <c r="M76" i="10"/>
  <c r="BC61" i="6"/>
  <c r="L19" i="10"/>
  <c r="F17" i="10"/>
  <c r="N86" i="10"/>
  <c r="E82" i="10"/>
  <c r="E12" i="10"/>
  <c r="N13" i="10"/>
  <c r="C10" i="10"/>
  <c r="AV51" i="6"/>
  <c r="N11" i="10"/>
  <c r="N65" i="10"/>
  <c r="D63" i="10"/>
  <c r="B64" i="10"/>
  <c r="F65" i="10"/>
  <c r="L82" i="10"/>
  <c r="D83" i="10"/>
  <c r="E77" i="10"/>
  <c r="D78" i="10"/>
  <c r="O16" i="10"/>
  <c r="L10" i="10"/>
  <c r="M59" i="10"/>
  <c r="F58" i="10"/>
  <c r="O80" i="10"/>
  <c r="N77" i="10"/>
  <c r="L81" i="10"/>
  <c r="N60" i="10"/>
  <c r="N79" i="10"/>
  <c r="F85" i="10"/>
  <c r="L17" i="10"/>
  <c r="E14" i="10"/>
  <c r="B15" i="10"/>
  <c r="P87" i="10"/>
  <c r="O85" i="10"/>
  <c r="B60" i="10"/>
  <c r="C16" i="10"/>
  <c r="AV57" i="6"/>
  <c r="P18" i="10"/>
  <c r="N84" i="10"/>
  <c r="C76" i="10"/>
  <c r="AR61" i="6"/>
  <c r="N12" i="10"/>
  <c r="B67" i="10"/>
  <c r="E62" i="10"/>
  <c r="N62" i="10"/>
  <c r="N83" i="10"/>
  <c r="L88" i="10"/>
  <c r="O8" i="10"/>
  <c r="D11" i="10"/>
  <c r="N14" i="10"/>
  <c r="N64" i="10"/>
  <c r="N78" i="10"/>
  <c r="E79" i="10"/>
  <c r="B81" i="10"/>
  <c r="B80" i="10"/>
  <c r="N76" i="10"/>
  <c r="M19" i="10"/>
  <c r="BF60" i="6"/>
  <c r="F82" i="10"/>
  <c r="F12" i="10"/>
  <c r="F63" i="10"/>
  <c r="B65" i="10"/>
  <c r="M82" i="10"/>
  <c r="B77" i="10"/>
  <c r="P16" i="10"/>
  <c r="M10" i="10"/>
  <c r="BF51" i="6"/>
  <c r="L15" i="10"/>
  <c r="N59" i="10"/>
  <c r="B58" i="10"/>
  <c r="I68" i="10"/>
  <c r="P80" i="10"/>
  <c r="L77" i="10"/>
  <c r="O79" i="10"/>
  <c r="B85" i="10"/>
  <c r="L9" i="10"/>
  <c r="F57" i="10"/>
  <c r="M85" i="10"/>
  <c r="L56" i="10"/>
  <c r="D60" i="10"/>
  <c r="E86" i="10"/>
  <c r="E16" i="10"/>
  <c r="M18" i="10"/>
  <c r="BF59" i="6"/>
  <c r="N63" i="10"/>
  <c r="O84" i="10"/>
  <c r="D76" i="10"/>
  <c r="AS61" i="6"/>
  <c r="B18" i="10"/>
  <c r="O12" i="10"/>
  <c r="E9" i="10"/>
  <c r="C67" i="10"/>
  <c r="B59" i="10"/>
  <c r="M62" i="10"/>
  <c r="L83" i="10"/>
  <c r="N88" i="10"/>
  <c r="S20" i="10"/>
  <c r="E11" i="10"/>
  <c r="O14" i="10"/>
  <c r="F79" i="10"/>
  <c r="O76" i="10"/>
  <c r="O19" i="10"/>
  <c r="E17" i="10"/>
  <c r="D82" i="10"/>
  <c r="B31" i="10" a="1"/>
  <c r="F19" i="10"/>
  <c r="M65" i="10"/>
  <c r="D65" i="10"/>
  <c r="O82" i="10"/>
  <c r="B83" i="10"/>
  <c r="M16" i="10"/>
  <c r="BF57" i="6"/>
  <c r="C66" i="10"/>
  <c r="N15" i="10"/>
  <c r="L59" i="10"/>
  <c r="L80" i="10"/>
  <c r="B87" i="10"/>
  <c r="P79" i="10"/>
  <c r="F14" i="10"/>
  <c r="E15" i="10"/>
  <c r="C8" i="10"/>
  <c r="AV49" i="6"/>
  <c r="N85" i="10"/>
  <c r="M56" i="10"/>
  <c r="F60" i="10"/>
  <c r="F86" i="10"/>
  <c r="F16" i="10"/>
  <c r="C61" i="10"/>
  <c r="L63" i="10"/>
  <c r="P84" i="10"/>
  <c r="E76" i="10"/>
  <c r="AT61" i="6"/>
  <c r="C18" i="10"/>
  <c r="AV59" i="6"/>
  <c r="B13" i="10"/>
  <c r="P12" i="10"/>
  <c r="D67" i="10"/>
  <c r="D59" i="10"/>
  <c r="C62" i="10"/>
  <c r="O83" i="10"/>
  <c r="O88" i="10"/>
  <c r="P8" i="10"/>
  <c r="P14" i="10"/>
  <c r="P76" i="10"/>
  <c r="P19" i="10"/>
  <c r="D10" i="10"/>
  <c r="P11" i="10"/>
  <c r="C64" i="10"/>
  <c r="P82" i="10"/>
  <c r="E83" i="10"/>
  <c r="B66" i="10"/>
  <c r="C58" i="10"/>
  <c r="F56" i="10"/>
  <c r="C87" i="10"/>
  <c r="G64" i="10" l="1"/>
  <c r="G66" i="10"/>
  <c r="R56" i="10"/>
  <c r="Q56" i="10"/>
  <c r="G62" i="10"/>
  <c r="H56" i="10"/>
  <c r="G56" i="10"/>
  <c r="AV61" i="6"/>
  <c r="AU61" i="6"/>
  <c r="BF61" i="6"/>
  <c r="BE61" i="6"/>
  <c r="Q65" i="10"/>
  <c r="G58" i="10"/>
  <c r="Q62" i="10"/>
  <c r="G61" i="10"/>
  <c r="X19" i="5"/>
  <c r="CH19" i="5" s="1"/>
  <c r="Q61" i="10"/>
  <c r="G57" i="10"/>
  <c r="Q57" i="10"/>
  <c r="L61" i="5"/>
  <c r="DJ40" i="5" s="1"/>
  <c r="AZ40" i="5"/>
  <c r="CP81" i="5" s="1"/>
  <c r="BA40" i="5"/>
  <c r="CQ81" i="5" s="1"/>
  <c r="W19" i="5"/>
  <c r="M40" i="5"/>
  <c r="CQ40" i="5" s="1"/>
  <c r="AF19" i="5"/>
  <c r="CP19" i="5" s="1"/>
  <c r="D61" i="5"/>
  <c r="DB40" i="5" s="1"/>
  <c r="X40" i="5"/>
  <c r="DB19" i="5" s="1"/>
  <c r="C61" i="5"/>
  <c r="L40" i="5"/>
  <c r="CP40" i="5" s="1"/>
  <c r="AZ19" i="5"/>
  <c r="B40" i="5"/>
  <c r="CF40" i="5" s="1"/>
  <c r="AG19" i="5"/>
  <c r="CQ19" i="5" s="1"/>
  <c r="C68" i="10"/>
  <c r="N19" i="5"/>
  <c r="BX19" i="5" s="1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I42" i="10"/>
  <c r="G41" i="10"/>
  <c r="D40" i="10"/>
  <c r="I38" i="10"/>
  <c r="G37" i="10"/>
  <c r="D36" i="10"/>
  <c r="I34" i="10"/>
  <c r="G33" i="10"/>
  <c r="D32" i="10"/>
  <c r="H42" i="10"/>
  <c r="E41" i="10"/>
  <c r="C40" i="10"/>
  <c r="H38" i="10"/>
  <c r="E37" i="10"/>
  <c r="C36" i="10"/>
  <c r="H34" i="10"/>
  <c r="E33" i="10"/>
  <c r="C32" i="10"/>
  <c r="I43" i="10"/>
  <c r="G42" i="10"/>
  <c r="D41" i="10"/>
  <c r="I39" i="10"/>
  <c r="G38" i="10"/>
  <c r="D37" i="10"/>
  <c r="I35" i="10"/>
  <c r="G34" i="10"/>
  <c r="D33" i="10"/>
  <c r="I31" i="10"/>
  <c r="G43" i="10"/>
  <c r="D42" i="10"/>
  <c r="I40" i="10"/>
  <c r="G39" i="10"/>
  <c r="D38" i="10"/>
  <c r="I36" i="10"/>
  <c r="G35" i="10"/>
  <c r="D34" i="10"/>
  <c r="I32" i="10"/>
  <c r="G31" i="10"/>
  <c r="E43" i="10"/>
  <c r="C42" i="10"/>
  <c r="H40" i="10"/>
  <c r="E39" i="10"/>
  <c r="C38" i="10"/>
  <c r="H36" i="10"/>
  <c r="E35" i="10"/>
  <c r="C34" i="10"/>
  <c r="H32" i="10"/>
  <c r="E31" i="10"/>
  <c r="C41" i="10"/>
  <c r="H37" i="10"/>
  <c r="I33" i="10"/>
  <c r="G40" i="10"/>
  <c r="C37" i="10"/>
  <c r="H33" i="10"/>
  <c r="H43" i="10"/>
  <c r="E40" i="10"/>
  <c r="G36" i="10"/>
  <c r="C33" i="10"/>
  <c r="D43" i="10"/>
  <c r="H39" i="10"/>
  <c r="E36" i="10"/>
  <c r="G32" i="10"/>
  <c r="C43" i="10"/>
  <c r="D39" i="10"/>
  <c r="H35" i="10"/>
  <c r="E32" i="10"/>
  <c r="I41" i="10"/>
  <c r="E38" i="10"/>
  <c r="C35" i="10"/>
  <c r="D31" i="10"/>
  <c r="H41" i="10"/>
  <c r="I37" i="10"/>
  <c r="E34" i="10"/>
  <c r="C31" i="10"/>
  <c r="E42" i="10"/>
  <c r="C39" i="10"/>
  <c r="D35" i="10"/>
  <c r="H31" i="10"/>
  <c r="Q85" i="10"/>
  <c r="AV59" i="5"/>
  <c r="DF59" i="5" s="1"/>
  <c r="DA59" i="5"/>
  <c r="AU59" i="5"/>
  <c r="DE59" i="5" s="1"/>
  <c r="H61" i="10"/>
  <c r="DK57" i="5"/>
  <c r="BE57" i="5"/>
  <c r="DO57" i="5" s="1"/>
  <c r="BF57" i="5"/>
  <c r="DP57" i="5" s="1"/>
  <c r="Q18" i="10"/>
  <c r="R85" i="10"/>
  <c r="DJ56" i="5"/>
  <c r="Q19" i="10"/>
  <c r="Q59" i="10"/>
  <c r="G10" i="10"/>
  <c r="H11" i="10"/>
  <c r="Q88" i="10"/>
  <c r="CZ51" i="5"/>
  <c r="H79" i="10"/>
  <c r="DC49" i="5"/>
  <c r="G77" i="10"/>
  <c r="Q58" i="10"/>
  <c r="DK52" i="5"/>
  <c r="BF52" i="5"/>
  <c r="DP52" i="5" s="1"/>
  <c r="BE52" i="5"/>
  <c r="DO52" i="5" s="1"/>
  <c r="AV53" i="5"/>
  <c r="DF53" i="5" s="1"/>
  <c r="AU53" i="5"/>
  <c r="DE53" i="5" s="1"/>
  <c r="DA53" i="5"/>
  <c r="DJ49" i="5"/>
  <c r="R60" i="10"/>
  <c r="G78" i="10"/>
  <c r="M20" i="10"/>
  <c r="DJ54" i="5"/>
  <c r="DA54" i="5"/>
  <c r="AV54" i="5"/>
  <c r="DF54" i="5" s="1"/>
  <c r="AU54" i="5"/>
  <c r="DE54" i="5" s="1"/>
  <c r="BA19" i="5"/>
  <c r="BB40" i="5"/>
  <c r="CR81" i="5" s="1"/>
  <c r="M19" i="5"/>
  <c r="W40" i="5"/>
  <c r="AH19" i="5"/>
  <c r="CR19" i="5" s="1"/>
  <c r="AG40" i="5"/>
  <c r="AP19" i="5"/>
  <c r="BL40" i="5" s="1"/>
  <c r="M61" i="5"/>
  <c r="G18" i="10"/>
  <c r="DJ51" i="5"/>
  <c r="H10" i="10"/>
  <c r="R64" i="10"/>
  <c r="BE55" i="5"/>
  <c r="DO55" i="5" s="1"/>
  <c r="DK55" i="5"/>
  <c r="BF55" i="5"/>
  <c r="DP55" i="5" s="1"/>
  <c r="R88" i="10"/>
  <c r="R12" i="10"/>
  <c r="H77" i="10"/>
  <c r="Q11" i="10"/>
  <c r="G12" i="10"/>
  <c r="H17" i="10"/>
  <c r="R67" i="10"/>
  <c r="H78" i="10"/>
  <c r="DA60" i="5"/>
  <c r="AV60" i="5"/>
  <c r="DF60" i="5" s="1"/>
  <c r="AU60" i="5"/>
  <c r="DE60" i="5" s="1"/>
  <c r="CZ53" i="5"/>
  <c r="L20" i="10"/>
  <c r="G13" i="10"/>
  <c r="R63" i="10"/>
  <c r="E88" i="10"/>
  <c r="H18" i="10"/>
  <c r="R65" i="10"/>
  <c r="R62" i="10"/>
  <c r="H67" i="10"/>
  <c r="CZ59" i="5"/>
  <c r="N68" i="10"/>
  <c r="Q82" i="10"/>
  <c r="B88" i="10"/>
  <c r="D20" i="10"/>
  <c r="L68" i="10"/>
  <c r="G82" i="10"/>
  <c r="BE49" i="5"/>
  <c r="DO49" i="5" s="1"/>
  <c r="DK49" i="5"/>
  <c r="BF49" i="5"/>
  <c r="DP49" i="5" s="1"/>
  <c r="Q84" i="10"/>
  <c r="AV55" i="5"/>
  <c r="DF55" i="5" s="1"/>
  <c r="AU55" i="5"/>
  <c r="DE55" i="5" s="1"/>
  <c r="DA55" i="5"/>
  <c r="CZ55" i="5"/>
  <c r="Q80" i="10"/>
  <c r="DJ57" i="5"/>
  <c r="R11" i="10"/>
  <c r="H12" i="10"/>
  <c r="Q60" i="10"/>
  <c r="G19" i="10"/>
  <c r="CZ58" i="5"/>
  <c r="CZ60" i="5"/>
  <c r="H13" i="10"/>
  <c r="BF50" i="5"/>
  <c r="DP50" i="5" s="1"/>
  <c r="BE50" i="5"/>
  <c r="DO50" i="5" s="1"/>
  <c r="DK50" i="5"/>
  <c r="DK58" i="5"/>
  <c r="BF58" i="5"/>
  <c r="DP58" i="5" s="1"/>
  <c r="BE58" i="5"/>
  <c r="DO58" i="5" s="1"/>
  <c r="V19" i="5"/>
  <c r="CF19" i="5" s="1"/>
  <c r="L19" i="5"/>
  <c r="BV19" i="5" s="1"/>
  <c r="N40" i="5"/>
  <c r="CR40" i="5" s="1"/>
  <c r="V40" i="5"/>
  <c r="CZ19" i="5" s="1"/>
  <c r="AQ40" i="5"/>
  <c r="B61" i="5"/>
  <c r="CZ40" i="5" s="1"/>
  <c r="AR19" i="5"/>
  <c r="BN40" i="5" s="1"/>
  <c r="N61" i="5"/>
  <c r="DL40" i="5" s="1"/>
  <c r="D40" i="5"/>
  <c r="CH40" i="5" s="1"/>
  <c r="H58" i="10"/>
  <c r="AV49" i="5"/>
  <c r="DF49" i="5" s="1"/>
  <c r="AU49" i="5"/>
  <c r="DE49" i="5" s="1"/>
  <c r="DA49" i="5"/>
  <c r="G87" i="10"/>
  <c r="H64" i="10"/>
  <c r="H87" i="10"/>
  <c r="G8" i="10"/>
  <c r="R16" i="10"/>
  <c r="G67" i="10"/>
  <c r="DK51" i="5"/>
  <c r="BF51" i="5"/>
  <c r="DP51" i="5" s="1"/>
  <c r="BE51" i="5"/>
  <c r="DO51" i="5" s="1"/>
  <c r="AV57" i="5"/>
  <c r="DF57" i="5" s="1"/>
  <c r="DA57" i="5"/>
  <c r="AU57" i="5"/>
  <c r="DE57" i="5" s="1"/>
  <c r="Q14" i="10"/>
  <c r="DL49" i="5"/>
  <c r="C20" i="10"/>
  <c r="Q79" i="10"/>
  <c r="H63" i="10"/>
  <c r="H82" i="10"/>
  <c r="G81" i="10"/>
  <c r="R84" i="10"/>
  <c r="R80" i="10"/>
  <c r="N20" i="10"/>
  <c r="R66" i="10"/>
  <c r="Q67" i="10"/>
  <c r="H59" i="10"/>
  <c r="H60" i="10"/>
  <c r="D19" i="5"/>
  <c r="BN19" i="5" s="1"/>
  <c r="CM61" i="5"/>
  <c r="V61" i="5"/>
  <c r="CF61" i="5" s="1"/>
  <c r="X61" i="5"/>
  <c r="CH61" i="5" s="1"/>
  <c r="W61" i="5"/>
  <c r="AQ19" i="5"/>
  <c r="DN49" i="5"/>
  <c r="R18" i="10"/>
  <c r="H62" i="10"/>
  <c r="H8" i="10"/>
  <c r="DJ50" i="5"/>
  <c r="Q10" i="10"/>
  <c r="R82" i="10"/>
  <c r="G76" i="10"/>
  <c r="DJ58" i="5"/>
  <c r="M68" i="10"/>
  <c r="DJ60" i="5"/>
  <c r="Q76" i="10"/>
  <c r="Q64" i="10"/>
  <c r="R14" i="10"/>
  <c r="Q83" i="10"/>
  <c r="R79" i="10"/>
  <c r="G83" i="10"/>
  <c r="G63" i="10"/>
  <c r="H81" i="10"/>
  <c r="DJ55" i="5"/>
  <c r="Q8" i="10"/>
  <c r="DJ53" i="5"/>
  <c r="G14" i="10"/>
  <c r="G85" i="10"/>
  <c r="Q81" i="10"/>
  <c r="H19" i="10"/>
  <c r="BF54" i="5"/>
  <c r="DP54" i="5" s="1"/>
  <c r="BE54" i="5"/>
  <c r="DO54" i="5" s="1"/>
  <c r="DK54" i="5"/>
  <c r="G80" i="10"/>
  <c r="G86" i="10"/>
  <c r="DA56" i="5"/>
  <c r="AV56" i="5"/>
  <c r="DF56" i="5" s="1"/>
  <c r="AU56" i="5"/>
  <c r="DE56" i="5" s="1"/>
  <c r="Q63" i="10"/>
  <c r="G60" i="10"/>
  <c r="DB49" i="5"/>
  <c r="Q9" i="10"/>
  <c r="R17" i="10"/>
  <c r="B19" i="5"/>
  <c r="BL19" i="5" s="1"/>
  <c r="AP40" i="5"/>
  <c r="CF81" i="5" s="1"/>
  <c r="CW61" i="5"/>
  <c r="AG61" i="5"/>
  <c r="AF61" i="5"/>
  <c r="CP61" i="5" s="1"/>
  <c r="AH61" i="5"/>
  <c r="CR61" i="5" s="1"/>
  <c r="CZ54" i="5"/>
  <c r="F20" i="10"/>
  <c r="L31" i="10" a="1"/>
  <c r="D88" i="10"/>
  <c r="E20" i="10"/>
  <c r="BE60" i="5"/>
  <c r="DO60" i="5" s="1"/>
  <c r="DK60" i="5"/>
  <c r="BF60" i="5"/>
  <c r="DP60" i="5" s="1"/>
  <c r="H76" i="10"/>
  <c r="G16" i="10"/>
  <c r="R76" i="10"/>
  <c r="R83" i="10"/>
  <c r="CZ57" i="5"/>
  <c r="H83" i="10"/>
  <c r="R8" i="10"/>
  <c r="H14" i="10"/>
  <c r="DD49" i="5"/>
  <c r="H85" i="10"/>
  <c r="R81" i="10"/>
  <c r="Q78" i="10"/>
  <c r="DA50" i="5"/>
  <c r="AV50" i="5"/>
  <c r="DF50" i="5" s="1"/>
  <c r="AU50" i="5"/>
  <c r="DE50" i="5" s="1"/>
  <c r="DJ59" i="5"/>
  <c r="Q87" i="10"/>
  <c r="DK56" i="5"/>
  <c r="BF56" i="5"/>
  <c r="DP56" i="5" s="1"/>
  <c r="BE56" i="5"/>
  <c r="DO56" i="5" s="1"/>
  <c r="H65" i="10"/>
  <c r="H80" i="10"/>
  <c r="G15" i="10"/>
  <c r="G84" i="10"/>
  <c r="G59" i="10"/>
  <c r="R9" i="10"/>
  <c r="Q17" i="10"/>
  <c r="BB19" i="5"/>
  <c r="BX40" i="5" s="1"/>
  <c r="C19" i="5"/>
  <c r="AR40" i="5"/>
  <c r="CH81" i="5" s="1"/>
  <c r="Q16" i="10"/>
  <c r="H66" i="10"/>
  <c r="BF59" i="5"/>
  <c r="DP59" i="5" s="1"/>
  <c r="BE59" i="5"/>
  <c r="DO59" i="5" s="1"/>
  <c r="DK59" i="5"/>
  <c r="R10" i="10"/>
  <c r="R19" i="10"/>
  <c r="H16" i="10"/>
  <c r="CZ56" i="5"/>
  <c r="R59" i="10"/>
  <c r="R61" i="10"/>
  <c r="DA52" i="5"/>
  <c r="AV52" i="5"/>
  <c r="DF52" i="5" s="1"/>
  <c r="AU52" i="5"/>
  <c r="DE52" i="5" s="1"/>
  <c r="C88" i="10"/>
  <c r="BE53" i="5"/>
  <c r="DO53" i="5" s="1"/>
  <c r="DK53" i="5"/>
  <c r="BF53" i="5"/>
  <c r="DP53" i="5" s="1"/>
  <c r="Q86" i="10"/>
  <c r="DA58" i="5"/>
  <c r="AV58" i="5"/>
  <c r="DF58" i="5" s="1"/>
  <c r="AU58" i="5"/>
  <c r="DE58" i="5" s="1"/>
  <c r="R78" i="10"/>
  <c r="Q66" i="10"/>
  <c r="G9" i="10"/>
  <c r="R87" i="10"/>
  <c r="H57" i="10"/>
  <c r="R77" i="10"/>
  <c r="Q15" i="10"/>
  <c r="G65" i="10"/>
  <c r="DJ52" i="5"/>
  <c r="Q13" i="10"/>
  <c r="H86" i="10"/>
  <c r="H15" i="10"/>
  <c r="H84" i="10"/>
  <c r="AH40" i="5"/>
  <c r="DL19" i="5" s="1"/>
  <c r="DM49" i="5"/>
  <c r="DA51" i="5"/>
  <c r="AV51" i="5"/>
  <c r="DF51" i="5" s="1"/>
  <c r="AU51" i="5"/>
  <c r="DE51" i="5" s="1"/>
  <c r="O20" i="10"/>
  <c r="G11" i="10"/>
  <c r="Q12" i="10"/>
  <c r="R86" i="10"/>
  <c r="G79" i="10"/>
  <c r="CZ52" i="5"/>
  <c r="R57" i="10"/>
  <c r="R58" i="10"/>
  <c r="G17" i="10"/>
  <c r="H9" i="10"/>
  <c r="Q77" i="10"/>
  <c r="R15" i="10"/>
  <c r="R13" i="10"/>
  <c r="CZ50" i="5"/>
  <c r="CZ49" i="5"/>
  <c r="AF40" i="5"/>
  <c r="DJ19" i="5" s="1"/>
  <c r="C40" i="5"/>
  <c r="BV40" i="5" l="1"/>
  <c r="AA19" i="5"/>
  <c r="CK19" i="5" s="1"/>
  <c r="Q68" i="10"/>
  <c r="R68" i="10"/>
  <c r="G68" i="10"/>
  <c r="H68" i="10"/>
  <c r="AL19" i="5"/>
  <c r="CV19" i="5" s="1"/>
  <c r="H61" i="5"/>
  <c r="DF40" i="5" s="1"/>
  <c r="DA40" i="5"/>
  <c r="AB19" i="5"/>
  <c r="CL19" i="5" s="1"/>
  <c r="CG19" i="5"/>
  <c r="G61" i="5"/>
  <c r="DE40" i="5" s="1"/>
  <c r="AK19" i="5"/>
  <c r="CU19" i="5" s="1"/>
  <c r="BF40" i="5"/>
  <c r="CV81" i="5" s="1"/>
  <c r="BE40" i="5"/>
  <c r="CU81" i="5" s="1"/>
  <c r="Q40" i="5"/>
  <c r="CU40" i="5" s="1"/>
  <c r="R40" i="5"/>
  <c r="CV40" i="5" s="1"/>
  <c r="DG56" i="5"/>
  <c r="DQ55" i="5"/>
  <c r="DQ54" i="5"/>
  <c r="DG61" i="5"/>
  <c r="DG49" i="5"/>
  <c r="AT61" i="5"/>
  <c r="DD61" i="5" s="1"/>
  <c r="AS61" i="5"/>
  <c r="DC61" i="5" s="1"/>
  <c r="DQ50" i="5"/>
  <c r="DQ52" i="5"/>
  <c r="DG57" i="5"/>
  <c r="DG55" i="5"/>
  <c r="DQ61" i="5"/>
  <c r="DQ49" i="5"/>
  <c r="BC61" i="5"/>
  <c r="DM61" i="5" s="1"/>
  <c r="BD61" i="5"/>
  <c r="DN61" i="5" s="1"/>
  <c r="DG60" i="5"/>
  <c r="DG59" i="5"/>
  <c r="DG53" i="5"/>
  <c r="DQ56" i="5"/>
  <c r="DQ53" i="5"/>
  <c r="DQ51" i="5"/>
  <c r="DG51" i="5"/>
  <c r="DQ59" i="5"/>
  <c r="DQ58" i="5"/>
  <c r="DG58" i="5"/>
  <c r="DG50" i="5"/>
  <c r="DG52" i="5"/>
  <c r="DQ57" i="5"/>
  <c r="DG54" i="5"/>
  <c r="DQ60" i="5"/>
  <c r="H20" i="10"/>
  <c r="AA40" i="5"/>
  <c r="DE19" i="5" s="1"/>
  <c r="AB40" i="5"/>
  <c r="DF19" i="5" s="1"/>
  <c r="DA19" i="5"/>
  <c r="BM19" i="5"/>
  <c r="H19" i="5"/>
  <c r="BR19" i="5" s="1"/>
  <c r="G19" i="5"/>
  <c r="BQ19" i="5" s="1"/>
  <c r="R19" i="5"/>
  <c r="CB19" i="5" s="1"/>
  <c r="Q19" i="5"/>
  <c r="CA19" i="5" s="1"/>
  <c r="BW19" i="5"/>
  <c r="BM40" i="5"/>
  <c r="AU19" i="5"/>
  <c r="BQ40" i="5" s="1"/>
  <c r="AV19" i="5"/>
  <c r="BR40" i="5" s="1"/>
  <c r="Q20" i="10"/>
  <c r="N43" i="10"/>
  <c r="N42" i="10"/>
  <c r="N41" i="10"/>
  <c r="N40" i="10"/>
  <c r="N39" i="10"/>
  <c r="R43" i="10"/>
  <c r="R42" i="10"/>
  <c r="R41" i="10"/>
  <c r="R40" i="10"/>
  <c r="M43" i="10"/>
  <c r="S41" i="10"/>
  <c r="P40" i="10"/>
  <c r="O39" i="10"/>
  <c r="N38" i="10"/>
  <c r="N37" i="10"/>
  <c r="N36" i="10"/>
  <c r="N35" i="10"/>
  <c r="N34" i="10"/>
  <c r="N33" i="10"/>
  <c r="N32" i="10"/>
  <c r="N31" i="10"/>
  <c r="S43" i="10"/>
  <c r="P42" i="10"/>
  <c r="M41" i="10"/>
  <c r="S39" i="10"/>
  <c r="R38" i="10"/>
  <c r="R37" i="10"/>
  <c r="R36" i="10"/>
  <c r="R35" i="10"/>
  <c r="R34" i="10"/>
  <c r="R33" i="10"/>
  <c r="R32" i="10"/>
  <c r="R31" i="10"/>
  <c r="O42" i="10"/>
  <c r="Q40" i="10"/>
  <c r="L39" i="10"/>
  <c r="Q37" i="10"/>
  <c r="O36" i="10"/>
  <c r="L35" i="10"/>
  <c r="Q33" i="10"/>
  <c r="O32" i="10"/>
  <c r="L31" i="10"/>
  <c r="M42" i="10"/>
  <c r="O40" i="10"/>
  <c r="S38" i="10"/>
  <c r="P37" i="10"/>
  <c r="M36" i="10"/>
  <c r="S34" i="10"/>
  <c r="P33" i="10"/>
  <c r="M32" i="10"/>
  <c r="Q43" i="10"/>
  <c r="L42" i="10"/>
  <c r="M40" i="10"/>
  <c r="Q38" i="10"/>
  <c r="O37" i="10"/>
  <c r="L36" i="10"/>
  <c r="Q34" i="10"/>
  <c r="O33" i="10"/>
  <c r="L32" i="10"/>
  <c r="O43" i="10"/>
  <c r="P41" i="10"/>
  <c r="R39" i="10"/>
  <c r="O38" i="10"/>
  <c r="L37" i="10"/>
  <c r="Q35" i="10"/>
  <c r="O34" i="10"/>
  <c r="L33" i="10"/>
  <c r="Q31" i="10"/>
  <c r="L43" i="10"/>
  <c r="O41" i="10"/>
  <c r="Q39" i="10"/>
  <c r="M38" i="10"/>
  <c r="S36" i="10"/>
  <c r="P35" i="10"/>
  <c r="M34" i="10"/>
  <c r="S32" i="10"/>
  <c r="P31" i="10"/>
  <c r="S42" i="10"/>
  <c r="P38" i="10"/>
  <c r="M35" i="10"/>
  <c r="O31" i="10"/>
  <c r="Q42" i="10"/>
  <c r="L38" i="10"/>
  <c r="P34" i="10"/>
  <c r="M31" i="10"/>
  <c r="Q41" i="10"/>
  <c r="S37" i="10"/>
  <c r="L34" i="10"/>
  <c r="L41" i="10"/>
  <c r="M37" i="10"/>
  <c r="S33" i="10"/>
  <c r="S40" i="10"/>
  <c r="Q36" i="10"/>
  <c r="M33" i="10"/>
  <c r="P39" i="10"/>
  <c r="S35" i="10"/>
  <c r="P32" i="10"/>
  <c r="P43" i="10"/>
  <c r="M39" i="10"/>
  <c r="O35" i="10"/>
  <c r="S31" i="10"/>
  <c r="L40" i="10"/>
  <c r="P36" i="10"/>
  <c r="Q32" i="10"/>
  <c r="CQ61" i="5"/>
  <c r="AL61" i="5"/>
  <c r="CV61" i="5" s="1"/>
  <c r="AK61" i="5"/>
  <c r="CU61" i="5" s="1"/>
  <c r="BW40" i="5"/>
  <c r="BF19" i="5"/>
  <c r="CB40" i="5" s="1"/>
  <c r="BE19" i="5"/>
  <c r="CA40" i="5" s="1"/>
  <c r="CG40" i="5"/>
  <c r="H40" i="5"/>
  <c r="CL40" i="5" s="1"/>
  <c r="G40" i="5"/>
  <c r="CK40" i="5" s="1"/>
  <c r="R61" i="5"/>
  <c r="DP40" i="5" s="1"/>
  <c r="Q61" i="5"/>
  <c r="DO40" i="5" s="1"/>
  <c r="DK40" i="5"/>
  <c r="R20" i="10"/>
  <c r="G88" i="10"/>
  <c r="H88" i="10"/>
  <c r="AA61" i="5"/>
  <c r="CK61" i="5" s="1"/>
  <c r="CG61" i="5"/>
  <c r="AB61" i="5"/>
  <c r="CL61" i="5" s="1"/>
  <c r="G20" i="10"/>
  <c r="CG81" i="5"/>
  <c r="AV40" i="5"/>
  <c r="CL81" i="5" s="1"/>
  <c r="AU40" i="5"/>
  <c r="CK81" i="5" s="1"/>
  <c r="AL40" i="5"/>
  <c r="DP19" i="5" s="1"/>
  <c r="AK40" i="5"/>
  <c r="DO19" i="5" s="1"/>
  <c r="DK19" i="5"/>
  <c r="AZ21" i="5" l="1"/>
  <c r="BA61" i="5"/>
  <c r="DK61" i="5" s="1"/>
  <c r="AR61" i="5"/>
  <c r="DB61" i="5" s="1"/>
  <c r="AQ61" i="5"/>
  <c r="AP61" i="5"/>
  <c r="CZ61" i="5" s="1"/>
  <c r="BB61" i="5"/>
  <c r="DL61" i="5" s="1"/>
  <c r="AZ61" i="5"/>
  <c r="DJ61" i="5" s="1"/>
  <c r="AU61" i="5" l="1"/>
  <c r="DE61" i="5" s="1"/>
  <c r="BE61" i="5"/>
  <c r="DO61" i="5" s="1"/>
  <c r="DA61" i="5"/>
  <c r="AV61" i="5"/>
  <c r="DF61" i="5" s="1"/>
  <c r="BF61" i="5"/>
  <c r="DP61" i="5" s="1"/>
  <c r="AK1" i="1" l="1"/>
  <c r="A73" i="4"/>
  <c r="A101" i="10" s="1"/>
  <c r="A68" i="4"/>
  <c r="A96" i="10" s="1"/>
  <c r="A77" i="4"/>
  <c r="A105" i="10" s="1"/>
  <c r="A75" i="4"/>
  <c r="K75" i="4" s="1"/>
  <c r="A78" i="4"/>
  <c r="K78" i="4" s="1"/>
  <c r="A71" i="4"/>
  <c r="A99" i="10" s="1"/>
  <c r="A74" i="4"/>
  <c r="AO8" i="4"/>
  <c r="AO5" i="4"/>
  <c r="A81" i="4"/>
  <c r="K81" i="4" s="1"/>
  <c r="A72" i="4"/>
  <c r="A100" i="10" s="1"/>
  <c r="A70" i="4"/>
  <c r="A98" i="10" s="1"/>
  <c r="A69" i="4"/>
  <c r="A97" i="10" s="1"/>
  <c r="A79" i="4"/>
  <c r="A80" i="4"/>
  <c r="A108" i="10" s="1"/>
  <c r="A76" i="4"/>
  <c r="K76" i="4" s="1"/>
  <c r="AO16" i="4"/>
  <c r="AO15" i="4"/>
  <c r="AO12" i="4"/>
  <c r="AO14" i="4"/>
  <c r="AO6" i="4"/>
  <c r="AO7" i="4"/>
  <c r="AO13" i="4"/>
  <c r="AO10" i="4"/>
  <c r="AO17" i="4"/>
  <c r="A37" i="4"/>
  <c r="A37" i="5"/>
  <c r="CE37" i="5" s="1"/>
  <c r="U57" i="4"/>
  <c r="AO11" i="4"/>
  <c r="U59" i="4"/>
  <c r="U59" i="5"/>
  <c r="CE59" i="5" s="1"/>
  <c r="AE60" i="4"/>
  <c r="U15" i="4"/>
  <c r="A33" i="4"/>
  <c r="AE49" i="4"/>
  <c r="A32" i="4"/>
  <c r="U12" i="4"/>
  <c r="U12" i="5" s="1"/>
  <c r="CE12" i="5" s="1"/>
  <c r="A7" i="5"/>
  <c r="AO7" i="5" s="1"/>
  <c r="BK28" i="5" s="1"/>
  <c r="AE55" i="4"/>
  <c r="A39" i="4"/>
  <c r="A55" i="4"/>
  <c r="U18" i="4"/>
  <c r="U18" i="5"/>
  <c r="CE18" i="5" s="1"/>
  <c r="A28" i="4"/>
  <c r="A17" i="5"/>
  <c r="AO17" i="5" s="1"/>
  <c r="BK38" i="5" s="1"/>
  <c r="A10" i="5"/>
  <c r="BK10" i="5" s="1"/>
  <c r="A50" i="4"/>
  <c r="A50" i="5" s="1"/>
  <c r="CY29" i="5" s="1"/>
  <c r="U17" i="4"/>
  <c r="U17" i="5" s="1"/>
  <c r="CE17" i="5" s="1"/>
  <c r="A31" i="4"/>
  <c r="U53" i="4"/>
  <c r="A58" i="4"/>
  <c r="A5" i="5"/>
  <c r="BK5" i="5" s="1"/>
  <c r="A60" i="4"/>
  <c r="A60" i="5" s="1"/>
  <c r="CY39" i="5" s="1"/>
  <c r="A35" i="4"/>
  <c r="A36" i="4"/>
  <c r="A36" i="5" s="1"/>
  <c r="CE36" i="5" s="1"/>
  <c r="K53" i="4"/>
  <c r="K53" i="5" s="1"/>
  <c r="K14" i="4"/>
  <c r="A54" i="4"/>
  <c r="A54" i="5" s="1"/>
  <c r="CY33" i="5" s="1"/>
  <c r="AE59" i="4"/>
  <c r="A8" i="5"/>
  <c r="AO8" i="5" s="1"/>
  <c r="BK29" i="5" s="1"/>
  <c r="A16" i="5"/>
  <c r="BK16" i="5" s="1"/>
  <c r="K60" i="4"/>
  <c r="K60" i="5" s="1"/>
  <c r="AO60" i="5" s="1"/>
  <c r="AY60" i="5" s="1"/>
  <c r="DI60" i="5" s="1"/>
  <c r="AE52" i="4"/>
  <c r="AO9" i="4"/>
  <c r="K52" i="4"/>
  <c r="K52" i="5" s="1"/>
  <c r="AO52" i="5" s="1"/>
  <c r="AY52" i="5" s="1"/>
  <c r="DI52" i="5" s="1"/>
  <c r="K13" i="4"/>
  <c r="AE57" i="4"/>
  <c r="U52" i="4"/>
  <c r="U56" i="4"/>
  <c r="K18" i="4"/>
  <c r="AE18" i="4" s="1"/>
  <c r="A15" i="5"/>
  <c r="BK15" i="5" s="1"/>
  <c r="K58" i="4"/>
  <c r="U8" i="4"/>
  <c r="U51" i="4"/>
  <c r="U51" i="5" s="1"/>
  <c r="CE51" i="5" s="1"/>
  <c r="U50" i="4"/>
  <c r="A52" i="4"/>
  <c r="U58" i="4"/>
  <c r="AO18" i="4"/>
  <c r="K34" i="4"/>
  <c r="K12" i="4"/>
  <c r="U13" i="4"/>
  <c r="K7" i="4"/>
  <c r="K7" i="5" s="1"/>
  <c r="BU7" i="5" s="1"/>
  <c r="K9" i="4"/>
  <c r="K9" i="5" s="1"/>
  <c r="BU9" i="5" s="1"/>
  <c r="A18" i="5"/>
  <c r="BK18" i="5" s="1"/>
  <c r="AE58" i="4"/>
  <c r="U60" i="4"/>
  <c r="A48" i="4"/>
  <c r="A48" i="5" s="1"/>
  <c r="CY27" i="5" s="1"/>
  <c r="K17" i="4"/>
  <c r="U7" i="4"/>
  <c r="A56" i="4"/>
  <c r="A56" i="5" s="1"/>
  <c r="CY35" i="5" s="1"/>
  <c r="A30" i="4"/>
  <c r="A12" i="5"/>
  <c r="BK12" i="5" s="1"/>
  <c r="K59" i="4"/>
  <c r="K59" i="5" s="1"/>
  <c r="K35" i="4"/>
  <c r="K35" i="5" s="1"/>
  <c r="A49" i="4"/>
  <c r="A49" i="5" s="1"/>
  <c r="CY28" i="5" s="1"/>
  <c r="U10" i="4"/>
  <c r="A9" i="5"/>
  <c r="AO9" i="5" s="1"/>
  <c r="BK30" i="5" s="1"/>
  <c r="K49" i="4"/>
  <c r="K49" i="5" s="1"/>
  <c r="DI28" i="5" s="1"/>
  <c r="U55" i="4"/>
  <c r="K11" i="4"/>
  <c r="AE11" i="4"/>
  <c r="AE54" i="4"/>
  <c r="K56" i="4"/>
  <c r="K56" i="5" s="1"/>
  <c r="K31" i="4"/>
  <c r="K31" i="5" s="1"/>
  <c r="K50" i="4"/>
  <c r="K50" i="5" s="1"/>
  <c r="K29" i="4"/>
  <c r="K29" i="5" s="1"/>
  <c r="AE29" i="5" s="1"/>
  <c r="DI8" i="5" s="1"/>
  <c r="U9" i="4"/>
  <c r="U49" i="4"/>
  <c r="A26" i="4"/>
  <c r="K36" i="4"/>
  <c r="U5" i="4"/>
  <c r="AE50" i="4"/>
  <c r="AE50" i="5" s="1"/>
  <c r="CO50" i="5" s="1"/>
  <c r="K27" i="4"/>
  <c r="K27" i="5" s="1"/>
  <c r="A6" i="5"/>
  <c r="BK6" i="5" s="1"/>
  <c r="U11" i="4"/>
  <c r="U6" i="4"/>
  <c r="U54" i="4"/>
  <c r="U54" i="5" s="1"/>
  <c r="CE54" i="5" s="1"/>
  <c r="A51" i="4"/>
  <c r="K10" i="4"/>
  <c r="AE53" i="4"/>
  <c r="AE53" i="5" s="1"/>
  <c r="CO53" i="5" s="1"/>
  <c r="K15" i="4"/>
  <c r="K15" i="5" s="1"/>
  <c r="BU15" i="5" s="1"/>
  <c r="K48" i="4"/>
  <c r="U48" i="4" s="1"/>
  <c r="K48" i="5"/>
  <c r="AO48" i="5" s="1"/>
  <c r="K47" i="4"/>
  <c r="K47" i="5" s="1"/>
  <c r="DI26" i="5" s="1"/>
  <c r="A47" i="4"/>
  <c r="A47" i="5" s="1"/>
  <c r="CY26" i="5" s="1"/>
  <c r="A5" i="9" a="1"/>
  <c r="A12" i="6"/>
  <c r="A13" i="6"/>
  <c r="K34" i="6" s="1"/>
  <c r="A59" i="4"/>
  <c r="A59" i="5" s="1"/>
  <c r="CY38" i="5" s="1"/>
  <c r="K54" i="4"/>
  <c r="K54" i="5" s="1"/>
  <c r="DI33" i="5" s="1"/>
  <c r="AE56" i="4"/>
  <c r="A27" i="4"/>
  <c r="K37" i="4"/>
  <c r="K37" i="5" s="1"/>
  <c r="AO37" i="5" s="1"/>
  <c r="A29" i="4"/>
  <c r="A13" i="5"/>
  <c r="BK13" i="5" s="1"/>
  <c r="AE51" i="4"/>
  <c r="K28" i="4"/>
  <c r="K28" i="5" s="1"/>
  <c r="A10" i="6"/>
  <c r="U52" i="6" s="1"/>
  <c r="A57" i="4"/>
  <c r="A57" i="5" s="1"/>
  <c r="CY36" i="5" s="1"/>
  <c r="K6" i="4"/>
  <c r="A11" i="5"/>
  <c r="BK11" i="5" s="1"/>
  <c r="K39" i="4"/>
  <c r="K39" i="5" s="1"/>
  <c r="K51" i="4"/>
  <c r="K51" i="5" s="1"/>
  <c r="K55" i="4"/>
  <c r="K55" i="5" s="1"/>
  <c r="DI34" i="5" s="1"/>
  <c r="U16" i="4"/>
  <c r="A7" i="6"/>
  <c r="A28" i="6" s="1"/>
  <c r="A14" i="5"/>
  <c r="AO14" i="5" s="1"/>
  <c r="BK35" i="5" s="1"/>
  <c r="K38" i="4"/>
  <c r="K38" i="5" s="1"/>
  <c r="A53" i="4"/>
  <c r="A53" i="5" s="1"/>
  <c r="CY32" i="5" s="1"/>
  <c r="K16" i="4"/>
  <c r="K57" i="4"/>
  <c r="K57" i="5" s="1"/>
  <c r="A38" i="4"/>
  <c r="A38" i="5"/>
  <c r="CE38" i="5" s="1"/>
  <c r="A34" i="4"/>
  <c r="A14" i="6"/>
  <c r="K56" i="6" s="1"/>
  <c r="A11" i="6"/>
  <c r="K8" i="4"/>
  <c r="K8" i="5" s="1"/>
  <c r="BU8" i="5" s="1"/>
  <c r="A16" i="6"/>
  <c r="A58" i="6" s="1"/>
  <c r="U14" i="4"/>
  <c r="K33" i="4"/>
  <c r="K33" i="5" s="1"/>
  <c r="A15" i="6"/>
  <c r="A57" i="6" s="1"/>
  <c r="A6" i="6"/>
  <c r="A9" i="6"/>
  <c r="AE51" i="6" s="1"/>
  <c r="A5" i="8" a="1"/>
  <c r="K32" i="4"/>
  <c r="AO32" i="4" s="1"/>
  <c r="A5" i="6"/>
  <c r="U5" i="6" s="1"/>
  <c r="A5" i="7" a="1"/>
  <c r="A8" i="6"/>
  <c r="A71" i="6" s="1"/>
  <c r="A18" i="6"/>
  <c r="U60" i="6" s="1"/>
  <c r="A17" i="6"/>
  <c r="K38" i="6" s="1"/>
  <c r="K30" i="4"/>
  <c r="K30" i="5" s="1"/>
  <c r="AY9" i="5" s="1"/>
  <c r="BU30" i="5" s="1"/>
  <c r="K5" i="4"/>
  <c r="AE5" i="4" s="1"/>
  <c r="K80" i="4" l="1"/>
  <c r="AO13" i="5"/>
  <c r="BK34" i="5" s="1"/>
  <c r="A104" i="10"/>
  <c r="K68" i="4"/>
  <c r="AE56" i="5"/>
  <c r="CO56" i="5" s="1"/>
  <c r="U11" i="5"/>
  <c r="CE11" i="5" s="1"/>
  <c r="A27" i="5"/>
  <c r="CE27" i="5" s="1"/>
  <c r="A28" i="5"/>
  <c r="CE28" i="5" s="1"/>
  <c r="AE11" i="5"/>
  <c r="CO11" i="5" s="1"/>
  <c r="K77" i="4"/>
  <c r="U52" i="5"/>
  <c r="CE52" i="5" s="1"/>
  <c r="U50" i="5"/>
  <c r="CE50" i="5" s="1"/>
  <c r="K71" i="4"/>
  <c r="U8" i="5"/>
  <c r="CE8" i="5" s="1"/>
  <c r="K70" i="4"/>
  <c r="K32" i="5"/>
  <c r="AE32" i="5" s="1"/>
  <c r="DI11" i="5" s="1"/>
  <c r="A35" i="5"/>
  <c r="CE35" i="5" s="1"/>
  <c r="A29" i="5"/>
  <c r="CE29" i="5" s="1"/>
  <c r="U49" i="5"/>
  <c r="CE49" i="5" s="1"/>
  <c r="K14" i="5"/>
  <c r="BU14" i="5" s="1"/>
  <c r="AO10" i="5"/>
  <c r="BK31" i="5" s="1"/>
  <c r="A33" i="5"/>
  <c r="CE33" i="5" s="1"/>
  <c r="A32" i="5"/>
  <c r="CE32" i="5" s="1"/>
  <c r="U31" i="5"/>
  <c r="CY10" i="5" s="1"/>
  <c r="AO31" i="5"/>
  <c r="CE72" i="5" s="1"/>
  <c r="A109" i="10"/>
  <c r="U10" i="5"/>
  <c r="CE10" i="5" s="1"/>
  <c r="BK17" i="5"/>
  <c r="A34" i="5"/>
  <c r="CE34" i="5" s="1"/>
  <c r="AO11" i="5"/>
  <c r="BK32" i="5" s="1"/>
  <c r="AE51" i="5"/>
  <c r="CO51" i="5" s="1"/>
  <c r="K17" i="5"/>
  <c r="BU17" i="5" s="1"/>
  <c r="AO15" i="5"/>
  <c r="BK36" i="5" s="1"/>
  <c r="A106" i="10"/>
  <c r="U14" i="5"/>
  <c r="CE14" i="5" s="1"/>
  <c r="AO16" i="5"/>
  <c r="BK37" i="5" s="1"/>
  <c r="U15" i="5"/>
  <c r="CE15" i="5" s="1"/>
  <c r="U57" i="5"/>
  <c r="CE57" i="5" s="1"/>
  <c r="K73" i="4"/>
  <c r="U60" i="5"/>
  <c r="CE60" i="5" s="1"/>
  <c r="A103" i="10"/>
  <c r="AE55" i="5"/>
  <c r="CO55" i="5" s="1"/>
  <c r="AE60" i="5"/>
  <c r="CO60" i="5" s="1"/>
  <c r="AO49" i="5"/>
  <c r="CY49" i="5" s="1"/>
  <c r="U49" i="6"/>
  <c r="K14" i="6"/>
  <c r="K31" i="6"/>
  <c r="AO6" i="5"/>
  <c r="BK27" i="5" s="1"/>
  <c r="AY13" i="6"/>
  <c r="AO34" i="6"/>
  <c r="K5" i="6"/>
  <c r="AE5" i="6" s="1"/>
  <c r="AE59" i="6"/>
  <c r="K36" i="6"/>
  <c r="AO36" i="6" s="1"/>
  <c r="AE53" i="6"/>
  <c r="AO8" i="6"/>
  <c r="K71" i="6"/>
  <c r="I99" i="10"/>
  <c r="U35" i="5"/>
  <c r="CY14" i="5" s="1"/>
  <c r="CO35" i="5"/>
  <c r="AO35" i="5"/>
  <c r="AY14" i="5"/>
  <c r="BU35" i="5" s="1"/>
  <c r="AE35" i="5"/>
  <c r="DI14" i="5" s="1"/>
  <c r="AO56" i="6"/>
  <c r="DI38" i="5"/>
  <c r="AO59" i="5"/>
  <c r="DI30" i="5"/>
  <c r="AO51" i="5"/>
  <c r="CY48" i="5"/>
  <c r="AY48" i="5"/>
  <c r="DI48" i="5" s="1"/>
  <c r="DI35" i="5"/>
  <c r="AO56" i="5"/>
  <c r="CO38" i="5"/>
  <c r="AO38" i="5"/>
  <c r="U38" i="5"/>
  <c r="CY17" i="5" s="1"/>
  <c r="AY17" i="5"/>
  <c r="BU38" i="5" s="1"/>
  <c r="AE38" i="5"/>
  <c r="DI17" i="5" s="1"/>
  <c r="CO39" i="5"/>
  <c r="AY18" i="5"/>
  <c r="BU39" i="5" s="1"/>
  <c r="U39" i="5"/>
  <c r="CY18" i="5" s="1"/>
  <c r="AO39" i="5"/>
  <c r="AE39" i="5"/>
  <c r="DI18" i="5" s="1"/>
  <c r="U48" i="5"/>
  <c r="CE48" i="5" s="1"/>
  <c r="U38" i="6"/>
  <c r="AE38" i="6"/>
  <c r="AO38" i="6"/>
  <c r="AY17" i="6"/>
  <c r="AY12" i="5"/>
  <c r="BU33" i="5" s="1"/>
  <c r="CO33" i="5"/>
  <c r="U33" i="5"/>
  <c r="CY12" i="5" s="1"/>
  <c r="AE33" i="5"/>
  <c r="DI12" i="5" s="1"/>
  <c r="AO33" i="5"/>
  <c r="DI29" i="5"/>
  <c r="AO50" i="5"/>
  <c r="AY32" i="4"/>
  <c r="AO57" i="5"/>
  <c r="DI36" i="5"/>
  <c r="A9" i="8"/>
  <c r="A11" i="8"/>
  <c r="A18" i="8"/>
  <c r="A13" i="8"/>
  <c r="A17" i="8"/>
  <c r="A10" i="8"/>
  <c r="A15" i="8"/>
  <c r="A6" i="8"/>
  <c r="A12" i="8"/>
  <c r="A8" i="8"/>
  <c r="A7" i="8"/>
  <c r="A5" i="8"/>
  <c r="A14" i="8"/>
  <c r="A16" i="8"/>
  <c r="U6" i="6"/>
  <c r="A27" i="6"/>
  <c r="U50" i="6"/>
  <c r="AO11" i="6"/>
  <c r="AE28" i="5"/>
  <c r="DI7" i="5" s="1"/>
  <c r="CO28" i="5"/>
  <c r="K16" i="5"/>
  <c r="BU16" i="5" s="1"/>
  <c r="K8" i="6"/>
  <c r="K53" i="6"/>
  <c r="AE37" i="5"/>
  <c r="DI16" i="5" s="1"/>
  <c r="AO27" i="5"/>
  <c r="AY6" i="5"/>
  <c r="BU27" i="5" s="1"/>
  <c r="CO27" i="5"/>
  <c r="U27" i="5"/>
  <c r="CY6" i="5" s="1"/>
  <c r="AE36" i="4"/>
  <c r="U36" i="4"/>
  <c r="AO36" i="4"/>
  <c r="AY15" i="4"/>
  <c r="U29" i="5"/>
  <c r="CY8" i="5" s="1"/>
  <c r="AE58" i="6"/>
  <c r="K54" i="6"/>
  <c r="CO29" i="5"/>
  <c r="K5" i="5"/>
  <c r="BU5" i="5" s="1"/>
  <c r="BK9" i="5"/>
  <c r="U51" i="6"/>
  <c r="K37" i="6"/>
  <c r="AE8" i="4"/>
  <c r="A48" i="6"/>
  <c r="AE16" i="4"/>
  <c r="AO55" i="5"/>
  <c r="K26" i="4"/>
  <c r="AE6" i="4"/>
  <c r="U28" i="4"/>
  <c r="AE28" i="4"/>
  <c r="AY7" i="4"/>
  <c r="AO28" i="4"/>
  <c r="AY34" i="6"/>
  <c r="U57" i="6"/>
  <c r="AO48" i="4"/>
  <c r="K60" i="6"/>
  <c r="U54" i="6"/>
  <c r="U27" i="4"/>
  <c r="AY6" i="4"/>
  <c r="AE27" i="4"/>
  <c r="AO27" i="4"/>
  <c r="K57" i="6"/>
  <c r="U5" i="5"/>
  <c r="CE5" i="5" s="1"/>
  <c r="A26" i="5"/>
  <c r="CE26" i="5" s="1"/>
  <c r="AO29" i="4"/>
  <c r="U29" i="4"/>
  <c r="AE29" i="4"/>
  <c r="AY8" i="4"/>
  <c r="K50" i="6"/>
  <c r="A36" i="6"/>
  <c r="A33" i="6"/>
  <c r="A26" i="6"/>
  <c r="A52" i="6"/>
  <c r="AE9" i="4"/>
  <c r="AY13" i="4"/>
  <c r="U34" i="4"/>
  <c r="AO34" i="4"/>
  <c r="AE34" i="4"/>
  <c r="K34" i="5"/>
  <c r="AO9" i="6"/>
  <c r="U56" i="5"/>
  <c r="CE56" i="5" s="1"/>
  <c r="U56" i="6"/>
  <c r="A39" i="6"/>
  <c r="AE33" i="4"/>
  <c r="U33" i="4"/>
  <c r="AY12" i="4"/>
  <c r="AO33" i="4"/>
  <c r="A79" i="6"/>
  <c r="A5" i="9"/>
  <c r="A18" i="9"/>
  <c r="A9" i="9"/>
  <c r="A12" i="9"/>
  <c r="A6" i="9"/>
  <c r="A17" i="9"/>
  <c r="A16" i="9"/>
  <c r="A14" i="9"/>
  <c r="A13" i="9"/>
  <c r="A11" i="9"/>
  <c r="A7" i="9"/>
  <c r="A10" i="9"/>
  <c r="A15" i="9"/>
  <c r="A8" i="9"/>
  <c r="K33" i="6"/>
  <c r="AE47" i="4"/>
  <c r="K6" i="6"/>
  <c r="AO56" i="4"/>
  <c r="K35" i="6"/>
  <c r="A30" i="5"/>
  <c r="CE30" i="5" s="1"/>
  <c r="A75" i="6"/>
  <c r="AO6" i="6"/>
  <c r="U47" i="4"/>
  <c r="U14" i="6"/>
  <c r="A55" i="5"/>
  <c r="CY34" i="5" s="1"/>
  <c r="AO7" i="6"/>
  <c r="U7" i="6"/>
  <c r="AO55" i="4"/>
  <c r="K49" i="6"/>
  <c r="A51" i="6"/>
  <c r="U34" i="6"/>
  <c r="U11" i="6"/>
  <c r="A37" i="6"/>
  <c r="AE15" i="4"/>
  <c r="AE49" i="6"/>
  <c r="K32" i="6"/>
  <c r="K27" i="6"/>
  <c r="AY7" i="5"/>
  <c r="BU28" i="5" s="1"/>
  <c r="K28" i="6"/>
  <c r="AY16" i="5"/>
  <c r="BU37" i="5" s="1"/>
  <c r="AO50" i="4"/>
  <c r="AO59" i="4"/>
  <c r="K6" i="5"/>
  <c r="BU6" i="5" s="1"/>
  <c r="U18" i="6"/>
  <c r="AE7" i="4"/>
  <c r="AE50" i="6"/>
  <c r="A29" i="6"/>
  <c r="A50" i="6"/>
  <c r="U30" i="5"/>
  <c r="CY9" i="5" s="1"/>
  <c r="CO30" i="5"/>
  <c r="A68" i="6"/>
  <c r="A47" i="6"/>
  <c r="U32" i="4"/>
  <c r="AE32" i="4"/>
  <c r="AY11" i="4"/>
  <c r="K29" i="6"/>
  <c r="A35" i="6"/>
  <c r="A73" i="6"/>
  <c r="U10" i="6"/>
  <c r="AE52" i="6"/>
  <c r="A31" i="6"/>
  <c r="K30" i="6"/>
  <c r="A76" i="6"/>
  <c r="U55" i="6"/>
  <c r="AO13" i="6"/>
  <c r="AE55" i="6"/>
  <c r="K55" i="6"/>
  <c r="K10" i="5"/>
  <c r="BU10" i="5" s="1"/>
  <c r="A60" i="6"/>
  <c r="AE34" i="6"/>
  <c r="A78" i="6"/>
  <c r="U9" i="5"/>
  <c r="CE9" i="5" s="1"/>
  <c r="CO31" i="5"/>
  <c r="AE31" i="5"/>
  <c r="DI10" i="5" s="1"/>
  <c r="AO30" i="5"/>
  <c r="U7" i="5"/>
  <c r="CE7" i="5" s="1"/>
  <c r="A49" i="6"/>
  <c r="AE48" i="4"/>
  <c r="AE10" i="4"/>
  <c r="AO16" i="6"/>
  <c r="K13" i="5"/>
  <c r="BU13" i="5" s="1"/>
  <c r="AE13" i="4"/>
  <c r="BK8" i="5"/>
  <c r="A80" i="6"/>
  <c r="AO17" i="6"/>
  <c r="U17" i="6"/>
  <c r="U30" i="4"/>
  <c r="AE30" i="4"/>
  <c r="AY9" i="4"/>
  <c r="AO30" i="4"/>
  <c r="K39" i="6"/>
  <c r="AO14" i="6"/>
  <c r="A77" i="6"/>
  <c r="A56" i="6"/>
  <c r="AE56" i="6"/>
  <c r="U38" i="4"/>
  <c r="AY17" i="4"/>
  <c r="AO38" i="4"/>
  <c r="AE38" i="4"/>
  <c r="U16" i="5"/>
  <c r="CE16" i="5" s="1"/>
  <c r="AO51" i="4"/>
  <c r="AO39" i="4"/>
  <c r="AY18" i="4"/>
  <c r="U39" i="4"/>
  <c r="AE39" i="4"/>
  <c r="A70" i="6"/>
  <c r="U37" i="5"/>
  <c r="CY16" i="5" s="1"/>
  <c r="AO54" i="5"/>
  <c r="K47" i="6"/>
  <c r="A55" i="6"/>
  <c r="U58" i="6"/>
  <c r="K59" i="6"/>
  <c r="U28" i="5"/>
  <c r="CY7" i="5" s="1"/>
  <c r="K9" i="6"/>
  <c r="AY10" i="4"/>
  <c r="AE31" i="4"/>
  <c r="U31" i="4"/>
  <c r="AO31" i="4"/>
  <c r="AE54" i="5"/>
  <c r="CO54" i="5" s="1"/>
  <c r="K58" i="6"/>
  <c r="K11" i="5"/>
  <c r="BU11" i="5" s="1"/>
  <c r="AO49" i="4"/>
  <c r="U59" i="6"/>
  <c r="U35" i="4"/>
  <c r="AE35" i="4"/>
  <c r="AY14" i="4"/>
  <c r="AO35" i="4"/>
  <c r="AO12" i="6"/>
  <c r="A72" i="6"/>
  <c r="DI27" i="5"/>
  <c r="AE18" i="5"/>
  <c r="CO18" i="5" s="1"/>
  <c r="AE5" i="5"/>
  <c r="CO5" i="5" s="1"/>
  <c r="AE60" i="6"/>
  <c r="K18" i="6"/>
  <c r="A81" i="6"/>
  <c r="AO57" i="4"/>
  <c r="AO5" i="6"/>
  <c r="U16" i="6"/>
  <c r="AY37" i="5"/>
  <c r="CO78" i="5" s="1"/>
  <c r="CE78" i="5"/>
  <c r="AO10" i="6"/>
  <c r="AE54" i="6"/>
  <c r="K7" i="6"/>
  <c r="K13" i="6"/>
  <c r="K10" i="6"/>
  <c r="A69" i="6"/>
  <c r="A59" i="6"/>
  <c r="U13" i="6"/>
  <c r="K51" i="6"/>
  <c r="K16" i="6"/>
  <c r="K12" i="6"/>
  <c r="BK14" i="5"/>
  <c r="AY10" i="5"/>
  <c r="BU31" i="5" s="1"/>
  <c r="AE17" i="4"/>
  <c r="AO29" i="5"/>
  <c r="AE12" i="4"/>
  <c r="K12" i="5"/>
  <c r="BU12" i="5" s="1"/>
  <c r="A52" i="5"/>
  <c r="CY31" i="5" s="1"/>
  <c r="A6" i="7"/>
  <c r="A15" i="7"/>
  <c r="A8" i="7"/>
  <c r="A10" i="7"/>
  <c r="A11" i="7"/>
  <c r="A13" i="7"/>
  <c r="A7" i="7"/>
  <c r="A14" i="7"/>
  <c r="A9" i="7"/>
  <c r="A12" i="7"/>
  <c r="A17" i="7"/>
  <c r="A18" i="7"/>
  <c r="A16" i="7"/>
  <c r="A5" i="7"/>
  <c r="A38" i="6"/>
  <c r="K48" i="6"/>
  <c r="U15" i="6"/>
  <c r="K15" i="6"/>
  <c r="AO15" i="6"/>
  <c r="AE57" i="6"/>
  <c r="A74" i="6"/>
  <c r="U53" i="6"/>
  <c r="A32" i="6"/>
  <c r="K11" i="6"/>
  <c r="AO28" i="5"/>
  <c r="AO37" i="4"/>
  <c r="AE37" i="4"/>
  <c r="U37" i="4"/>
  <c r="AY16" i="4"/>
  <c r="AO54" i="4"/>
  <c r="A53" i="6"/>
  <c r="U9" i="6"/>
  <c r="A51" i="5"/>
  <c r="CY30" i="5" s="1"/>
  <c r="A54" i="6"/>
  <c r="K52" i="6"/>
  <c r="U6" i="5"/>
  <c r="CE6" i="5" s="1"/>
  <c r="AE27" i="5"/>
  <c r="DI6" i="5" s="1"/>
  <c r="U12" i="6"/>
  <c r="K36" i="5"/>
  <c r="A34" i="6"/>
  <c r="AY8" i="5"/>
  <c r="BU29" i="5" s="1"/>
  <c r="A30" i="6"/>
  <c r="U55" i="5"/>
  <c r="CE55" i="5" s="1"/>
  <c r="U8" i="6"/>
  <c r="AE30" i="5"/>
  <c r="DI9" i="5" s="1"/>
  <c r="AO12" i="5"/>
  <c r="BK33" i="5" s="1"/>
  <c r="AE58" i="5"/>
  <c r="CO58" i="5" s="1"/>
  <c r="AO18" i="6"/>
  <c r="AO18" i="5"/>
  <c r="BK39" i="5" s="1"/>
  <c r="U13" i="5"/>
  <c r="CE13" i="5" s="1"/>
  <c r="CO37" i="5"/>
  <c r="K17" i="6"/>
  <c r="AE52" i="5"/>
  <c r="CO52" i="5" s="1"/>
  <c r="DI32" i="5"/>
  <c r="AO53" i="5"/>
  <c r="AO52" i="4"/>
  <c r="AO60" i="4"/>
  <c r="AO5" i="5"/>
  <c r="BK26" i="5" s="1"/>
  <c r="DI39" i="5"/>
  <c r="CY60" i="5"/>
  <c r="CY52" i="5"/>
  <c r="AE59" i="5"/>
  <c r="CO59" i="5" s="1"/>
  <c r="U53" i="5"/>
  <c r="CE53" i="5" s="1"/>
  <c r="A31" i="5"/>
  <c r="CE31" i="5" s="1"/>
  <c r="BK7" i="5"/>
  <c r="AE14" i="4"/>
  <c r="A39" i="5"/>
  <c r="CE39" i="5" s="1"/>
  <c r="DI31" i="5"/>
  <c r="AE49" i="5"/>
  <c r="CO49" i="5" s="1"/>
  <c r="U58" i="5"/>
  <c r="CE58" i="5" s="1"/>
  <c r="K58" i="5"/>
  <c r="AO58" i="4"/>
  <c r="K18" i="5"/>
  <c r="BU18" i="5" s="1"/>
  <c r="AO53" i="4"/>
  <c r="A58" i="5"/>
  <c r="CY37" i="5" s="1"/>
  <c r="AE57" i="5"/>
  <c r="CO57" i="5" s="1"/>
  <c r="K79" i="4"/>
  <c r="A107" i="10"/>
  <c r="K74" i="4"/>
  <c r="A102" i="10"/>
  <c r="K72" i="4"/>
  <c r="K69" i="4"/>
  <c r="AY31" i="5" l="1"/>
  <c r="CO72" i="5" s="1"/>
  <c r="AY49" i="5"/>
  <c r="DI49" i="5" s="1"/>
  <c r="CO32" i="5"/>
  <c r="AO32" i="5"/>
  <c r="AY11" i="5"/>
  <c r="BU32" i="5" s="1"/>
  <c r="U32" i="5"/>
  <c r="CY11" i="5" s="1"/>
  <c r="AO31" i="6"/>
  <c r="AE31" i="6"/>
  <c r="U31" i="6"/>
  <c r="AY10" i="6"/>
  <c r="AE14" i="6"/>
  <c r="AY15" i="6"/>
  <c r="AE36" i="6"/>
  <c r="AY36" i="6"/>
  <c r="U36" i="6"/>
  <c r="K26" i="6"/>
  <c r="AE15" i="6"/>
  <c r="A80" i="7"/>
  <c r="K80" i="7" s="1"/>
  <c r="A38" i="7"/>
  <c r="U17" i="7"/>
  <c r="U59" i="7"/>
  <c r="K17" i="7"/>
  <c r="K59" i="7"/>
  <c r="AE59" i="7"/>
  <c r="A59" i="7"/>
  <c r="K38" i="7"/>
  <c r="AO17" i="7"/>
  <c r="K50" i="7"/>
  <c r="U8" i="7"/>
  <c r="A71" i="7"/>
  <c r="K71" i="7" s="1"/>
  <c r="AO8" i="7"/>
  <c r="AE50" i="7"/>
  <c r="A50" i="7"/>
  <c r="A29" i="7"/>
  <c r="U50" i="7"/>
  <c r="K8" i="7"/>
  <c r="K29" i="7"/>
  <c r="AE16" i="6"/>
  <c r="I109" i="10"/>
  <c r="K81" i="6"/>
  <c r="U39" i="6"/>
  <c r="AE39" i="6"/>
  <c r="AO39" i="6"/>
  <c r="AY18" i="6"/>
  <c r="K80" i="6"/>
  <c r="I108" i="10"/>
  <c r="AE48" i="5"/>
  <c r="CO48" i="5" s="1"/>
  <c r="K76" i="6"/>
  <c r="I104" i="10"/>
  <c r="AE7" i="5"/>
  <c r="CO7" i="5" s="1"/>
  <c r="AE6" i="6"/>
  <c r="A73" i="9"/>
  <c r="K73" i="9" s="1"/>
  <c r="K52" i="9"/>
  <c r="A52" i="9"/>
  <c r="A31" i="9"/>
  <c r="U10" i="9"/>
  <c r="AO10" i="9"/>
  <c r="AE52" i="9"/>
  <c r="K31" i="9"/>
  <c r="U52" i="9"/>
  <c r="K10" i="9"/>
  <c r="A75" i="9"/>
  <c r="K75" i="9" s="1"/>
  <c r="A54" i="9"/>
  <c r="K54" i="9"/>
  <c r="A33" i="9"/>
  <c r="U12" i="9"/>
  <c r="AO12" i="9"/>
  <c r="K33" i="9"/>
  <c r="K12" i="9"/>
  <c r="U54" i="9"/>
  <c r="AE54" i="9"/>
  <c r="AO57" i="6"/>
  <c r="AO60" i="6"/>
  <c r="AY28" i="4"/>
  <c r="AO54" i="6"/>
  <c r="AO53" i="6"/>
  <c r="AO6" i="8"/>
  <c r="A48" i="8"/>
  <c r="A69" i="8"/>
  <c r="K27" i="8"/>
  <c r="K6" i="8"/>
  <c r="A27" i="8"/>
  <c r="K48" i="8"/>
  <c r="U6" i="8"/>
  <c r="AO52" i="6"/>
  <c r="K12" i="7"/>
  <c r="A33" i="7"/>
  <c r="AO12" i="7"/>
  <c r="K54" i="7"/>
  <c r="U12" i="7"/>
  <c r="AE54" i="7"/>
  <c r="A75" i="7"/>
  <c r="K75" i="7" s="1"/>
  <c r="A54" i="7"/>
  <c r="K33" i="7"/>
  <c r="U54" i="7"/>
  <c r="K57" i="7"/>
  <c r="A57" i="7"/>
  <c r="AE57" i="7"/>
  <c r="A78" i="7"/>
  <c r="K78" i="7" s="1"/>
  <c r="A36" i="7"/>
  <c r="U57" i="7"/>
  <c r="U15" i="7"/>
  <c r="K15" i="7"/>
  <c r="AO15" i="7"/>
  <c r="K36" i="7"/>
  <c r="CE70" i="5"/>
  <c r="AY29" i="5"/>
  <c r="CO70" i="5" s="1"/>
  <c r="AO51" i="6"/>
  <c r="AE18" i="6"/>
  <c r="I100" i="10"/>
  <c r="K72" i="6"/>
  <c r="AY49" i="4"/>
  <c r="AY39" i="4"/>
  <c r="AY30" i="4"/>
  <c r="I96" i="10"/>
  <c r="K68" i="6"/>
  <c r="AY11" i="6"/>
  <c r="U32" i="6"/>
  <c r="AE32" i="6"/>
  <c r="AO32" i="6"/>
  <c r="AO49" i="6"/>
  <c r="K75" i="6"/>
  <c r="I103" i="10"/>
  <c r="K49" i="9"/>
  <c r="A70" i="9"/>
  <c r="K70" i="9" s="1"/>
  <c r="K28" i="9"/>
  <c r="A49" i="9"/>
  <c r="U7" i="9"/>
  <c r="AE49" i="9"/>
  <c r="A28" i="9"/>
  <c r="U49" i="9"/>
  <c r="AO7" i="9"/>
  <c r="K7" i="9"/>
  <c r="K51" i="9"/>
  <c r="A51" i="9"/>
  <c r="A72" i="9"/>
  <c r="K72" i="9" s="1"/>
  <c r="A30" i="9"/>
  <c r="AO9" i="9"/>
  <c r="AE51" i="9"/>
  <c r="K9" i="9"/>
  <c r="U51" i="9"/>
  <c r="K30" i="9"/>
  <c r="U9" i="9"/>
  <c r="AE9" i="5"/>
  <c r="CO9" i="5" s="1"/>
  <c r="AY27" i="4"/>
  <c r="AY48" i="4"/>
  <c r="AE8" i="6"/>
  <c r="K57" i="8"/>
  <c r="A57" i="8"/>
  <c r="AE57" i="8"/>
  <c r="A36" i="8"/>
  <c r="AO15" i="8"/>
  <c r="U15" i="8"/>
  <c r="U57" i="8"/>
  <c r="K15" i="8"/>
  <c r="A78" i="8"/>
  <c r="K36" i="8"/>
  <c r="CY57" i="5"/>
  <c r="AY57" i="5"/>
  <c r="DI57" i="5" s="1"/>
  <c r="AY33" i="5"/>
  <c r="CO74" i="5" s="1"/>
  <c r="CE74" i="5"/>
  <c r="AY52" i="4"/>
  <c r="AE11" i="6"/>
  <c r="AO9" i="7"/>
  <c r="A72" i="7"/>
  <c r="K72" i="7" s="1"/>
  <c r="U51" i="7"/>
  <c r="A51" i="7"/>
  <c r="K51" i="7"/>
  <c r="AE51" i="7"/>
  <c r="K9" i="7"/>
  <c r="K30" i="7"/>
  <c r="U9" i="7"/>
  <c r="A30" i="7"/>
  <c r="K6" i="7"/>
  <c r="A69" i="7"/>
  <c r="K69" i="7" s="1"/>
  <c r="A48" i="7"/>
  <c r="U6" i="7"/>
  <c r="AO6" i="7"/>
  <c r="K27" i="7"/>
  <c r="K48" i="7"/>
  <c r="A27" i="7"/>
  <c r="AE17" i="5"/>
  <c r="CO17" i="5" s="1"/>
  <c r="AE47" i="6"/>
  <c r="U47" i="6"/>
  <c r="AO29" i="6"/>
  <c r="AY8" i="6"/>
  <c r="AE29" i="6"/>
  <c r="U29" i="6"/>
  <c r="A53" i="9"/>
  <c r="A74" i="9"/>
  <c r="K74" i="9" s="1"/>
  <c r="K53" i="9"/>
  <c r="U53" i="9"/>
  <c r="AE53" i="9"/>
  <c r="U11" i="9"/>
  <c r="A32" i="9"/>
  <c r="K11" i="9"/>
  <c r="AO11" i="9"/>
  <c r="K32" i="9"/>
  <c r="A81" i="9"/>
  <c r="K81" i="9" s="1"/>
  <c r="AO18" i="9"/>
  <c r="K60" i="9"/>
  <c r="AE60" i="9"/>
  <c r="K39" i="9"/>
  <c r="K18" i="9"/>
  <c r="U60" i="9"/>
  <c r="U18" i="9"/>
  <c r="A39" i="9"/>
  <c r="A60" i="9"/>
  <c r="U34" i="5"/>
  <c r="CY13" i="5" s="1"/>
  <c r="AO34" i="5"/>
  <c r="AE34" i="5"/>
  <c r="DI13" i="5" s="1"/>
  <c r="AY13" i="5"/>
  <c r="BU34" i="5" s="1"/>
  <c r="CO34" i="5"/>
  <c r="AE16" i="5"/>
  <c r="CO16" i="5" s="1"/>
  <c r="AO16" i="8"/>
  <c r="K58" i="8"/>
  <c r="AE58" i="8"/>
  <c r="A58" i="8"/>
  <c r="K37" i="8"/>
  <c r="A79" i="8"/>
  <c r="U58" i="8"/>
  <c r="K16" i="8"/>
  <c r="U16" i="8"/>
  <c r="A37" i="8"/>
  <c r="U10" i="8"/>
  <c r="A52" i="8"/>
  <c r="A73" i="8"/>
  <c r="AE52" i="8"/>
  <c r="K31" i="8"/>
  <c r="K10" i="8"/>
  <c r="U52" i="8"/>
  <c r="AO10" i="8"/>
  <c r="K52" i="8"/>
  <c r="A31" i="8"/>
  <c r="AY35" i="4"/>
  <c r="CY54" i="5"/>
  <c r="AY54" i="5"/>
  <c r="DI54" i="5" s="1"/>
  <c r="AY51" i="4"/>
  <c r="AE13" i="5"/>
  <c r="CO13" i="5" s="1"/>
  <c r="AY30" i="5"/>
  <c r="CO71" i="5" s="1"/>
  <c r="CE71" i="5"/>
  <c r="AO55" i="6"/>
  <c r="AO30" i="6"/>
  <c r="U30" i="6"/>
  <c r="AE30" i="6"/>
  <c r="AY9" i="6"/>
  <c r="AY50" i="4"/>
  <c r="AE15" i="5"/>
  <c r="CO15" i="5" s="1"/>
  <c r="AY55" i="4"/>
  <c r="U35" i="6"/>
  <c r="AY14" i="6"/>
  <c r="AE35" i="6"/>
  <c r="AO35" i="6"/>
  <c r="AO47" i="4"/>
  <c r="AE47" i="5"/>
  <c r="A55" i="9"/>
  <c r="A76" i="9"/>
  <c r="K76" i="9" s="1"/>
  <c r="AO13" i="9"/>
  <c r="K55" i="9"/>
  <c r="A34" i="9"/>
  <c r="U13" i="9"/>
  <c r="AE55" i="9"/>
  <c r="U55" i="9"/>
  <c r="K13" i="9"/>
  <c r="K34" i="9"/>
  <c r="A47" i="9"/>
  <c r="A68" i="9"/>
  <c r="K68" i="9" s="1"/>
  <c r="A26" i="9"/>
  <c r="K5" i="9"/>
  <c r="K47" i="9"/>
  <c r="U5" i="9"/>
  <c r="AO5" i="9"/>
  <c r="A56" i="8"/>
  <c r="K56" i="8"/>
  <c r="U14" i="8"/>
  <c r="U56" i="8"/>
  <c r="A35" i="8"/>
  <c r="AO14" i="8"/>
  <c r="A77" i="8"/>
  <c r="K14" i="8"/>
  <c r="AE56" i="8"/>
  <c r="K35" i="8"/>
  <c r="A38" i="8"/>
  <c r="A80" i="8"/>
  <c r="K38" i="8"/>
  <c r="AE59" i="8"/>
  <c r="K17" i="8"/>
  <c r="A59" i="8"/>
  <c r="K59" i="8"/>
  <c r="U17" i="8"/>
  <c r="U59" i="8"/>
  <c r="AO17" i="8"/>
  <c r="AY51" i="5"/>
  <c r="DI51" i="5" s="1"/>
  <c r="CY51" i="5"/>
  <c r="CE76" i="5"/>
  <c r="AY35" i="5"/>
  <c r="CO76" i="5" s="1"/>
  <c r="A70" i="7"/>
  <c r="K70" i="7" s="1"/>
  <c r="K7" i="7"/>
  <c r="A28" i="7"/>
  <c r="AE49" i="7"/>
  <c r="K49" i="7"/>
  <c r="AO7" i="7"/>
  <c r="A49" i="7"/>
  <c r="U49" i="7"/>
  <c r="U7" i="7"/>
  <c r="K28" i="7"/>
  <c r="I97" i="10"/>
  <c r="K69" i="6"/>
  <c r="AE9" i="6"/>
  <c r="AE33" i="6"/>
  <c r="AO33" i="6"/>
  <c r="U33" i="6"/>
  <c r="AY12" i="6"/>
  <c r="A56" i="9"/>
  <c r="AE56" i="9"/>
  <c r="U56" i="9"/>
  <c r="K56" i="9"/>
  <c r="K14" i="9"/>
  <c r="A77" i="9"/>
  <c r="K77" i="9" s="1"/>
  <c r="A35" i="9"/>
  <c r="U14" i="9"/>
  <c r="AO14" i="9"/>
  <c r="K35" i="9"/>
  <c r="AY34" i="4"/>
  <c r="AY29" i="4"/>
  <c r="AY36" i="4"/>
  <c r="CE68" i="5"/>
  <c r="AY27" i="5"/>
  <c r="CO68" i="5" s="1"/>
  <c r="K47" i="8"/>
  <c r="A68" i="8"/>
  <c r="K5" i="8"/>
  <c r="A47" i="8"/>
  <c r="AO5" i="8"/>
  <c r="A26" i="8"/>
  <c r="U5" i="8"/>
  <c r="A34" i="8"/>
  <c r="K13" i="8"/>
  <c r="AE55" i="8"/>
  <c r="A55" i="8"/>
  <c r="K55" i="8"/>
  <c r="A76" i="8"/>
  <c r="U55" i="8"/>
  <c r="U13" i="8"/>
  <c r="K34" i="8"/>
  <c r="AO13" i="8"/>
  <c r="K74" i="6"/>
  <c r="I102" i="10"/>
  <c r="AO5" i="7"/>
  <c r="K47" i="7"/>
  <c r="A47" i="7"/>
  <c r="A26" i="7"/>
  <c r="A68" i="7"/>
  <c r="K68" i="7" s="1"/>
  <c r="U5" i="7"/>
  <c r="K5" i="7"/>
  <c r="A76" i="7"/>
  <c r="K76" i="7" s="1"/>
  <c r="U55" i="7"/>
  <c r="K13" i="7"/>
  <c r="A55" i="7"/>
  <c r="AE55" i="7"/>
  <c r="K34" i="7"/>
  <c r="AO13" i="7"/>
  <c r="U13" i="7"/>
  <c r="K55" i="7"/>
  <c r="A34" i="7"/>
  <c r="AE10" i="6"/>
  <c r="AO58" i="6"/>
  <c r="I98" i="10"/>
  <c r="K70" i="6"/>
  <c r="K77" i="6"/>
  <c r="I105" i="10"/>
  <c r="U28" i="6"/>
  <c r="AY7" i="6"/>
  <c r="AE28" i="6"/>
  <c r="AO28" i="6"/>
  <c r="AY56" i="4"/>
  <c r="A79" i="9"/>
  <c r="K79" i="9" s="1"/>
  <c r="A58" i="9"/>
  <c r="AE58" i="9"/>
  <c r="AO16" i="9"/>
  <c r="U16" i="9"/>
  <c r="K58" i="9"/>
  <c r="K16" i="9"/>
  <c r="U58" i="9"/>
  <c r="A37" i="9"/>
  <c r="K37" i="9"/>
  <c r="K79" i="6"/>
  <c r="I107" i="10"/>
  <c r="AE6" i="5"/>
  <c r="CO6" i="5" s="1"/>
  <c r="AE8" i="5"/>
  <c r="CO8" i="5" s="1"/>
  <c r="AO7" i="8"/>
  <c r="K7" i="8"/>
  <c r="U49" i="8"/>
  <c r="A49" i="8"/>
  <c r="A28" i="8"/>
  <c r="K28" i="8"/>
  <c r="AE49" i="8"/>
  <c r="A70" i="8"/>
  <c r="K49" i="8"/>
  <c r="U7" i="8"/>
  <c r="A60" i="8"/>
  <c r="A81" i="8"/>
  <c r="K60" i="8"/>
  <c r="AO60" i="8" s="1"/>
  <c r="A39" i="8"/>
  <c r="AE60" i="8"/>
  <c r="U18" i="8"/>
  <c r="K18" i="8"/>
  <c r="AO18" i="8"/>
  <c r="U60" i="8"/>
  <c r="K39" i="8"/>
  <c r="AY38" i="5"/>
  <c r="CO79" i="5" s="1"/>
  <c r="CE79" i="5"/>
  <c r="CY59" i="5"/>
  <c r="AY59" i="5"/>
  <c r="DI59" i="5" s="1"/>
  <c r="AY58" i="4"/>
  <c r="CY53" i="5"/>
  <c r="AY53" i="5"/>
  <c r="DI53" i="5" s="1"/>
  <c r="AE48" i="6"/>
  <c r="U48" i="6"/>
  <c r="AO48" i="6"/>
  <c r="AY37" i="4"/>
  <c r="CO36" i="5"/>
  <c r="U36" i="5"/>
  <c r="CY15" i="5" s="1"/>
  <c r="AE36" i="5"/>
  <c r="DI15" i="5" s="1"/>
  <c r="AO36" i="5"/>
  <c r="AY15" i="5"/>
  <c r="BU36" i="5" s="1"/>
  <c r="AE14" i="5"/>
  <c r="CO14" i="5" s="1"/>
  <c r="AY54" i="4"/>
  <c r="A58" i="7"/>
  <c r="A37" i="7"/>
  <c r="K16" i="7"/>
  <c r="AE58" i="7"/>
  <c r="K58" i="7"/>
  <c r="A79" i="7"/>
  <c r="K79" i="7" s="1"/>
  <c r="U16" i="7"/>
  <c r="U58" i="7"/>
  <c r="AO16" i="7"/>
  <c r="K37" i="7"/>
  <c r="U53" i="7"/>
  <c r="A74" i="7"/>
  <c r="K74" i="7" s="1"/>
  <c r="K53" i="7"/>
  <c r="AO11" i="7"/>
  <c r="U11" i="7"/>
  <c r="A53" i="7"/>
  <c r="AE53" i="7"/>
  <c r="K32" i="7"/>
  <c r="K11" i="7"/>
  <c r="A32" i="7"/>
  <c r="AE13" i="6"/>
  <c r="A71" i="9"/>
  <c r="K71" i="9" s="1"/>
  <c r="A29" i="9"/>
  <c r="U8" i="9"/>
  <c r="A50" i="9"/>
  <c r="U50" i="9"/>
  <c r="AO8" i="9"/>
  <c r="AE50" i="9"/>
  <c r="K29" i="9"/>
  <c r="K8" i="9"/>
  <c r="K50" i="9"/>
  <c r="A80" i="9"/>
  <c r="K80" i="9" s="1"/>
  <c r="K59" i="9"/>
  <c r="A38" i="9"/>
  <c r="A59" i="9"/>
  <c r="AO17" i="9"/>
  <c r="K17" i="9"/>
  <c r="K38" i="9"/>
  <c r="U17" i="9"/>
  <c r="AE59" i="9"/>
  <c r="U59" i="9"/>
  <c r="AY33" i="4"/>
  <c r="AO50" i="6"/>
  <c r="AE26" i="4"/>
  <c r="AO26" i="4"/>
  <c r="U26" i="4"/>
  <c r="AY5" i="4"/>
  <c r="K26" i="5"/>
  <c r="A71" i="8"/>
  <c r="U8" i="8"/>
  <c r="AE50" i="8"/>
  <c r="A29" i="8"/>
  <c r="K8" i="8"/>
  <c r="K29" i="8"/>
  <c r="A50" i="8"/>
  <c r="AO8" i="8"/>
  <c r="K50" i="8"/>
  <c r="U50" i="8"/>
  <c r="K32" i="8"/>
  <c r="AE53" i="8"/>
  <c r="K11" i="8"/>
  <c r="A74" i="8"/>
  <c r="AO11" i="8"/>
  <c r="U53" i="8"/>
  <c r="U11" i="8"/>
  <c r="K53" i="8"/>
  <c r="A53" i="8"/>
  <c r="A32" i="8"/>
  <c r="CE80" i="5"/>
  <c r="AY39" i="5"/>
  <c r="CO80" i="5" s="1"/>
  <c r="AE56" i="7"/>
  <c r="A56" i="7"/>
  <c r="K35" i="7"/>
  <c r="AO14" i="7"/>
  <c r="A77" i="7"/>
  <c r="K77" i="7" s="1"/>
  <c r="U56" i="7"/>
  <c r="K56" i="7"/>
  <c r="A35" i="7"/>
  <c r="U14" i="7"/>
  <c r="K14" i="7"/>
  <c r="DI37" i="5"/>
  <c r="AO58" i="5"/>
  <c r="CE69" i="5"/>
  <c r="AY28" i="5"/>
  <c r="CO69" i="5" s="1"/>
  <c r="AY53" i="4"/>
  <c r="AY60" i="4"/>
  <c r="AE17" i="6"/>
  <c r="AE60" i="7"/>
  <c r="K60" i="7"/>
  <c r="U60" i="7"/>
  <c r="A81" i="7"/>
  <c r="K81" i="7" s="1"/>
  <c r="K18" i="7"/>
  <c r="U18" i="7"/>
  <c r="K39" i="7"/>
  <c r="A39" i="7"/>
  <c r="A60" i="7"/>
  <c r="AO18" i="7"/>
  <c r="U10" i="7"/>
  <c r="AE52" i="7"/>
  <c r="A31" i="7"/>
  <c r="K10" i="7"/>
  <c r="AO10" i="7"/>
  <c r="K52" i="7"/>
  <c r="K31" i="7"/>
  <c r="A73" i="7"/>
  <c r="K73" i="7" s="1"/>
  <c r="U52" i="7"/>
  <c r="A52" i="7"/>
  <c r="AE12" i="5"/>
  <c r="CO12" i="5" s="1"/>
  <c r="AE12" i="6"/>
  <c r="AE7" i="6"/>
  <c r="AY57" i="4"/>
  <c r="AY31" i="4"/>
  <c r="AO59" i="6"/>
  <c r="AY38" i="4"/>
  <c r="AE10" i="5"/>
  <c r="CO10" i="5" s="1"/>
  <c r="I106" i="10"/>
  <c r="K78" i="6"/>
  <c r="K73" i="6"/>
  <c r="I101" i="10"/>
  <c r="AY59" i="4"/>
  <c r="AE27" i="6"/>
  <c r="AY6" i="6"/>
  <c r="AO27" i="6"/>
  <c r="U27" i="6"/>
  <c r="U47" i="5"/>
  <c r="CE47" i="5" s="1"/>
  <c r="A57" i="9"/>
  <c r="U57" i="9"/>
  <c r="A78" i="9"/>
  <c r="K78" i="9" s="1"/>
  <c r="K57" i="9"/>
  <c r="AE57" i="9"/>
  <c r="U15" i="9"/>
  <c r="K36" i="9"/>
  <c r="A36" i="9"/>
  <c r="K15" i="9"/>
  <c r="AO15" i="9"/>
  <c r="A69" i="9"/>
  <c r="K69" i="9" s="1"/>
  <c r="A48" i="9"/>
  <c r="K6" i="9"/>
  <c r="A27" i="9"/>
  <c r="U6" i="9"/>
  <c r="AO6" i="9"/>
  <c r="K48" i="9"/>
  <c r="K27" i="9"/>
  <c r="AY31" i="6"/>
  <c r="CY55" i="5"/>
  <c r="AY55" i="5"/>
  <c r="DI55" i="5" s="1"/>
  <c r="U37" i="6"/>
  <c r="AO37" i="6"/>
  <c r="AY16" i="6"/>
  <c r="AE37" i="6"/>
  <c r="A75" i="8"/>
  <c r="AE54" i="8"/>
  <c r="A54" i="8"/>
  <c r="AO12" i="8"/>
  <c r="U54" i="8"/>
  <c r="K33" i="8"/>
  <c r="U12" i="8"/>
  <c r="K12" i="8"/>
  <c r="A33" i="8"/>
  <c r="K54" i="8"/>
  <c r="A72" i="8"/>
  <c r="K30" i="8"/>
  <c r="A30" i="8"/>
  <c r="U51" i="8"/>
  <c r="K9" i="8"/>
  <c r="K51" i="8"/>
  <c r="AO9" i="8"/>
  <c r="U9" i="8"/>
  <c r="AE51" i="8"/>
  <c r="A51" i="8"/>
  <c r="AY50" i="5"/>
  <c r="DI50" i="5" s="1"/>
  <c r="CY50" i="5"/>
  <c r="AY38" i="6"/>
  <c r="CY56" i="5"/>
  <c r="AY56" i="5"/>
  <c r="DI56" i="5" s="1"/>
  <c r="AY56" i="6"/>
  <c r="A15" i="10"/>
  <c r="CO47" i="5" l="1"/>
  <c r="AO47" i="5"/>
  <c r="CE73" i="5"/>
  <c r="AY32" i="5"/>
  <c r="CO73" i="5" s="1"/>
  <c r="AE26" i="6"/>
  <c r="U26" i="6"/>
  <c r="AY5" i="6"/>
  <c r="AO26" i="6"/>
  <c r="AO51" i="8"/>
  <c r="U30" i="8"/>
  <c r="AY9" i="8"/>
  <c r="AO30" i="8"/>
  <c r="AE30" i="8"/>
  <c r="AO57" i="9"/>
  <c r="AY27" i="6"/>
  <c r="K71" i="8"/>
  <c r="A120" i="10"/>
  <c r="I120" i="10" s="1"/>
  <c r="AE37" i="9"/>
  <c r="AO37" i="9"/>
  <c r="U37" i="9"/>
  <c r="AY16" i="9"/>
  <c r="AO55" i="8"/>
  <c r="AO49" i="7"/>
  <c r="K77" i="8"/>
  <c r="A126" i="10"/>
  <c r="I126" i="10" s="1"/>
  <c r="AE47" i="9"/>
  <c r="U47" i="9"/>
  <c r="K73" i="8"/>
  <c r="A122" i="10"/>
  <c r="I122" i="10" s="1"/>
  <c r="AE18" i="9"/>
  <c r="AE6" i="7"/>
  <c r="AE15" i="8"/>
  <c r="AO57" i="8"/>
  <c r="AO49" i="9"/>
  <c r="AO57" i="7"/>
  <c r="AO54" i="7"/>
  <c r="AY52" i="6"/>
  <c r="A11" i="10"/>
  <c r="AY39" i="6"/>
  <c r="AE29" i="7"/>
  <c r="AO29" i="7"/>
  <c r="AY8" i="7"/>
  <c r="U29" i="7"/>
  <c r="AE17" i="7"/>
  <c r="U27" i="9"/>
  <c r="AY6" i="9"/>
  <c r="AO27" i="9"/>
  <c r="AE27" i="9"/>
  <c r="AO31" i="7"/>
  <c r="AE31" i="7"/>
  <c r="AY10" i="7"/>
  <c r="U31" i="7"/>
  <c r="AO60" i="7"/>
  <c r="AO56" i="7"/>
  <c r="K74" i="8"/>
  <c r="A123" i="10"/>
  <c r="I123" i="10" s="1"/>
  <c r="AY5" i="5"/>
  <c r="BU26" i="5" s="1"/>
  <c r="CO26" i="5"/>
  <c r="U26" i="5"/>
  <c r="CY5" i="5" s="1"/>
  <c r="AE26" i="5"/>
  <c r="DI5" i="5" s="1"/>
  <c r="AO26" i="5"/>
  <c r="AO38" i="9"/>
  <c r="U38" i="9"/>
  <c r="AY17" i="9"/>
  <c r="AE38" i="9"/>
  <c r="AO50" i="9"/>
  <c r="AY7" i="8"/>
  <c r="AE28" i="8"/>
  <c r="U28" i="8"/>
  <c r="AO28" i="8"/>
  <c r="AE5" i="7"/>
  <c r="K26" i="7"/>
  <c r="K26" i="9"/>
  <c r="AE5" i="9"/>
  <c r="K79" i="8"/>
  <c r="A128" i="10"/>
  <c r="I128" i="10" s="1"/>
  <c r="U39" i="9"/>
  <c r="AE39" i="9"/>
  <c r="AY18" i="9"/>
  <c r="AO39" i="9"/>
  <c r="AE11" i="9"/>
  <c r="AO48" i="7"/>
  <c r="U48" i="7"/>
  <c r="AE48" i="7"/>
  <c r="AE15" i="7"/>
  <c r="AY60" i="6"/>
  <c r="A19" i="10"/>
  <c r="AE12" i="9"/>
  <c r="AE8" i="7"/>
  <c r="AO50" i="7"/>
  <c r="K15" i="10"/>
  <c r="K72" i="8"/>
  <c r="A121" i="10"/>
  <c r="I121" i="10" s="1"/>
  <c r="AY37" i="6"/>
  <c r="AO48" i="9"/>
  <c r="AE48" i="9"/>
  <c r="U48" i="9"/>
  <c r="AO52" i="7"/>
  <c r="AE11" i="8"/>
  <c r="AE17" i="9"/>
  <c r="AE8" i="9"/>
  <c r="AY18" i="8"/>
  <c r="AO39" i="8"/>
  <c r="U39" i="8"/>
  <c r="AE39" i="8"/>
  <c r="A67" i="10"/>
  <c r="K67" i="10" s="1"/>
  <c r="AY60" i="8"/>
  <c r="A17" i="10"/>
  <c r="AY58" i="6"/>
  <c r="AE34" i="7"/>
  <c r="AY13" i="7"/>
  <c r="U34" i="7"/>
  <c r="AO34" i="7"/>
  <c r="AE5" i="8"/>
  <c r="K26" i="8"/>
  <c r="AE14" i="9"/>
  <c r="AY33" i="6"/>
  <c r="AY17" i="8"/>
  <c r="AO38" i="8"/>
  <c r="U38" i="8"/>
  <c r="AE38" i="8"/>
  <c r="AY30" i="6"/>
  <c r="AO52" i="8"/>
  <c r="U37" i="8"/>
  <c r="AE37" i="8"/>
  <c r="AY16" i="8"/>
  <c r="AO37" i="8"/>
  <c r="CE75" i="5"/>
  <c r="AY34" i="5"/>
  <c r="CO75" i="5" s="1"/>
  <c r="U27" i="7"/>
  <c r="AO27" i="7"/>
  <c r="AE27" i="7"/>
  <c r="AY6" i="7"/>
  <c r="AO48" i="8"/>
  <c r="AE48" i="8"/>
  <c r="U48" i="8"/>
  <c r="AY53" i="6"/>
  <c r="A12" i="10"/>
  <c r="U33" i="9"/>
  <c r="AY12" i="9"/>
  <c r="AE33" i="9"/>
  <c r="AO33" i="9"/>
  <c r="AE10" i="9"/>
  <c r="AO52" i="9"/>
  <c r="AE15" i="9"/>
  <c r="AO29" i="8"/>
  <c r="AE29" i="8"/>
  <c r="U29" i="8"/>
  <c r="AY8" i="8"/>
  <c r="U29" i="9"/>
  <c r="AE29" i="9"/>
  <c r="AY8" i="9"/>
  <c r="AO29" i="9"/>
  <c r="AO53" i="7"/>
  <c r="K81" i="8"/>
  <c r="A130" i="10"/>
  <c r="I130" i="10" s="1"/>
  <c r="AE16" i="9"/>
  <c r="AE13" i="8"/>
  <c r="A117" i="10"/>
  <c r="I117" i="10" s="1"/>
  <c r="K68" i="8"/>
  <c r="AO56" i="9"/>
  <c r="AY7" i="7"/>
  <c r="AO28" i="7"/>
  <c r="AE28" i="7"/>
  <c r="U28" i="7"/>
  <c r="AE7" i="7"/>
  <c r="A129" i="10"/>
  <c r="I129" i="10" s="1"/>
  <c r="K80" i="8"/>
  <c r="AY47" i="4"/>
  <c r="AO47" i="6"/>
  <c r="AY9" i="7"/>
  <c r="U30" i="7"/>
  <c r="AE30" i="7"/>
  <c r="AO30" i="7"/>
  <c r="A10" i="10"/>
  <c r="AY51" i="6"/>
  <c r="U33" i="7"/>
  <c r="AE33" i="7"/>
  <c r="AY12" i="7"/>
  <c r="AO33" i="7"/>
  <c r="AE12" i="7"/>
  <c r="AY57" i="6"/>
  <c r="A16" i="10"/>
  <c r="AY18" i="7"/>
  <c r="AE39" i="7"/>
  <c r="AO39" i="7"/>
  <c r="U39" i="7"/>
  <c r="CY58" i="5"/>
  <c r="AY58" i="5"/>
  <c r="DI58" i="5" s="1"/>
  <c r="AE32" i="8"/>
  <c r="U32" i="8"/>
  <c r="AO32" i="8"/>
  <c r="AY11" i="8"/>
  <c r="AE8" i="8"/>
  <c r="AY26" i="4"/>
  <c r="AO58" i="7"/>
  <c r="AO58" i="9"/>
  <c r="U34" i="8"/>
  <c r="AO34" i="8"/>
  <c r="AE34" i="8"/>
  <c r="AY13" i="8"/>
  <c r="AE47" i="8"/>
  <c r="U47" i="8"/>
  <c r="AO55" i="9"/>
  <c r="AY35" i="6"/>
  <c r="AO60" i="9"/>
  <c r="AE9" i="7"/>
  <c r="A8" i="10"/>
  <c r="AY49" i="6"/>
  <c r="AE6" i="8"/>
  <c r="U31" i="9"/>
  <c r="AE31" i="9"/>
  <c r="AY10" i="9"/>
  <c r="AO31" i="9"/>
  <c r="U38" i="7"/>
  <c r="AE38" i="7"/>
  <c r="AY17" i="7"/>
  <c r="AO38" i="7"/>
  <c r="AE12" i="8"/>
  <c r="A124" i="10"/>
  <c r="I124" i="10" s="1"/>
  <c r="K75" i="8"/>
  <c r="AE10" i="7"/>
  <c r="AO35" i="7"/>
  <c r="AY14" i="7"/>
  <c r="U35" i="7"/>
  <c r="AE35" i="7"/>
  <c r="AO53" i="8"/>
  <c r="AE11" i="7"/>
  <c r="AE18" i="8"/>
  <c r="AY28" i="6"/>
  <c r="AE13" i="7"/>
  <c r="AE35" i="9"/>
  <c r="U35" i="9"/>
  <c r="AO35" i="9"/>
  <c r="AY14" i="9"/>
  <c r="AO59" i="8"/>
  <c r="U35" i="8"/>
  <c r="AE35" i="8"/>
  <c r="AY14" i="8"/>
  <c r="AO35" i="8"/>
  <c r="AO56" i="8"/>
  <c r="A14" i="10"/>
  <c r="AY55" i="6"/>
  <c r="AE10" i="8"/>
  <c r="AO58" i="8"/>
  <c r="AY29" i="6"/>
  <c r="U30" i="9"/>
  <c r="AE30" i="9"/>
  <c r="AO30" i="9"/>
  <c r="AY9" i="9"/>
  <c r="AO51" i="9"/>
  <c r="A13" i="10"/>
  <c r="AY54" i="6"/>
  <c r="AO54" i="8"/>
  <c r="AE9" i="8"/>
  <c r="AO36" i="9"/>
  <c r="AE36" i="9"/>
  <c r="U36" i="9"/>
  <c r="AY15" i="9"/>
  <c r="AE6" i="9"/>
  <c r="AE18" i="7"/>
  <c r="AE14" i="7"/>
  <c r="AO59" i="9"/>
  <c r="AO32" i="7"/>
  <c r="AY11" i="7"/>
  <c r="U32" i="7"/>
  <c r="AE32" i="7"/>
  <c r="AE16" i="7"/>
  <c r="AY48" i="6"/>
  <c r="A7" i="10"/>
  <c r="AO49" i="8"/>
  <c r="AE7" i="8"/>
  <c r="AE47" i="7"/>
  <c r="U47" i="7"/>
  <c r="AE34" i="9"/>
  <c r="U34" i="9"/>
  <c r="AY13" i="9"/>
  <c r="AO34" i="9"/>
  <c r="U31" i="8"/>
  <c r="AY10" i="8"/>
  <c r="AO31" i="8"/>
  <c r="AE31" i="8"/>
  <c r="AE16" i="8"/>
  <c r="AO53" i="9"/>
  <c r="AO51" i="7"/>
  <c r="AE36" i="8"/>
  <c r="U36" i="8"/>
  <c r="AO36" i="8"/>
  <c r="AY15" i="8"/>
  <c r="AE28" i="9"/>
  <c r="AO28" i="9"/>
  <c r="U28" i="9"/>
  <c r="AY7" i="9"/>
  <c r="AY32" i="6"/>
  <c r="AE27" i="8"/>
  <c r="AY6" i="8"/>
  <c r="AO27" i="8"/>
  <c r="U27" i="8"/>
  <c r="AO54" i="9"/>
  <c r="AY12" i="8"/>
  <c r="U33" i="8"/>
  <c r="AE33" i="8"/>
  <c r="AO33" i="8"/>
  <c r="AY59" i="6"/>
  <c r="A18" i="10"/>
  <c r="AO50" i="8"/>
  <c r="A9" i="10"/>
  <c r="AY50" i="6"/>
  <c r="U37" i="7"/>
  <c r="AY16" i="7"/>
  <c r="AE37" i="7"/>
  <c r="AO37" i="7"/>
  <c r="CE77" i="5"/>
  <c r="AY36" i="5"/>
  <c r="CO77" i="5" s="1"/>
  <c r="K70" i="8"/>
  <c r="A119" i="10"/>
  <c r="I119" i="10" s="1"/>
  <c r="AO55" i="7"/>
  <c r="K76" i="8"/>
  <c r="A125" i="10"/>
  <c r="I125" i="10" s="1"/>
  <c r="AE17" i="8"/>
  <c r="AE14" i="8"/>
  <c r="AE13" i="9"/>
  <c r="AE32" i="9"/>
  <c r="U32" i="9"/>
  <c r="AY11" i="9"/>
  <c r="AO32" i="9"/>
  <c r="K78" i="8"/>
  <c r="A127" i="10"/>
  <c r="I127" i="10" s="1"/>
  <c r="AE9" i="9"/>
  <c r="AE7" i="9"/>
  <c r="AY15" i="7"/>
  <c r="AE36" i="7"/>
  <c r="U36" i="7"/>
  <c r="AO36" i="7"/>
  <c r="K69" i="8"/>
  <c r="A118" i="10"/>
  <c r="I118" i="10" s="1"/>
  <c r="AO59" i="7"/>
  <c r="CY47" i="5" l="1"/>
  <c r="AY47" i="5"/>
  <c r="DI47" i="5" s="1"/>
  <c r="AC8" i="12"/>
  <c r="AB8" i="12"/>
  <c r="AF8" i="12"/>
  <c r="AD8" i="12"/>
  <c r="AE8" i="12"/>
  <c r="AY26" i="6"/>
  <c r="AY27" i="8"/>
  <c r="AY28" i="9"/>
  <c r="A33" i="10"/>
  <c r="AY51" i="7"/>
  <c r="A30" i="10"/>
  <c r="K7" i="10"/>
  <c r="AY51" i="9"/>
  <c r="A78" i="10"/>
  <c r="K78" i="10" s="1"/>
  <c r="AY31" i="9"/>
  <c r="AY55" i="9"/>
  <c r="A82" i="10"/>
  <c r="K82" i="10" s="1"/>
  <c r="AY34" i="8"/>
  <c r="AY32" i="8"/>
  <c r="AY56" i="9"/>
  <c r="A83" i="10"/>
  <c r="K83" i="10" s="1"/>
  <c r="K12" i="10"/>
  <c r="AY5" i="7"/>
  <c r="AE26" i="7"/>
  <c r="U26" i="7"/>
  <c r="AO26" i="7"/>
  <c r="A77" i="10"/>
  <c r="K77" i="10" s="1"/>
  <c r="AY50" i="9"/>
  <c r="AY60" i="7"/>
  <c r="A42" i="10"/>
  <c r="AY27" i="9"/>
  <c r="AY57" i="9"/>
  <c r="A84" i="10"/>
  <c r="K84" i="10" s="1"/>
  <c r="AY58" i="8"/>
  <c r="A65" i="10"/>
  <c r="K65" i="10" s="1"/>
  <c r="A63" i="10"/>
  <c r="K63" i="10" s="1"/>
  <c r="AY56" i="8"/>
  <c r="K16" i="10"/>
  <c r="K10" i="10"/>
  <c r="A6" i="10"/>
  <c r="AY47" i="6"/>
  <c r="AY33" i="9"/>
  <c r="AY34" i="7"/>
  <c r="AY29" i="7"/>
  <c r="AY54" i="7"/>
  <c r="A36" i="10"/>
  <c r="A64" i="10"/>
  <c r="K64" i="10" s="1"/>
  <c r="AY57" i="8"/>
  <c r="AY55" i="8"/>
  <c r="A62" i="10"/>
  <c r="K62" i="10" s="1"/>
  <c r="AO47" i="7"/>
  <c r="AY32" i="9"/>
  <c r="A80" i="10"/>
  <c r="K80" i="10" s="1"/>
  <c r="AY53" i="9"/>
  <c r="AY35" i="8"/>
  <c r="AY35" i="9"/>
  <c r="AY29" i="8"/>
  <c r="A59" i="10"/>
  <c r="K59" i="10" s="1"/>
  <c r="AY52" i="8"/>
  <c r="AY52" i="7"/>
  <c r="A34" i="10"/>
  <c r="AY48" i="7"/>
  <c r="AY30" i="8"/>
  <c r="AY34" i="9"/>
  <c r="AY59" i="9"/>
  <c r="A86" i="10"/>
  <c r="K86" i="10" s="1"/>
  <c r="A61" i="10"/>
  <c r="K61" i="10" s="1"/>
  <c r="AY54" i="8"/>
  <c r="AY30" i="9"/>
  <c r="AY35" i="7"/>
  <c r="AY38" i="7"/>
  <c r="A85" i="10"/>
  <c r="K85" i="10" s="1"/>
  <c r="AY58" i="9"/>
  <c r="AY48" i="8"/>
  <c r="AY28" i="8"/>
  <c r="AY57" i="7"/>
  <c r="A39" i="10"/>
  <c r="AY36" i="8"/>
  <c r="A87" i="10"/>
  <c r="K87" i="10" s="1"/>
  <c r="AY60" i="9"/>
  <c r="AY33" i="7"/>
  <c r="AY30" i="7"/>
  <c r="AO47" i="9"/>
  <c r="A56" i="10"/>
  <c r="AY49" i="8"/>
  <c r="K13" i="10"/>
  <c r="K14" i="10"/>
  <c r="AO47" i="8"/>
  <c r="AY28" i="7"/>
  <c r="AY52" i="9"/>
  <c r="A79" i="10"/>
  <c r="K79" i="10" s="1"/>
  <c r="AY37" i="8"/>
  <c r="A32" i="10"/>
  <c r="AY50" i="7"/>
  <c r="K19" i="10"/>
  <c r="A37" i="10"/>
  <c r="AY55" i="7"/>
  <c r="K18" i="10"/>
  <c r="AY54" i="9"/>
  <c r="A81" i="10"/>
  <c r="K81" i="10" s="1"/>
  <c r="AY33" i="8"/>
  <c r="AY53" i="8"/>
  <c r="A60" i="10"/>
  <c r="K60" i="10" s="1"/>
  <c r="A40" i="10"/>
  <c r="AY58" i="7"/>
  <c r="A35" i="10"/>
  <c r="AY53" i="7"/>
  <c r="AE26" i="8"/>
  <c r="AY5" i="8"/>
  <c r="U26" i="8"/>
  <c r="AO26" i="8"/>
  <c r="K17" i="10"/>
  <c r="AY39" i="8"/>
  <c r="A75" i="10"/>
  <c r="AY48" i="9"/>
  <c r="AY39" i="9"/>
  <c r="U26" i="9"/>
  <c r="AO26" i="9"/>
  <c r="AE26" i="9"/>
  <c r="AY5" i="9"/>
  <c r="AY38" i="9"/>
  <c r="A38" i="10"/>
  <c r="AY56" i="7"/>
  <c r="AY31" i="7"/>
  <c r="A76" i="10"/>
  <c r="AY49" i="9"/>
  <c r="A57" i="10"/>
  <c r="K57" i="10" s="1"/>
  <c r="AY50" i="8"/>
  <c r="A41" i="10"/>
  <c r="AY59" i="7"/>
  <c r="AY36" i="7"/>
  <c r="AY37" i="7"/>
  <c r="K9" i="10"/>
  <c r="AY31" i="8"/>
  <c r="AY32" i="7"/>
  <c r="AY36" i="9"/>
  <c r="A66" i="10"/>
  <c r="K66" i="10" s="1"/>
  <c r="AY59" i="8"/>
  <c r="K8" i="10"/>
  <c r="AY39" i="7"/>
  <c r="AY29" i="9"/>
  <c r="AY27" i="7"/>
  <c r="AY38" i="8"/>
  <c r="CE67" i="5"/>
  <c r="AY26" i="5"/>
  <c r="CO67" i="5" s="1"/>
  <c r="K11" i="10"/>
  <c r="A31" i="10"/>
  <c r="AY49" i="7"/>
  <c r="AY37" i="9"/>
  <c r="AY51" i="8"/>
  <c r="A58" i="10"/>
  <c r="K58" i="10" s="1"/>
  <c r="K56" i="10" l="1"/>
  <c r="AF24" i="12" s="1"/>
  <c r="AU59" i="12" s="1"/>
  <c r="AB10" i="12"/>
  <c r="AE10" i="12"/>
  <c r="AD10" i="12"/>
  <c r="AC10" i="12"/>
  <c r="AF10" i="12"/>
  <c r="AF9" i="12"/>
  <c r="AD9" i="12"/>
  <c r="AC9" i="12"/>
  <c r="AE9" i="12"/>
  <c r="AB9" i="12"/>
  <c r="K76" i="10"/>
  <c r="AE11" i="12"/>
  <c r="AC11" i="12"/>
  <c r="AB11" i="12"/>
  <c r="AF11" i="12"/>
  <c r="AD11" i="12"/>
  <c r="AD22" i="12"/>
  <c r="AB22" i="12"/>
  <c r="AM71" i="12" s="1"/>
  <c r="AC22" i="12"/>
  <c r="AM89" i="12" s="1"/>
  <c r="AF22" i="12"/>
  <c r="AU51" i="12" s="1"/>
  <c r="AE22" i="12"/>
  <c r="AS51" i="12" s="1"/>
  <c r="AH8" i="12"/>
  <c r="AG8" i="12"/>
  <c r="A55" i="10"/>
  <c r="K30" i="10"/>
  <c r="K55" i="10" s="1"/>
  <c r="K35" i="10"/>
  <c r="K33" i="10"/>
  <c r="AY26" i="8"/>
  <c r="K32" i="10"/>
  <c r="K75" i="10"/>
  <c r="K42" i="10"/>
  <c r="K40" i="10"/>
  <c r="A74" i="10"/>
  <c r="AY47" i="9"/>
  <c r="K37" i="10"/>
  <c r="K34" i="10"/>
  <c r="A29" i="10"/>
  <c r="AY47" i="7"/>
  <c r="K41" i="10"/>
  <c r="AY26" i="9"/>
  <c r="K31" i="10"/>
  <c r="K38" i="10"/>
  <c r="AY47" i="8"/>
  <c r="A54" i="10"/>
  <c r="K39" i="10"/>
  <c r="K36" i="10"/>
  <c r="K6" i="10"/>
  <c r="AY26" i="7"/>
  <c r="AB24" i="12" l="1"/>
  <c r="AM79" i="12" s="1"/>
  <c r="AD24" i="12"/>
  <c r="AM114" i="12" s="1"/>
  <c r="AC24" i="12"/>
  <c r="AM97" i="12" s="1"/>
  <c r="AE24" i="12"/>
  <c r="AS59" i="12" s="1"/>
  <c r="AH10" i="12"/>
  <c r="AG10" i="12"/>
  <c r="AG9" i="12"/>
  <c r="AH9" i="12"/>
  <c r="AG11" i="12"/>
  <c r="AH11" i="12"/>
  <c r="AC25" i="12"/>
  <c r="AB25" i="12"/>
  <c r="AM83" i="12" s="1"/>
  <c r="AE25" i="12"/>
  <c r="AS63" i="12" s="1"/>
  <c r="AD25" i="12"/>
  <c r="AF25" i="12"/>
  <c r="AU63" i="12" s="1"/>
  <c r="AH22" i="12"/>
  <c r="AM106" i="12"/>
  <c r="AE23" i="12"/>
  <c r="AF23" i="12"/>
  <c r="AD23" i="12"/>
  <c r="AM110" i="12" s="1"/>
  <c r="AC23" i="12"/>
  <c r="AM93" i="12" s="1"/>
  <c r="AB23" i="12"/>
  <c r="AM75" i="12" s="1"/>
  <c r="K54" i="10"/>
  <c r="K74" i="10"/>
  <c r="K29" i="10"/>
  <c r="B6" i="5"/>
  <c r="BL6" i="5" s="1"/>
  <c r="B6" i="6"/>
  <c r="E6" i="6"/>
  <c r="F6" i="6"/>
  <c r="B6" i="8" a="1"/>
  <c r="D6" i="6"/>
  <c r="E6" i="5"/>
  <c r="BO6" i="5" s="1"/>
  <c r="B6" i="9" a="1"/>
  <c r="D6" i="5"/>
  <c r="BN6" i="5" s="1"/>
  <c r="C6" i="5"/>
  <c r="C6" i="6"/>
  <c r="F6" i="5"/>
  <c r="BP6" i="5" s="1"/>
  <c r="B6" i="7" a="1"/>
  <c r="AH24" i="12" l="1"/>
  <c r="AG24" i="12"/>
  <c r="AH25" i="12"/>
  <c r="AQ63" i="12"/>
  <c r="AM101" i="12"/>
  <c r="AG25" i="12"/>
  <c r="S55" i="12" a="1"/>
  <c r="V55" i="12" s="1"/>
  <c r="AU55" i="12"/>
  <c r="S53" i="12" a="1"/>
  <c r="S53" i="12" s="1"/>
  <c r="AS55" i="12"/>
  <c r="S47" i="12" a="1"/>
  <c r="S47" i="12" s="1"/>
  <c r="AG23" i="12"/>
  <c r="S49" i="12" a="1"/>
  <c r="AH23" i="12"/>
  <c r="S51" i="12" a="1"/>
  <c r="H6" i="6"/>
  <c r="G6" i="6"/>
  <c r="E6" i="7"/>
  <c r="C6" i="7"/>
  <c r="F6" i="7"/>
  <c r="B6" i="7"/>
  <c r="D6" i="7"/>
  <c r="H6" i="5"/>
  <c r="BR6" i="5" s="1"/>
  <c r="BM6" i="5"/>
  <c r="G6" i="5"/>
  <c r="BQ6" i="5" s="1"/>
  <c r="C6" i="8"/>
  <c r="D6" i="8"/>
  <c r="E6" i="8"/>
  <c r="B6" i="8"/>
  <c r="F6" i="8"/>
  <c r="C6" i="9"/>
  <c r="B6" i="9"/>
  <c r="D6" i="9"/>
  <c r="F6" i="9"/>
  <c r="E6" i="9"/>
  <c r="U55" i="12" l="1"/>
  <c r="T55" i="12"/>
  <c r="S55" i="12"/>
  <c r="T53" i="12"/>
  <c r="U53" i="12"/>
  <c r="U47" i="12"/>
  <c r="V53" i="12"/>
  <c r="V47" i="12"/>
  <c r="T47" i="12"/>
  <c r="V49" i="12"/>
  <c r="S49" i="12"/>
  <c r="U49" i="12"/>
  <c r="T49" i="12"/>
  <c r="T51" i="12"/>
  <c r="U51" i="12"/>
  <c r="V51" i="12"/>
  <c r="S51" i="12"/>
  <c r="H6" i="7"/>
  <c r="G6" i="7"/>
  <c r="H6" i="9"/>
  <c r="G6" i="9"/>
  <c r="G6" i="8"/>
  <c r="H6" i="8"/>
  <c r="B27" i="5"/>
  <c r="CF27" i="5" s="1"/>
  <c r="B27" i="6"/>
  <c r="D27" i="6"/>
  <c r="B27" i="8" a="1"/>
  <c r="E27" i="6"/>
  <c r="F27" i="6"/>
  <c r="E27" i="5"/>
  <c r="CI27" i="5"/>
  <c r="C27" i="6"/>
  <c r="F27" i="5"/>
  <c r="CJ27" i="5" s="1"/>
  <c r="D27" i="5"/>
  <c r="CH27" i="5" s="1"/>
  <c r="B27" i="9" a="1"/>
  <c r="C27" i="5"/>
  <c r="CG27" i="5" s="1"/>
  <c r="B27" i="7" a="1"/>
  <c r="H27" i="6" l="1"/>
  <c r="G27" i="6"/>
  <c r="H27" i="5"/>
  <c r="CL27" i="5" s="1"/>
  <c r="C27" i="7"/>
  <c r="D27" i="7"/>
  <c r="F27" i="7"/>
  <c r="B27" i="7"/>
  <c r="E27" i="7"/>
  <c r="C27" i="9"/>
  <c r="B27" i="9"/>
  <c r="D27" i="9"/>
  <c r="E27" i="9"/>
  <c r="F27" i="9"/>
  <c r="G27" i="5"/>
  <c r="CK27" i="5" s="1"/>
  <c r="E27" i="8"/>
  <c r="D27" i="8"/>
  <c r="C27" i="8"/>
  <c r="B27" i="8"/>
  <c r="F27" i="8"/>
  <c r="CB3" i="1" l="1"/>
  <c r="H27" i="7"/>
  <c r="G27" i="7"/>
  <c r="H27" i="9"/>
  <c r="G27" i="9"/>
  <c r="G27" i="8"/>
  <c r="H27" i="8"/>
  <c r="E48" i="5"/>
  <c r="DC27" i="5" s="1"/>
  <c r="D48" i="5"/>
  <c r="DB27" i="5" s="1"/>
  <c r="C48" i="6"/>
  <c r="C48" i="5"/>
  <c r="DA27" i="5" s="1"/>
  <c r="B48" i="5"/>
  <c r="CZ27" i="5" s="1"/>
  <c r="F48" i="5"/>
  <c r="DD27" i="5" s="1"/>
  <c r="F48" i="6"/>
  <c r="D48" i="6"/>
  <c r="B48" i="9" a="1"/>
  <c r="B48" i="6"/>
  <c r="B48" i="8" a="1"/>
  <c r="E48" i="6"/>
  <c r="B48" i="7" a="1"/>
  <c r="H48" i="6" l="1"/>
  <c r="G48" i="6"/>
  <c r="G48" i="5"/>
  <c r="DE27" i="5" s="1"/>
  <c r="H48" i="5"/>
  <c r="DF27" i="5" s="1"/>
  <c r="B48" i="7"/>
  <c r="E48" i="7"/>
  <c r="D48" i="7"/>
  <c r="C48" i="7"/>
  <c r="F48" i="7"/>
  <c r="E48" i="9"/>
  <c r="D48" i="9"/>
  <c r="B48" i="9"/>
  <c r="C48" i="9"/>
  <c r="F48" i="8"/>
  <c r="C48" i="8"/>
  <c r="E48" i="8"/>
  <c r="D48" i="8"/>
  <c r="B48" i="8"/>
  <c r="F48" i="9"/>
  <c r="H48" i="9" l="1"/>
  <c r="G48" i="9"/>
  <c r="H48" i="7"/>
  <c r="G48" i="7"/>
  <c r="G48" i="8"/>
  <c r="H48" i="8"/>
  <c r="L48" i="6"/>
  <c r="N48" i="6"/>
  <c r="O48" i="5"/>
  <c r="DM27" i="5" s="1"/>
  <c r="O48" i="6"/>
  <c r="L48" i="5"/>
  <c r="DJ27" i="5"/>
  <c r="P48" i="6"/>
  <c r="M48" i="5"/>
  <c r="DK27" i="5" s="1"/>
  <c r="N48" i="5"/>
  <c r="DL27" i="5" s="1"/>
  <c r="L48" i="7" a="1"/>
  <c r="L48" i="8" a="1"/>
  <c r="L48" i="9" a="1"/>
  <c r="P48" i="5"/>
  <c r="DN27" i="5" s="1"/>
  <c r="M48" i="6"/>
  <c r="Q48" i="5" l="1"/>
  <c r="DO27" i="5" s="1"/>
  <c r="R48" i="5"/>
  <c r="DP27" i="5" s="1"/>
  <c r="R48" i="6"/>
  <c r="Q48" i="6"/>
  <c r="P48" i="9"/>
  <c r="O48" i="9"/>
  <c r="L48" i="9"/>
  <c r="N48" i="9"/>
  <c r="M48" i="9"/>
  <c r="L48" i="8"/>
  <c r="O48" i="8"/>
  <c r="P48" i="8"/>
  <c r="M48" i="8"/>
  <c r="N48" i="8"/>
  <c r="L48" i="7"/>
  <c r="M48" i="7"/>
  <c r="O48" i="7"/>
  <c r="N48" i="7"/>
  <c r="P48" i="7"/>
  <c r="R48" i="7" l="1"/>
  <c r="Q48" i="7"/>
  <c r="R48" i="8"/>
  <c r="Q48" i="8"/>
  <c r="R48" i="9"/>
  <c r="Q48" i="9"/>
  <c r="M27" i="6"/>
  <c r="L27" i="5"/>
  <c r="CP27" i="5" s="1"/>
  <c r="O27" i="6"/>
  <c r="P27" i="6"/>
  <c r="L27" i="6"/>
  <c r="L27" i="8" a="1"/>
  <c r="M27" i="8" s="1"/>
  <c r="L27" i="9" a="1"/>
  <c r="L27" i="9" s="1"/>
  <c r="O27" i="5"/>
  <c r="CS27" i="5" s="1"/>
  <c r="M27" i="5"/>
  <c r="CQ27" i="5" s="1"/>
  <c r="L27" i="7" a="1"/>
  <c r="N27" i="7" s="1"/>
  <c r="N27" i="6"/>
  <c r="N27" i="5"/>
  <c r="CR27" i="5" s="1"/>
  <c r="P27" i="5"/>
  <c r="CT27" i="5" s="1"/>
  <c r="P27" i="9" l="1"/>
  <c r="R27" i="5"/>
  <c r="CV27" i="5" s="1"/>
  <c r="O27" i="8"/>
  <c r="R27" i="6"/>
  <c r="Q27" i="6"/>
  <c r="N27" i="8"/>
  <c r="R27" i="8" s="1"/>
  <c r="P27" i="8"/>
  <c r="Q27" i="5"/>
  <c r="CU27" i="5" s="1"/>
  <c r="L27" i="8"/>
  <c r="M27" i="7"/>
  <c r="O27" i="7"/>
  <c r="L27" i="7"/>
  <c r="P27" i="7"/>
  <c r="M27" i="9"/>
  <c r="N27" i="9"/>
  <c r="O27" i="9"/>
  <c r="Q27" i="8" l="1"/>
  <c r="R27" i="9"/>
  <c r="Q27" i="9"/>
  <c r="R27" i="7"/>
  <c r="Q27" i="7"/>
  <c r="O6" i="5" l="1"/>
  <c r="BY6" i="5" s="1"/>
  <c r="L6" i="6"/>
  <c r="M6" i="6"/>
  <c r="L6" i="5"/>
  <c r="BV6" i="5" s="1"/>
  <c r="Q6" i="6"/>
  <c r="P6" i="6"/>
  <c r="P6" i="5"/>
  <c r="BZ6" i="5"/>
  <c r="O6" i="6"/>
  <c r="M6" i="5"/>
  <c r="L6" i="8" a="1"/>
  <c r="R6" i="6"/>
  <c r="N6" i="6"/>
  <c r="L6" i="9" a="1"/>
  <c r="N6" i="5"/>
  <c r="BX6" i="5" s="1"/>
  <c r="L6" i="7" a="1"/>
  <c r="R6" i="5" l="1"/>
  <c r="CB6" i="5" s="1"/>
  <c r="N6" i="7"/>
  <c r="L6" i="7"/>
  <c r="R6" i="7"/>
  <c r="Q6" i="7"/>
  <c r="O6" i="7"/>
  <c r="P6" i="7"/>
  <c r="M6" i="7"/>
  <c r="L6" i="8"/>
  <c r="M6" i="8"/>
  <c r="O6" i="8"/>
  <c r="R6" i="8"/>
  <c r="Q6" i="8"/>
  <c r="P6" i="8"/>
  <c r="N6" i="8"/>
  <c r="BW6" i="5"/>
  <c r="Q6" i="5"/>
  <c r="CA6" i="5" s="1"/>
  <c r="N6" i="9"/>
  <c r="P6" i="9"/>
  <c r="Q6" i="9"/>
  <c r="M6" i="9"/>
  <c r="L6" i="9"/>
  <c r="O6" i="9"/>
  <c r="R6" i="9"/>
  <c r="Y6" i="5"/>
  <c r="CI6" i="5" s="1"/>
  <c r="W6" i="5"/>
  <c r="Y6" i="6"/>
  <c r="X6" i="5"/>
  <c r="X6" i="6"/>
  <c r="V6" i="6"/>
  <c r="V6" i="7" a="1"/>
  <c r="Y6" i="7" s="1"/>
  <c r="V6" i="8" a="1"/>
  <c r="Z6" i="5"/>
  <c r="CJ6" i="5" s="1"/>
  <c r="W6" i="6"/>
  <c r="V6" i="9" a="1"/>
  <c r="V6" i="5"/>
  <c r="CF6" i="5" s="1"/>
  <c r="Z6" i="6"/>
  <c r="AB6" i="5" l="1"/>
  <c r="CL6" i="5" s="1"/>
  <c r="AB6" i="6"/>
  <c r="AA6" i="6"/>
  <c r="X6" i="9"/>
  <c r="Z6" i="9"/>
  <c r="Y6" i="9"/>
  <c r="V6" i="9"/>
  <c r="W6" i="9"/>
  <c r="X6" i="8"/>
  <c r="V6" i="8"/>
  <c r="Y6" i="8"/>
  <c r="W6" i="8"/>
  <c r="Z6" i="8"/>
  <c r="AA6" i="5"/>
  <c r="CK6" i="5" s="1"/>
  <c r="CH6" i="5"/>
  <c r="CG6" i="5"/>
  <c r="X6" i="7"/>
  <c r="Z6" i="7"/>
  <c r="V6" i="7"/>
  <c r="W6" i="7"/>
  <c r="AB6" i="8" l="1"/>
  <c r="AA6" i="8"/>
  <c r="AB6" i="9"/>
  <c r="AA6" i="9"/>
  <c r="AB6" i="7"/>
  <c r="AA6" i="7"/>
  <c r="V27" i="6"/>
  <c r="X27" i="6"/>
  <c r="W27" i="5"/>
  <c r="Y27" i="6"/>
  <c r="Z27" i="5"/>
  <c r="DD6" i="5" s="1"/>
  <c r="W27" i="6"/>
  <c r="Y27" i="5"/>
  <c r="DC6" i="5" s="1"/>
  <c r="Z27" i="6"/>
  <c r="V27" i="8" a="1"/>
  <c r="X27" i="5"/>
  <c r="DB6" i="5" s="1"/>
  <c r="V27" i="9" a="1"/>
  <c r="V27" i="5"/>
  <c r="CZ6" i="5" s="1"/>
  <c r="V27" i="7" a="1"/>
  <c r="AB27" i="6" l="1"/>
  <c r="AA27" i="6"/>
  <c r="X27" i="7"/>
  <c r="W27" i="7"/>
  <c r="Y27" i="7"/>
  <c r="Z27" i="7"/>
  <c r="V27" i="7"/>
  <c r="Y27" i="8"/>
  <c r="W27" i="8"/>
  <c r="V27" i="8"/>
  <c r="Z27" i="8"/>
  <c r="X27" i="8"/>
  <c r="DA6" i="5"/>
  <c r="AB27" i="5"/>
  <c r="DF6" i="5" s="1"/>
  <c r="Z27" i="9"/>
  <c r="W27" i="9"/>
  <c r="Y27" i="9"/>
  <c r="V27" i="9"/>
  <c r="X27" i="9"/>
  <c r="AA27" i="5"/>
  <c r="DE6" i="5" s="1"/>
  <c r="AB27" i="9" l="1"/>
  <c r="AA27" i="9"/>
  <c r="AB27" i="7"/>
  <c r="AA27" i="7"/>
  <c r="AB27" i="8"/>
  <c r="AA27" i="8"/>
  <c r="V48" i="6"/>
  <c r="Z48" i="5"/>
  <c r="CJ48" i="5" s="1"/>
  <c r="X48" i="6"/>
  <c r="X48" i="5"/>
  <c r="CH48" i="5" s="1"/>
  <c r="Z48" i="6"/>
  <c r="V48" i="5"/>
  <c r="CF48" i="5" s="1"/>
  <c r="Y48" i="5"/>
  <c r="CI48" i="5" s="1"/>
  <c r="Y48" i="6"/>
  <c r="V48" i="9" a="1"/>
  <c r="V48" i="9" s="1"/>
  <c r="V48" i="8" a="1"/>
  <c r="W48" i="5"/>
  <c r="CG48" i="5" s="1"/>
  <c r="V48" i="7" a="1"/>
  <c r="Y48" i="7" s="1"/>
  <c r="W48" i="6"/>
  <c r="AA48" i="5" l="1"/>
  <c r="CK48" i="5" s="1"/>
  <c r="AB48" i="6"/>
  <c r="AA48" i="6"/>
  <c r="W48" i="8"/>
  <c r="V48" i="8"/>
  <c r="Y48" i="8"/>
  <c r="X48" i="8"/>
  <c r="Z48" i="8"/>
  <c r="AB48" i="5"/>
  <c r="CL48" i="5" s="1"/>
  <c r="Z48" i="9"/>
  <c r="Z48" i="7"/>
  <c r="X48" i="9"/>
  <c r="X48" i="7"/>
  <c r="Y48" i="9"/>
  <c r="W48" i="7"/>
  <c r="W48" i="9"/>
  <c r="V48" i="7"/>
  <c r="AB48" i="8" l="1"/>
  <c r="AA48" i="8"/>
  <c r="AB48" i="9"/>
  <c r="AA48" i="9"/>
  <c r="AB48" i="7"/>
  <c r="AA48" i="7"/>
  <c r="AF48" i="9"/>
  <c r="AF48" i="6"/>
  <c r="AH48" i="6"/>
  <c r="AF48" i="5"/>
  <c r="CP48" i="5" s="1"/>
  <c r="AF48" i="8" a="1"/>
  <c r="AI48" i="8" s="1"/>
  <c r="AF48" i="9" a="1"/>
  <c r="AH48" i="9" s="1"/>
  <c r="AF48" i="7" a="1"/>
  <c r="AJ48" i="7" s="1"/>
  <c r="AG48" i="6"/>
  <c r="AG48" i="5"/>
  <c r="AJ48" i="6"/>
  <c r="AH48" i="5"/>
  <c r="CR48" i="5" s="1"/>
  <c r="AI48" i="6"/>
  <c r="AI48" i="5"/>
  <c r="CS48" i="5" s="1"/>
  <c r="AJ48" i="5"/>
  <c r="CT48" i="5" s="1"/>
  <c r="AI48" i="7" l="1"/>
  <c r="AJ48" i="8"/>
  <c r="AK48" i="5"/>
  <c r="CU48" i="5" s="1"/>
  <c r="AL48" i="6"/>
  <c r="AK48" i="6"/>
  <c r="AL48" i="5"/>
  <c r="CV48" i="5" s="1"/>
  <c r="CQ48" i="5"/>
  <c r="AG48" i="8"/>
  <c r="AG48" i="9"/>
  <c r="AF48" i="7"/>
  <c r="AI48" i="9"/>
  <c r="AF48" i="8"/>
  <c r="AH48" i="8"/>
  <c r="AH48" i="7"/>
  <c r="AJ48" i="9"/>
  <c r="AG48" i="7"/>
  <c r="AL48" i="7" l="1"/>
  <c r="AK48" i="7"/>
  <c r="AL48" i="9"/>
  <c r="AK48" i="9"/>
  <c r="AL48" i="8"/>
  <c r="AK48" i="8"/>
  <c r="AF27" i="5"/>
  <c r="DJ6" i="5"/>
  <c r="AG27" i="6"/>
  <c r="AJ27" i="5"/>
  <c r="DN6" i="5" s="1"/>
  <c r="AF27" i="6"/>
  <c r="AJ27" i="6"/>
  <c r="AI27" i="5"/>
  <c r="DM6" i="5" s="1"/>
  <c r="AI27" i="6"/>
  <c r="AG27" i="5"/>
  <c r="AH27" i="6"/>
  <c r="AF27" i="9" a="1"/>
  <c r="AJ27" i="9" s="1"/>
  <c r="AH27" i="5"/>
  <c r="DL6" i="5" s="1"/>
  <c r="AF27" i="8" a="1"/>
  <c r="AH27" i="8" s="1"/>
  <c r="AF27" i="7" a="1"/>
  <c r="AJ27" i="7" s="1"/>
  <c r="AL27" i="6" l="1"/>
  <c r="AK27" i="6"/>
  <c r="AK27" i="5"/>
  <c r="DO6" i="5" s="1"/>
  <c r="DK6" i="5"/>
  <c r="AF27" i="8"/>
  <c r="AH27" i="7"/>
  <c r="AL27" i="5"/>
  <c r="DP6" i="5" s="1"/>
  <c r="AG27" i="8"/>
  <c r="AF27" i="7"/>
  <c r="AI27" i="8"/>
  <c r="AI27" i="7"/>
  <c r="AH27" i="9"/>
  <c r="AJ27" i="8"/>
  <c r="AG27" i="7"/>
  <c r="AI27" i="9"/>
  <c r="AG27" i="9"/>
  <c r="AF27" i="9"/>
  <c r="AL27" i="8" l="1"/>
  <c r="AK27" i="8"/>
  <c r="AL27" i="7"/>
  <c r="AK27" i="7"/>
  <c r="AL27" i="9"/>
  <c r="AK27" i="9"/>
  <c r="AF6" i="6"/>
  <c r="AG6" i="6"/>
  <c r="AH6" i="5"/>
  <c r="CR6" i="5" s="1"/>
  <c r="AH6" i="6"/>
  <c r="AF6" i="5"/>
  <c r="CP6" i="5" s="1"/>
  <c r="AI6" i="5"/>
  <c r="CS6" i="5" s="1"/>
  <c r="AI6" i="6"/>
  <c r="AG6" i="5"/>
  <c r="CQ6" i="5" s="1"/>
  <c r="AJ6" i="6"/>
  <c r="AJ6" i="5"/>
  <c r="CT6" i="5" s="1"/>
  <c r="AF6" i="7" a="1"/>
  <c r="AG6" i="7" s="1"/>
  <c r="AF6" i="8" a="1"/>
  <c r="AJ6" i="8" s="1"/>
  <c r="AF6" i="9" a="1"/>
  <c r="AF6" i="9" s="1"/>
  <c r="AL6" i="6" l="1"/>
  <c r="AK6" i="6"/>
  <c r="AL6" i="5"/>
  <c r="CV6" i="5" s="1"/>
  <c r="AF6" i="8"/>
  <c r="AH6" i="8"/>
  <c r="AG6" i="8"/>
  <c r="AH6" i="7"/>
  <c r="AG6" i="9"/>
  <c r="AI6" i="8"/>
  <c r="AI6" i="7"/>
  <c r="AI6" i="9"/>
  <c r="AJ6" i="7"/>
  <c r="AJ6" i="9"/>
  <c r="AK6" i="5"/>
  <c r="CU6" i="5" s="1"/>
  <c r="AF6" i="7"/>
  <c r="AH6" i="9"/>
  <c r="AL6" i="9" l="1"/>
  <c r="AK6" i="9"/>
  <c r="AL6" i="8"/>
  <c r="AK6" i="8"/>
  <c r="AK6" i="7"/>
  <c r="AL6" i="7"/>
  <c r="AP6" i="6"/>
  <c r="AP6" i="5"/>
  <c r="BL27" i="5" s="1"/>
  <c r="AS6" i="6"/>
  <c r="AR6" i="6"/>
  <c r="AR6" i="5"/>
  <c r="BN27" i="5"/>
  <c r="AQ6" i="6"/>
  <c r="AP6" i="9" a="1"/>
  <c r="AT6" i="9" s="1"/>
  <c r="AQ6" i="5"/>
  <c r="BM27" i="5" s="1"/>
  <c r="AP6" i="7" a="1"/>
  <c r="AS6" i="7" s="1"/>
  <c r="AS6" i="5"/>
  <c r="BO27" i="5" s="1"/>
  <c r="AT6" i="6"/>
  <c r="AP6" i="8" a="1"/>
  <c r="AT6" i="8" s="1"/>
  <c r="AT6" i="5"/>
  <c r="BP27" i="5" s="1"/>
  <c r="AV6" i="5" l="1"/>
  <c r="BR27" i="5" s="1"/>
  <c r="AV6" i="6"/>
  <c r="AU6" i="6"/>
  <c r="AS6" i="9"/>
  <c r="AU6" i="5"/>
  <c r="BQ27" i="5" s="1"/>
  <c r="AQ6" i="9"/>
  <c r="AP6" i="7"/>
  <c r="AQ6" i="8"/>
  <c r="AQ6" i="7"/>
  <c r="AS6" i="8"/>
  <c r="AR6" i="7"/>
  <c r="AP6" i="8"/>
  <c r="AT6" i="7"/>
  <c r="AR6" i="8"/>
  <c r="AP6" i="9"/>
  <c r="AR6" i="9"/>
  <c r="AV6" i="9" l="1"/>
  <c r="AU6" i="9"/>
  <c r="AV6" i="7"/>
  <c r="AU6" i="7"/>
  <c r="AV6" i="8"/>
  <c r="AU6" i="8"/>
  <c r="AT27" i="5"/>
  <c r="CJ68" i="5" s="1"/>
  <c r="AT27" i="6"/>
  <c r="AS27" i="5"/>
  <c r="CI68" i="5" s="1"/>
  <c r="AR27" i="5"/>
  <c r="CH68" i="5" s="1"/>
  <c r="AQ27" i="6"/>
  <c r="AP27" i="5"/>
  <c r="CF68" i="5" s="1"/>
  <c r="AS27" i="6"/>
  <c r="AQ27" i="5"/>
  <c r="CG68" i="5" s="1"/>
  <c r="AP27" i="6"/>
  <c r="AP27" i="9" a="1"/>
  <c r="AQ27" i="9" s="1"/>
  <c r="AP27" i="8" a="1"/>
  <c r="AQ27" i="8" s="1"/>
  <c r="AP27" i="7" a="1"/>
  <c r="AP27" i="7" s="1"/>
  <c r="AR27" i="6"/>
  <c r="AV27" i="5" l="1"/>
  <c r="CL68" i="5" s="1"/>
  <c r="AV27" i="6"/>
  <c r="AU27" i="6"/>
  <c r="AS27" i="9"/>
  <c r="AT27" i="9"/>
  <c r="AR27" i="9"/>
  <c r="AS27" i="7"/>
  <c r="AT27" i="8"/>
  <c r="AP27" i="9"/>
  <c r="AR27" i="7"/>
  <c r="AU27" i="5"/>
  <c r="CK68" i="5" s="1"/>
  <c r="AP27" i="8"/>
  <c r="AT27" i="7"/>
  <c r="AR27" i="8"/>
  <c r="AU27" i="8" s="1"/>
  <c r="AQ27" i="7"/>
  <c r="AS27" i="8"/>
  <c r="AV27" i="8" l="1"/>
  <c r="AU27" i="9"/>
  <c r="AV27" i="7"/>
  <c r="AU27" i="7"/>
  <c r="AV27" i="9"/>
  <c r="BD6" i="5"/>
  <c r="BZ27" i="5" s="1"/>
  <c r="BC6" i="5"/>
  <c r="BY27" i="5" s="1"/>
  <c r="AZ6" i="6"/>
  <c r="AZ6" i="5"/>
  <c r="BV27" i="5" s="1"/>
  <c r="BB6" i="5"/>
  <c r="BX27" i="5" s="1"/>
  <c r="BB6" i="6"/>
  <c r="BA6" i="5"/>
  <c r="BW27" i="5" s="1"/>
  <c r="BD6" i="6"/>
  <c r="BC6" i="6"/>
  <c r="AZ6" i="8" a="1"/>
  <c r="BC6" i="8" s="1"/>
  <c r="AZ6" i="7" a="1"/>
  <c r="BC6" i="7" s="1"/>
  <c r="AZ6" i="9" a="1"/>
  <c r="BA6" i="9" s="1"/>
  <c r="BA6" i="6"/>
  <c r="BF6" i="6" l="1"/>
  <c r="BE6" i="6"/>
  <c r="BA6" i="7"/>
  <c r="BF6" i="5"/>
  <c r="CB27" i="5" s="1"/>
  <c r="BE6" i="5"/>
  <c r="CA27" i="5" s="1"/>
  <c r="BC6" i="9"/>
  <c r="BD6" i="8"/>
  <c r="BD6" i="7"/>
  <c r="BB6" i="9"/>
  <c r="BB6" i="8"/>
  <c r="AZ6" i="9"/>
  <c r="BA6" i="8"/>
  <c r="AZ6" i="7"/>
  <c r="BB6" i="7"/>
  <c r="BD6" i="9"/>
  <c r="AZ6" i="8"/>
  <c r="BF6" i="7" l="1"/>
  <c r="BE6" i="7"/>
  <c r="BE6" i="9"/>
  <c r="BF6" i="9"/>
  <c r="BE6" i="8"/>
  <c r="BF6" i="8"/>
  <c r="BD27" i="5"/>
  <c r="CT68" i="5" s="1"/>
  <c r="BC27" i="6"/>
  <c r="AZ27" i="6"/>
  <c r="BB27" i="5"/>
  <c r="CR68" i="5" s="1"/>
  <c r="BA27" i="6"/>
  <c r="BC27" i="5"/>
  <c r="CS68" i="5"/>
  <c r="AZ27" i="5"/>
  <c r="CP68" i="5" s="1"/>
  <c r="BA27" i="5"/>
  <c r="CQ68" i="5" s="1"/>
  <c r="BD27" i="6"/>
  <c r="BB27" i="6"/>
  <c r="AZ27" i="9" a="1"/>
  <c r="BC27" i="9" s="1"/>
  <c r="AZ27" i="8" a="1"/>
  <c r="BD27" i="8" s="1"/>
  <c r="AZ27" i="7" a="1"/>
  <c r="AZ27" i="7" s="1"/>
  <c r="BF27" i="5" l="1"/>
  <c r="CV68" i="5" s="1"/>
  <c r="BB27" i="7"/>
  <c r="BF27" i="6"/>
  <c r="BE27" i="6"/>
  <c r="BA27" i="7"/>
  <c r="BA27" i="8"/>
  <c r="BC27" i="8"/>
  <c r="BB27" i="9"/>
  <c r="BE27" i="5"/>
  <c r="CU68" i="5" s="1"/>
  <c r="BA27" i="9"/>
  <c r="BD27" i="9"/>
  <c r="BD27" i="7"/>
  <c r="BB27" i="8"/>
  <c r="AZ27" i="9"/>
  <c r="BC27" i="7"/>
  <c r="AZ27" i="8"/>
  <c r="BF27" i="8" l="1"/>
  <c r="BE27" i="8"/>
  <c r="BF27" i="7"/>
  <c r="BE27" i="7"/>
  <c r="BF27" i="9"/>
  <c r="BE27" i="9"/>
</calcChain>
</file>

<file path=xl/connections.xml><?xml version="1.0" encoding="utf-8"?>
<connections xmlns="http://schemas.openxmlformats.org/spreadsheetml/2006/main">
  <connection id="1" name="BSL_Al2o3_Inc" type="1" refreshedVersion="4" savePassword="1" background="1" saveData="1">
    <dbPr connection="DSN=MySQL Local;UID=root;PWD=password;DESCRIPTION=Local MySQL Instances;SERVER=127.0.0.1;DATABASE=test;PORT=3306;" command="{call Qlty_alumin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W$47"/>
      <parameter name="Parameter 3" sqlType="12" parameterType="cell" refreshOnChange="1" cell="'Month-Analysis'!$AW$46"/>
    </parameters>
  </connection>
  <connection id="2" name="BSL_Fe_Reducer" type="1" refreshedVersion="4" savePassword="1" background="1" saveData="1">
    <dbPr connection="DSN=MySQL Local;UID=root;PWD=password;DESCRIPTION=Local MySQL Instances;SERVER=127.0.0.1;DATABASE=test;PORT=3306;" command="{call Fe_dragger(?,?,?)}"/>
    <parameters count="3">
      <parameter name="Parameter 1" sqlType="12" parameterType="cell" refreshOnChange="1" cell="'Month-Analysis'!$AW$45"/>
      <parameter name="Parameter 2" sqlType="12" parameterType="cell" refreshOnChange="1" cell="'Month-Analysis'!$AW$47"/>
      <parameter name="Parameter 3" sqlType="12" parameterType="cell" refreshOnChange="1" cell="'Month-Analysis'!$AW$46"/>
    </parameters>
  </connection>
  <connection id="3" name="BSL_OS_Inc" type="1" refreshedVersion="4" savePassword="1" background="1" saveData="1">
    <dbPr connection="DSN=MySQL Local;UID=root;PWD=password;DESCRIPTION=Local MySQL Instances;SERVER=127.0.0.1;DATABASE=test;PORT=3306;" command="{call Qlty_o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W$47"/>
      <parameter name="Parameter 3" sqlType="12" parameterType="cell" refreshOnChange="1" cell="'Month-Analysis'!$AW$46"/>
    </parameters>
  </connection>
  <connection id="4" name="BSL_Sio2_Inc" type="1" refreshedVersion="4" savePassword="1" background="1" saveData="1">
    <dbPr connection="DSN=MySQL Local;UID=root;PWD=password;DESCRIPTION=Local MySQL Instances;SERVER=127.0.0.1;DATABASE=test;PORT=3306;" command="{call Qlty_silic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W$47"/>
      <parameter name="Parameter 3" sqlType="12" parameterType="cell" refreshOnChange="1" cell="'Month-Analysis'!$AW$46"/>
    </parameters>
  </connection>
  <connection id="5" name="BSL_us_Inc" type="1" refreshedVersion="4" savePassword="1" background="1" saveData="1">
    <dbPr connection="DSN=MySQL Local;UID=root;PWD=password;DESCRIPTION=Local MySQL Instances;SERVER=127.0.0.1;DATABASE=test;PORT=3306;" command="{call Qlty_u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W$47"/>
      <parameter name="Parameter 3" sqlType="12" parameterType="cell" refreshOnChange="1" cell="'Month-Analysis'!$AW$46"/>
    </parameters>
  </connection>
  <connection id="6" name="call_flux_quality_for_mth" type="1" refreshedVersion="4" savePassword="1" background="1" saveData="1">
    <dbPr connection="DSN=MySQL Local;UID=root;PWD=password;DESCRIPTION=Local MySQL Instances;SERVER=127.0.0.1;DATABASE=test;PORT=3306;" command="{call call_flux_quality_for_mth(?)}"/>
    <parameters count="1">
      <parameter name="Parameter 1" sqlType="12" parameterType="cell" refreshOnChange="1" cell="'PIVOT RECPT'!$H$1"/>
    </parameters>
  </connection>
  <connection id="7" name="call_flux_quality_till_mth" type="1" refreshedVersion="4" savePassword="1" background="1" saveData="1">
    <dbPr connection="DSN=MySQL Local;UID=root;PWD=password;DESCRIPTION=Local MySQL Instances;SERVER=127.0.0.1;DATABASE=test;PORT=3306;" command="{call call_flux_quality_till_mth(?)}"/>
    <parameters count="1">
      <parameter name="Parameter 1" sqlType="12" parameterType="cell" refreshOnChange="1" cell="'PIVOT RECPT'!$H$1"/>
    </parameters>
  </connection>
  <connection id="8" name="call_quality_for_mth" type="1" refreshedVersion="4" savePassword="1" background="1" saveData="1">
    <dbPr connection="DSN=MySQL Local;UID=root;PWD=password;DESCRIPTION=Local MySQL Instances;SERVER=127.0.0.1;DATABASE=test;PORT=3306;" command="{call call_iron_quality_for_mth(?)}"/>
    <parameters count="1">
      <parameter name="Parameter 1" sqlType="12" parameterType="cell" refreshOnChange="1" cell="'PIVOT RECPT'!$H$1"/>
    </parameters>
  </connection>
  <connection id="9" name="call_quality_till_mth" type="1" refreshedVersion="4" savePassword="1" background="1" saveData="1">
    <dbPr connection="DSN=MySQL Local;UID=root;PWD=password;DESCRIPTION=Local MySQL Instances;SERVER=127.0.0.1;DATABASE=test;PORT=3306;" command="{call call_iron_quality_till_mth(?)}"/>
    <parameters count="1">
      <parameter name="Parameter 1" sqlType="12" parameterType="cell" refreshOnChange="1" cell="'PIVOT RECPT'!$AK$1"/>
    </parameters>
  </connection>
  <connection id="10" name="call_quantity_till_mth" type="1" refreshedVersion="4" savePassword="1" background="1" saveData="1">
    <dbPr connection="DSN=MySQL Local;UID=root;PWD=password;DESCRIPTION=Local MySQL Instances;SERVER=127.0.0.1;DATABASE=test;PORT=3306;" command="{call call_quantity_till_mth(?)}"/>
    <parameters count="1">
      <parameter name="Parameter 1" sqlType="12" parameterType="cell" refreshOnChange="1" cell="'PIVOT RECPT'!$H$1"/>
    </parameters>
  </connection>
  <connection id="11" name="DSP_Al2o3_Inc" type="1" refreshedVersion="4" savePassword="1" background="1" saveData="1">
    <dbPr connection="DSN=MySQL Local;UID=root;PWD=password;DESCRIPTION=Local MySQL Instances;SERVER=127.0.0.1;DATABASE=test;PORT=3306;" command="{call Qlty_alumin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Z$47"/>
      <parameter name="Parameter 3" sqlType="12" parameterType="cell" refreshOnChange="1" cell="'Month-Analysis'!$AW$46"/>
    </parameters>
  </connection>
  <connection id="12" name="DSP_Fe_Reducer" type="1" refreshedVersion="4" savePassword="1" background="1" saveData="1">
    <dbPr connection="DSN=MySQL Local;UID=root;PWD=password;DESCRIPTION=Local MySQL Instances;SERVER=127.0.0.1;DATABASE=test;PORT=3306;" command="{call Fe_dragger(?,?,?)}"/>
    <parameters count="3">
      <parameter name="Parameter 1" sqlType="12" parameterType="cell" refreshOnChange="1" cell="'Month-Analysis'!$AW$45"/>
      <parameter name="Parameter 2" sqlType="12" parameterType="cell" refreshOnChange="1" cell="'Month-Analysis'!$AZ$47"/>
      <parameter name="Parameter 3" sqlType="12" parameterType="cell" refreshOnChange="1" cell="'Month-Analysis'!$AW$46"/>
    </parameters>
  </connection>
  <connection id="13" name="DSP_OS_Inc" type="1" refreshedVersion="4" savePassword="1" background="1" saveData="1">
    <dbPr connection="DSN=MySQL Local;UID=root;PWD=password;DESCRIPTION=Local MySQL Instances;SERVER=127.0.0.1;DATABASE=test;PORT=3306;" command="{call Qlty_o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Z$47"/>
      <parameter name="Parameter 3" sqlType="12" parameterType="cell" refreshOnChange="1" cell="'Month-Analysis'!$AW$46"/>
    </parameters>
  </connection>
  <connection id="14" name="DSP_Sio2_Inc" type="1" refreshedVersion="4" savePassword="1" background="1" saveData="1">
    <dbPr connection="DSN=MySQL Local;UID=root;PWD=password;DESCRIPTION=Local MySQL Instances;SERVER=127.0.0.1;DATABASE=test;PORT=3306;" command="{call Qlty_silic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Z$47"/>
      <parameter name="Parameter 3" sqlType="12" parameterType="cell" refreshOnChange="1" cell="'Month-Analysis'!$AW$46"/>
    </parameters>
  </connection>
  <connection id="15" name="DSP_us_Inc" type="1" refreshedVersion="4" savePassword="1" background="1" saveData="1">
    <dbPr connection="DSN=MySQL Local;UID=root;PWD=password;DESCRIPTION=Local MySQL Instances;SERVER=127.0.0.1;DATABASE=test;PORT=3306;" command="{call Qlty_u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AZ$47"/>
      <parameter name="Parameter 3" sqlType="12" parameterType="cell" refreshOnChange="1" cell="'Month-Analysis'!$AW$46"/>
    </parameters>
  </connection>
  <connection id="16" name="ISP_Fe_Reducer" type="1" refreshedVersion="4" savePassword="1" background="1" saveData="1">
    <dbPr connection="DSN=MySQL Local;UID=root;PWD=password;DESCRIPTION=Local MySQL Instances;SERVER=127.0.0.1;DATABASE=test;PORT=3306;" command="{call Fe_dragger(?,?,?)}"/>
    <parameters count="3">
      <parameter name="Parameter 1" sqlType="12" parameterType="cell" refreshOnChange="1" cell="'Month-Analysis'!$AW$45"/>
      <parameter name="Parameter 2" sqlType="12" parameterType="cell" refreshOnChange="1" cell="'Month-Analysis'!$BF$47"/>
      <parameter name="Parameter 3" sqlType="12" parameterType="cell" refreshOnChange="1" cell="'Month-Analysis'!$AW$46"/>
    </parameters>
  </connection>
  <connection id="17" name="ISP_OS_Inc" type="1" refreshedVersion="4" savePassword="1" background="1" saveData="1">
    <dbPr connection="DSN=MySQL Local;UID=root;PWD=password;DESCRIPTION=Local MySQL Instances;SERVER=127.0.0.1;DATABASE=test;PORT=3306;" command="{call Qlty_o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F$47"/>
      <parameter name="Parameter 3" sqlType="12" parameterType="cell" refreshOnChange="1" cell="'Month-Analysis'!$AW$46"/>
    </parameters>
  </connection>
  <connection id="18" name="ISP_Sio2_Inc" type="1" refreshedVersion="4" savePassword="1" background="1" saveData="1">
    <dbPr connection="DSN=MySQL Local;UID=root;PWD=password;DESCRIPTION=Local MySQL Instances;SERVER=127.0.0.1;DATABASE=test;PORT=3306;" command="{call Qlty_silic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F$47"/>
      <parameter name="Parameter 3" sqlType="12" parameterType="cell" refreshOnChange="1" cell="'Month-Analysis'!$AW$46"/>
    </parameters>
  </connection>
  <connection id="19" name="ISP_us_Inc" type="1" refreshedVersion="4" savePassword="1" background="1" saveData="1">
    <dbPr connection="DSN=MySQL Local;UID=root;PWD=password;DESCRIPTION=Local MySQL Instances;SERVER=127.0.0.1;DATABASE=test;PORT=3306;" command="{call Qlty_u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F$47"/>
      <parameter name="Parameter 3" sqlType="12" parameterType="cell" refreshOnChange="1" cell="'Month-Analysis'!$AW$46"/>
    </parameters>
  </connection>
  <connection id="20" name="ISPL_Al2o3_Inc" type="1" refreshedVersion="4" savePassword="1" background="1" saveData="1">
    <dbPr connection="DSN=MySQL Local;UID=root;PWD=password;DESCRIPTION=Local MySQL Instances;SERVER=127.0.0.1;DATABASE=test;PORT=3306;" command="{call Qlty_alumin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F$47"/>
      <parameter name="Parameter 3" sqlType="12" parameterType="cell" refreshOnChange="1" cell="'Month-Analysis'!$AW$46"/>
    </parameters>
  </connection>
  <connection id="21" name="RSP_Al2o3_Inc" type="1" refreshedVersion="4" savePassword="1" background="1" saveData="1">
    <dbPr connection="DSN=MySQL Local;UID=root;PWD=password;DESCRIPTION=Local MySQL Instances;SERVER=127.0.0.1;DATABASE=test;PORT=3306;" command="{call Qlty_alumin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C$47"/>
      <parameter name="Parameter 3" sqlType="12" parameterType="cell" refreshOnChange="1" cell="'Month-Analysis'!$AW$46"/>
    </parameters>
  </connection>
  <connection id="22" name="RSP_Fe_Reducer" type="1" refreshedVersion="4" savePassword="1" background="1" saveData="1">
    <dbPr connection="DSN=MySQL Local;UID=root;PWD=password;DESCRIPTION=Local MySQL Instances;SERVER=127.0.0.1;DATABASE=test;PORT=3306;" command="{call Fe_dragger(?,?,?)}"/>
    <parameters count="3">
      <parameter name="Parameter 1" sqlType="12" parameterType="cell" refreshOnChange="1" cell="'Month-Analysis'!$AW$45"/>
      <parameter name="Parameter 2" sqlType="12" parameterType="cell" refreshOnChange="1" cell="'Month-Analysis'!$BC$47"/>
      <parameter name="Parameter 3" sqlType="12" parameterType="cell" refreshOnChange="1" cell="'Month-Analysis'!$AW$46"/>
    </parameters>
  </connection>
  <connection id="23" name="RSP_OS_Inc" type="1" refreshedVersion="4" savePassword="1" background="1" saveData="1">
    <dbPr connection="DSN=MySQL Local;UID=root;PWD=password;DESCRIPTION=Local MySQL Instances;SERVER=127.0.0.1;DATABASE=test;PORT=3306;" command="{call Qlty_o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C$47"/>
      <parameter name="Parameter 3" sqlType="12" parameterType="cell" refreshOnChange="1" cell="'Month-Analysis'!$AW$46"/>
    </parameters>
  </connection>
  <connection id="24" name="RSP_Sio2_Inc" type="1" refreshedVersion="4" savePassword="1" background="1" saveData="1">
    <dbPr connection="DSN=MySQL Local;UID=root;PWD=password;DESCRIPTION=Local MySQL Instances;SERVER=127.0.0.1;DATABASE=test;PORT=3306;" command="{call Qlty_silica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C$47"/>
      <parameter name="Parameter 3" sqlType="12" parameterType="cell" refreshOnChange="1" cell="'Month-Analysis'!$AW$46"/>
    </parameters>
  </connection>
  <connection id="25" name="RSP_us_Inc" type="1" refreshedVersion="4" savePassword="1" background="1" saveData="1">
    <dbPr connection="DSN=MySQL Local;UID=root;PWD=password;DESCRIPTION=Local MySQL Instances;SERVER=127.0.0.1;DATABASE=test;PORT=3306;" command="{call Qlty_us_increase(?,?,?)}"/>
    <parameters count="3">
      <parameter name="Parameter 1" sqlType="12" parameterType="cell" refreshOnChange="1" cell="'Month-Analysis'!$AW$45"/>
      <parameter name="Parameter 2" sqlType="12" parameterType="cell" refreshOnChange="1" cell="'Month-Analysis'!$BC$47"/>
      <parameter name="Parameter 3" sqlType="12" parameterType="cell" refreshOnChange="1" cell="'Month-Analysis'!$AW$46"/>
    </parameters>
  </connection>
</connections>
</file>

<file path=xl/sharedStrings.xml><?xml version="1.0" encoding="utf-8"?>
<sst xmlns="http://schemas.openxmlformats.org/spreadsheetml/2006/main" count="4503" uniqueCount="214">
  <si>
    <t>cust</t>
  </si>
  <si>
    <t>unit</t>
  </si>
  <si>
    <t>yymm</t>
  </si>
  <si>
    <t>comm</t>
  </si>
  <si>
    <t>c_fe</t>
  </si>
  <si>
    <t>c_sio2</t>
  </si>
  <si>
    <t>c_al2o3</t>
  </si>
  <si>
    <t>c_os</t>
  </si>
  <si>
    <t>c_us</t>
  </si>
  <si>
    <t>BAR</t>
  </si>
  <si>
    <t>BOL</t>
  </si>
  <si>
    <t>KAL</t>
  </si>
  <si>
    <t>KRB</t>
  </si>
  <si>
    <t>MBR</t>
  </si>
  <si>
    <t>MPR</t>
  </si>
  <si>
    <t>GUA</t>
  </si>
  <si>
    <t>TAL</t>
  </si>
  <si>
    <t>KTR</t>
  </si>
  <si>
    <t>SL</t>
  </si>
  <si>
    <t>id</t>
  </si>
  <si>
    <t>act_qty</t>
  </si>
  <si>
    <t>RSP</t>
  </si>
  <si>
    <t>F</t>
  </si>
  <si>
    <t>BSL</t>
  </si>
  <si>
    <t>BSP</t>
  </si>
  <si>
    <t>ISP</t>
  </si>
  <si>
    <t>DSP</t>
  </si>
  <si>
    <t>L</t>
  </si>
  <si>
    <t>गुणवत्ता :: भिलाई  इस्पात संयंत्र</t>
  </si>
  <si>
    <t xml:space="preserve">किरीबुरू </t>
  </si>
  <si>
    <t>लम्प</t>
  </si>
  <si>
    <t>फाईन्स</t>
  </si>
  <si>
    <t>बोलानी</t>
  </si>
  <si>
    <t>मेघाहातुबुरू</t>
  </si>
  <si>
    <t>Fe</t>
  </si>
  <si>
    <r>
      <t>SiO</t>
    </r>
    <r>
      <rPr>
        <b/>
        <vertAlign val="subscript"/>
        <sz val="16"/>
        <rFont val="Century Gothic"/>
        <family val="2"/>
      </rPr>
      <t>2</t>
    </r>
  </si>
  <si>
    <r>
      <t>Al</t>
    </r>
    <r>
      <rPr>
        <b/>
        <vertAlign val="subscript"/>
        <sz val="16"/>
        <rFont val="Century Gothic"/>
        <family val="2"/>
      </rPr>
      <t>2</t>
    </r>
    <r>
      <rPr>
        <b/>
        <sz val="16"/>
        <rFont val="Century Gothic"/>
        <family val="2"/>
      </rPr>
      <t>O</t>
    </r>
    <r>
      <rPr>
        <b/>
        <vertAlign val="subscript"/>
        <sz val="16"/>
        <rFont val="Century Gothic"/>
        <family val="2"/>
      </rPr>
      <t>3</t>
    </r>
  </si>
  <si>
    <t>OS</t>
  </si>
  <si>
    <t>US</t>
  </si>
  <si>
    <t>Al+Si</t>
  </si>
  <si>
    <t>Al/Si</t>
  </si>
  <si>
    <t>RECPT</t>
  </si>
  <si>
    <t>CUMML</t>
  </si>
  <si>
    <t>गुआ</t>
  </si>
  <si>
    <t>बरसुआ</t>
  </si>
  <si>
    <t>काल्‍टा</t>
  </si>
  <si>
    <t>तल्डीह</t>
  </si>
  <si>
    <t>मनोहरपूर</t>
  </si>
  <si>
    <t>BLEND</t>
  </si>
  <si>
    <t>कुटेश्‍वर</t>
  </si>
  <si>
    <t xml:space="preserve"> BF  Limestone</t>
  </si>
  <si>
    <t>तुलसीदामर</t>
  </si>
  <si>
    <t>BF DOLOMITE</t>
  </si>
  <si>
    <t>CaO</t>
  </si>
  <si>
    <t>MgO</t>
  </si>
  <si>
    <t>SiO2</t>
  </si>
  <si>
    <r>
      <t>SiO</t>
    </r>
    <r>
      <rPr>
        <b/>
        <vertAlign val="subscript"/>
        <sz val="16"/>
        <rFont val="Calibri"/>
        <family val="2"/>
        <scheme val="minor"/>
      </rPr>
      <t>2</t>
    </r>
  </si>
  <si>
    <r>
      <t>Al</t>
    </r>
    <r>
      <rPr>
        <b/>
        <vertAlign val="subscript"/>
        <sz val="16"/>
        <rFont val="Calibri"/>
        <family val="2"/>
        <scheme val="minor"/>
      </rPr>
      <t>2</t>
    </r>
    <r>
      <rPr>
        <b/>
        <sz val="16"/>
        <rFont val="Calibri"/>
        <family val="2"/>
        <scheme val="minor"/>
      </rPr>
      <t>O</t>
    </r>
    <r>
      <rPr>
        <b/>
        <vertAlign val="subscript"/>
        <sz val="16"/>
        <rFont val="Calibri"/>
        <family val="2"/>
        <scheme val="minor"/>
      </rPr>
      <t>3</t>
    </r>
  </si>
  <si>
    <t>PLANT RCT</t>
  </si>
  <si>
    <t>P-21</t>
  </si>
  <si>
    <t>P-22</t>
  </si>
  <si>
    <t>P-23</t>
  </si>
  <si>
    <t>P-24</t>
  </si>
  <si>
    <t>गुणवत्ता :: बोकारो  इस्पात संयंत्र</t>
  </si>
  <si>
    <t>गुणवत्ता :: दुर्गापुर इस्पात संयंत्र</t>
  </si>
  <si>
    <t>KBR LUMP</t>
  </si>
  <si>
    <t>BOL LUMP</t>
  </si>
  <si>
    <t>GUA LUMP</t>
  </si>
  <si>
    <t>MPR LUMP</t>
  </si>
  <si>
    <t>MBR LUMP</t>
  </si>
  <si>
    <t>BOL FINES</t>
  </si>
  <si>
    <t>GUA FINES</t>
  </si>
  <si>
    <t>MPR FINES</t>
  </si>
  <si>
    <t>MBR FINES</t>
  </si>
  <si>
    <t>गुणवत्ता :: राउरकेला इस्पात संयंत्र</t>
  </si>
  <si>
    <t>P-25</t>
  </si>
  <si>
    <t>गुणवत्ता :: बर्नपुर इस्पात संयंत्र</t>
  </si>
  <si>
    <t>.</t>
  </si>
  <si>
    <t>गुणवत्ता :: बोकारो</t>
  </si>
  <si>
    <t>गुणवत्ता:: दूर्गापूर</t>
  </si>
  <si>
    <t>गुणवत्ता :: राउरकेला</t>
  </si>
  <si>
    <t>P-26</t>
  </si>
  <si>
    <t xml:space="preserve">भिलाई  </t>
  </si>
  <si>
    <t xml:space="preserve"> बोकारो</t>
  </si>
  <si>
    <t>राउरकेला</t>
  </si>
  <si>
    <t>PLANT BLEND  Limestone</t>
  </si>
  <si>
    <t>P-27</t>
  </si>
  <si>
    <t>fe</t>
  </si>
  <si>
    <t>sio2</t>
  </si>
  <si>
    <t>al2o3</t>
  </si>
  <si>
    <t>os</t>
  </si>
  <si>
    <t>us</t>
  </si>
  <si>
    <t>Row Labels</t>
  </si>
  <si>
    <t>Grand Total</t>
  </si>
  <si>
    <t>Column Labels</t>
  </si>
  <si>
    <t>Sum of act_qty</t>
  </si>
  <si>
    <t>F Total</t>
  </si>
  <si>
    <t>L Total</t>
  </si>
  <si>
    <t>YYMM</t>
  </si>
  <si>
    <t xml:space="preserve">SL </t>
  </si>
  <si>
    <t>PLANT</t>
  </si>
  <si>
    <t>LS</t>
  </si>
  <si>
    <t>LS Total</t>
  </si>
  <si>
    <t>cao</t>
  </si>
  <si>
    <t>mgo</t>
  </si>
  <si>
    <t>c_cao</t>
  </si>
  <si>
    <t>c_mgo</t>
  </si>
  <si>
    <t>TDM</t>
  </si>
  <si>
    <t>BDIH</t>
  </si>
  <si>
    <t>SSPL</t>
  </si>
  <si>
    <t>MOMN</t>
  </si>
  <si>
    <t>BKSC</t>
  </si>
  <si>
    <t>MSPJ</t>
  </si>
  <si>
    <t>ESCL</t>
  </si>
  <si>
    <t>SRBS</t>
  </si>
  <si>
    <t>BBNA</t>
  </si>
  <si>
    <t>Act 20-21</t>
  </si>
  <si>
    <t>APP 21-22</t>
  </si>
  <si>
    <t>202104</t>
  </si>
  <si>
    <t>202105</t>
  </si>
  <si>
    <t>SMER</t>
  </si>
  <si>
    <t>202106</t>
  </si>
  <si>
    <t>JSPK</t>
  </si>
  <si>
    <t>PMRN</t>
  </si>
  <si>
    <t>MSSL</t>
  </si>
  <si>
    <t>BBN</t>
  </si>
  <si>
    <t>BPSL</t>
  </si>
  <si>
    <t>PAPK</t>
  </si>
  <si>
    <t>DGR</t>
  </si>
  <si>
    <t>PFPD</t>
  </si>
  <si>
    <t>202107</t>
  </si>
  <si>
    <t>PSOR</t>
  </si>
  <si>
    <t>202108</t>
  </si>
  <si>
    <t>BBNS</t>
  </si>
  <si>
    <t>Unit : '000T</t>
  </si>
  <si>
    <t>Total</t>
  </si>
  <si>
    <t>Lump Supply</t>
  </si>
  <si>
    <t xml:space="preserve"> </t>
  </si>
  <si>
    <t>AVERAGE LUMP QUALITY</t>
  </si>
  <si>
    <t>Fe%</t>
  </si>
  <si>
    <t>SIO2%</t>
  </si>
  <si>
    <t>AL2O3%</t>
  </si>
  <si>
    <t>OS%</t>
  </si>
  <si>
    <t>US%</t>
  </si>
  <si>
    <t>Al2O3+SiO2</t>
  </si>
  <si>
    <t>FF%</t>
  </si>
  <si>
    <t>Al2O3/SiO2</t>
  </si>
  <si>
    <t>KIOM</t>
  </si>
  <si>
    <t>Kiriburu</t>
  </si>
  <si>
    <t>MIOM</t>
  </si>
  <si>
    <t>Meghahatuburu</t>
  </si>
  <si>
    <t>Gua</t>
  </si>
  <si>
    <t>CHIRIA</t>
  </si>
  <si>
    <t>Chiria</t>
  </si>
  <si>
    <t>Jharkhand</t>
  </si>
  <si>
    <t>BOLANI</t>
  </si>
  <si>
    <t>Bolani</t>
  </si>
  <si>
    <t>BARSUA</t>
  </si>
  <si>
    <t>Barsua</t>
  </si>
  <si>
    <t>TALDIH</t>
  </si>
  <si>
    <t>Taldih</t>
  </si>
  <si>
    <t>KALTA</t>
  </si>
  <si>
    <t>Kalta</t>
  </si>
  <si>
    <t>Odisha</t>
  </si>
  <si>
    <t>Bhilai Group Mines</t>
  </si>
  <si>
    <t>AVERAGE FINES QUALITY</t>
  </si>
  <si>
    <t>FE%</t>
  </si>
  <si>
    <t>Fines Supply</t>
  </si>
  <si>
    <t>*SALES</t>
  </si>
  <si>
    <t>Sell Fines</t>
  </si>
  <si>
    <t>Lum+Fines Supply</t>
  </si>
  <si>
    <t>Actual</t>
  </si>
  <si>
    <t>SiO2%</t>
  </si>
  <si>
    <t>Al2O3%</t>
  </si>
  <si>
    <t>Plant</t>
  </si>
  <si>
    <t xml:space="preserve">Fe% </t>
  </si>
  <si>
    <t xml:space="preserve">SiO2% </t>
  </si>
  <si>
    <t xml:space="preserve">Al2O3% </t>
  </si>
  <si>
    <t xml:space="preserve">OL% </t>
  </si>
  <si>
    <t xml:space="preserve">UL% </t>
  </si>
  <si>
    <t>dragger</t>
  </si>
  <si>
    <t>Al2O3</t>
  </si>
  <si>
    <t>OL%</t>
  </si>
  <si>
    <t>inc</t>
  </si>
  <si>
    <t>202109</t>
  </si>
  <si>
    <t>PJPD</t>
  </si>
  <si>
    <t>CODs Plan</t>
  </si>
  <si>
    <t>plant name</t>
  </si>
  <si>
    <t>plant1</t>
  </si>
  <si>
    <t>Fe% Fall</t>
  </si>
  <si>
    <t>SiO2% increase</t>
  </si>
  <si>
    <t>Al2O3% increase</t>
  </si>
  <si>
    <t>Linkage of Iron Ore for Sep'21</t>
  </si>
  <si>
    <t>BLFND LUMP QUALITY  (Plan)</t>
  </si>
  <si>
    <t>BLFND FINES QUALITY  (Plan)</t>
  </si>
  <si>
    <t>BLFND LUMP QUALITY (Actual)</t>
  </si>
  <si>
    <t>BLFND FINES QUALITY  (Actual)</t>
  </si>
  <si>
    <t>Iron Ore Fines</t>
  </si>
  <si>
    <t>Sept'21      Quality Analysis of iron Ore Fines wrt CODs Plan Vs Actual and most affecting Sources</t>
  </si>
  <si>
    <t>202110</t>
  </si>
  <si>
    <t>OTH</t>
  </si>
  <si>
    <t>PRSP</t>
  </si>
  <si>
    <t>202111</t>
  </si>
  <si>
    <t>JSW</t>
  </si>
  <si>
    <t>BIRP</t>
  </si>
  <si>
    <t>BBNSJ</t>
  </si>
  <si>
    <t>JSPL</t>
  </si>
  <si>
    <t>ARSL</t>
  </si>
  <si>
    <t>202112</t>
  </si>
  <si>
    <t>202201</t>
  </si>
  <si>
    <t>PBSL</t>
  </si>
  <si>
    <t>202202</t>
  </si>
  <si>
    <t>202203</t>
  </si>
  <si>
    <t>PMSB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</si>
</sst>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indexed="16"/>
      <name val="Century Gothic"/>
      <family val="2"/>
    </font>
    <font>
      <sz val="10"/>
      <name val="Century Gothic"/>
      <family val="2"/>
    </font>
    <font>
      <sz val="10"/>
      <color indexed="9"/>
      <name val="Century Gothic"/>
      <family val="2"/>
    </font>
    <font>
      <sz val="10"/>
      <color indexed="16"/>
      <name val="Century Gothic"/>
      <family val="2"/>
    </font>
    <font>
      <b/>
      <i/>
      <sz val="14"/>
      <color indexed="16"/>
      <name val="Century Gothic"/>
      <family val="2"/>
    </font>
    <font>
      <b/>
      <sz val="16"/>
      <name val="Century Gothic"/>
      <family val="2"/>
    </font>
    <font>
      <b/>
      <sz val="10"/>
      <name val="Century Gothic"/>
      <family val="2"/>
    </font>
    <font>
      <sz val="16"/>
      <name val="Century Gothic"/>
      <family val="2"/>
    </font>
    <font>
      <b/>
      <vertAlign val="subscript"/>
      <sz val="16"/>
      <name val="Century Gothic"/>
      <family val="2"/>
    </font>
    <font>
      <b/>
      <sz val="16"/>
      <color indexed="20"/>
      <name val="Century Gothic"/>
      <family val="2"/>
    </font>
    <font>
      <sz val="16"/>
      <color indexed="62"/>
      <name val="Century Gothic"/>
      <family val="2"/>
    </font>
    <font>
      <b/>
      <sz val="16"/>
      <color indexed="62"/>
      <name val="Century Gothic"/>
      <family val="2"/>
    </font>
    <font>
      <b/>
      <sz val="16"/>
      <color indexed="12"/>
      <name val="Century Gothic"/>
      <family val="2"/>
    </font>
    <font>
      <sz val="16"/>
      <color indexed="20"/>
      <name val="Century Gothic"/>
      <family val="2"/>
    </font>
    <font>
      <sz val="10"/>
      <color indexed="12"/>
      <name val="Arial"/>
      <family val="2"/>
    </font>
    <font>
      <sz val="12"/>
      <name val="Arial"/>
      <family val="2"/>
    </font>
    <font>
      <b/>
      <sz val="16"/>
      <color indexed="12"/>
      <name val="Arial"/>
      <family val="2"/>
    </font>
    <font>
      <b/>
      <sz val="16"/>
      <color indexed="20"/>
      <name val="Arial"/>
      <family val="2"/>
    </font>
    <font>
      <b/>
      <sz val="16"/>
      <color indexed="16"/>
      <name val="Century Gothic"/>
      <family val="2"/>
    </font>
    <font>
      <b/>
      <sz val="22"/>
      <color indexed="20"/>
      <name val="Calibri"/>
      <family val="2"/>
      <scheme val="minor"/>
    </font>
    <font>
      <sz val="18"/>
      <color indexed="9"/>
      <name val="Calibri"/>
      <family val="2"/>
      <scheme val="minor"/>
    </font>
    <font>
      <sz val="18"/>
      <name val="Calibri"/>
      <family val="2"/>
      <scheme val="minor"/>
    </font>
    <font>
      <sz val="22"/>
      <color indexed="9"/>
      <name val="Calibri"/>
      <family val="2"/>
      <scheme val="minor"/>
    </font>
    <font>
      <sz val="22"/>
      <color indexed="16"/>
      <name val="Calibri"/>
      <family val="2"/>
      <scheme val="minor"/>
    </font>
    <font>
      <sz val="22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indexed="62"/>
      <name val="Calibri"/>
      <family val="2"/>
      <scheme val="minor"/>
    </font>
    <font>
      <b/>
      <sz val="22"/>
      <color indexed="60"/>
      <name val="Calibri"/>
      <family val="2"/>
      <scheme val="minor"/>
    </font>
    <font>
      <b/>
      <sz val="16"/>
      <color indexed="60"/>
      <name val="Century Gothic"/>
      <family val="2"/>
    </font>
    <font>
      <b/>
      <sz val="16"/>
      <color indexed="52"/>
      <name val="Century Gothic"/>
      <family val="2"/>
    </font>
    <font>
      <b/>
      <sz val="12"/>
      <color indexed="8"/>
      <name val="Century Gothic"/>
      <family val="2"/>
    </font>
    <font>
      <sz val="12"/>
      <color indexed="8"/>
      <name val="Century Gothic"/>
      <family val="2"/>
    </font>
    <font>
      <b/>
      <sz val="10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sz val="10"/>
      <color indexed="12"/>
      <name val="Arial"/>
      <family val="2"/>
    </font>
    <font>
      <sz val="10"/>
      <color indexed="8"/>
      <name val="Arial"/>
      <family val="2"/>
    </font>
    <font>
      <b/>
      <u/>
      <sz val="8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10"/>
      <color rgb="FF000000"/>
      <name val="Courier"/>
      <family val="3"/>
    </font>
    <font>
      <b/>
      <sz val="18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22"/>
      <color rgb="FF0F6FC6"/>
      <name val="Calibri"/>
      <family val="2"/>
      <scheme val="minor"/>
    </font>
    <font>
      <b/>
      <sz val="22"/>
      <color indexed="9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22"/>
      <color indexed="16"/>
      <name val="Calibri"/>
      <family val="2"/>
      <scheme val="minor"/>
    </font>
    <font>
      <b/>
      <i/>
      <sz val="22"/>
      <color indexed="16"/>
      <name val="Calibri"/>
      <family val="2"/>
      <scheme val="minor"/>
    </font>
    <font>
      <b/>
      <sz val="20"/>
      <name val="Calibri"/>
      <family val="2"/>
      <scheme val="minor"/>
    </font>
    <font>
      <b/>
      <sz val="16"/>
      <name val="Calibri"/>
      <family val="2"/>
      <scheme val="minor"/>
    </font>
    <font>
      <b/>
      <vertAlign val="subscript"/>
      <sz val="16"/>
      <name val="Calibri"/>
      <family val="2"/>
      <scheme val="minor"/>
    </font>
    <font>
      <b/>
      <sz val="16"/>
      <color indexed="20"/>
      <name val="Calibri"/>
      <family val="2"/>
      <scheme val="minor"/>
    </font>
    <font>
      <b/>
      <sz val="16"/>
      <color indexed="62"/>
      <name val="Calibri"/>
      <family val="2"/>
      <scheme val="minor"/>
    </font>
    <font>
      <b/>
      <sz val="16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22"/>
      <color indexed="12"/>
      <name val="Calibri"/>
      <family val="2"/>
      <scheme val="minor"/>
    </font>
    <font>
      <b/>
      <sz val="20"/>
      <color indexed="12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indexed="20"/>
      <name val="Calibri"/>
      <family val="2"/>
      <scheme val="minor"/>
    </font>
    <font>
      <b/>
      <i/>
      <sz val="22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0"/>
      <color indexed="16"/>
      <name val="Calibri"/>
      <family val="2"/>
      <scheme val="minor"/>
    </font>
    <font>
      <b/>
      <i/>
      <sz val="14"/>
      <color indexed="16"/>
      <name val="Calibri"/>
      <family val="2"/>
      <scheme val="minor"/>
    </font>
    <font>
      <b/>
      <sz val="16"/>
      <color indexed="16"/>
      <name val="Calibri"/>
      <family val="2"/>
      <scheme val="minor"/>
    </font>
    <font>
      <b/>
      <sz val="16"/>
      <color indexed="60"/>
      <name val="Calibri"/>
      <family val="2"/>
      <scheme val="minor"/>
    </font>
    <font>
      <b/>
      <sz val="16"/>
      <color indexed="52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u/>
      <sz val="8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24"/>
      <color indexed="16"/>
      <name val="Calibri"/>
      <family val="2"/>
      <scheme val="minor"/>
    </font>
    <font>
      <b/>
      <i/>
      <sz val="18"/>
      <color indexed="16"/>
      <name val="Century Gothic"/>
      <family val="2"/>
    </font>
    <font>
      <sz val="18"/>
      <name val="Century Gothic"/>
      <family val="2"/>
    </font>
    <font>
      <b/>
      <sz val="18"/>
      <color indexed="20"/>
      <name val="Century Gothic"/>
      <family val="2"/>
    </font>
    <font>
      <sz val="18"/>
      <color indexed="9"/>
      <name val="Century Gothic"/>
      <family val="2"/>
    </font>
    <font>
      <sz val="18"/>
      <color indexed="16"/>
      <name val="Century Gothic"/>
      <family val="2"/>
    </font>
    <font>
      <sz val="18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0"/>
      <name val="Calibri"/>
      <family val="2"/>
      <scheme val="minor"/>
    </font>
    <font>
      <b/>
      <sz val="20"/>
      <color indexed="16"/>
      <name val="Calibri"/>
      <family val="2"/>
      <scheme val="minor"/>
    </font>
    <font>
      <sz val="20"/>
      <name val="Calibri"/>
      <family val="2"/>
      <scheme val="minor"/>
    </font>
    <font>
      <b/>
      <sz val="18"/>
      <color indexed="20"/>
      <name val="Calibri"/>
      <family val="2"/>
      <scheme val="minor"/>
    </font>
    <font>
      <b/>
      <sz val="18"/>
      <name val="Calibri"/>
      <family val="2"/>
      <scheme val="minor"/>
    </font>
    <font>
      <sz val="18"/>
      <color rgb="FF000000"/>
      <name val="Calibri"/>
      <family val="2"/>
      <scheme val="minor"/>
    </font>
    <font>
      <b/>
      <i/>
      <sz val="18"/>
      <color indexed="16"/>
      <name val="Calibri"/>
      <family val="2"/>
      <scheme val="minor"/>
    </font>
    <font>
      <b/>
      <sz val="14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b/>
      <sz val="20"/>
      <color rgb="FF0F6FC6"/>
      <name val="Calibri"/>
      <family val="2"/>
      <scheme val="minor"/>
    </font>
    <font>
      <b/>
      <sz val="14"/>
      <color indexed="20"/>
      <name val="Calibri"/>
      <family val="2"/>
      <scheme val="minor"/>
    </font>
    <font>
      <b/>
      <sz val="14"/>
      <name val="Century Gothic"/>
      <family val="2"/>
    </font>
    <font>
      <sz val="14"/>
      <name val="Century Gothic"/>
      <family val="2"/>
    </font>
    <font>
      <sz val="14"/>
      <name val="Calibri"/>
      <family val="2"/>
      <scheme val="minor"/>
    </font>
    <font>
      <b/>
      <sz val="14"/>
      <color indexed="20"/>
      <name val="Century Gothic"/>
      <family val="2"/>
    </font>
    <font>
      <b/>
      <sz val="14"/>
      <color indexed="12"/>
      <name val="Century Gothic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8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5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/>
    <xf numFmtId="0" fontId="45" fillId="0" borderId="0"/>
    <xf numFmtId="0" fontId="45" fillId="0" borderId="0"/>
    <xf numFmtId="0" fontId="3" fillId="0" borderId="0"/>
    <xf numFmtId="0" fontId="1" fillId="0" borderId="0"/>
    <xf numFmtId="0" fontId="3" fillId="0" borderId="0"/>
  </cellStyleXfs>
  <cellXfs count="609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5" fillId="0" borderId="0" xfId="1" applyFont="1" applyFill="1"/>
    <xf numFmtId="0" fontId="5" fillId="0" borderId="0" xfId="1" applyFont="1"/>
    <xf numFmtId="0" fontId="3" fillId="0" borderId="0" xfId="1"/>
    <xf numFmtId="0" fontId="18" fillId="0" borderId="0" xfId="1" applyFont="1"/>
    <xf numFmtId="2" fontId="16" fillId="0" borderId="0" xfId="1" applyNumberFormat="1" applyFont="1" applyFill="1" applyBorder="1" applyAlignment="1">
      <alignment horizontal="center"/>
    </xf>
    <xf numFmtId="17" fontId="13" fillId="0" borderId="0" xfId="1" applyNumberFormat="1" applyFont="1" applyFill="1" applyBorder="1" applyAlignment="1">
      <alignment horizontal="left"/>
    </xf>
    <xf numFmtId="2" fontId="13" fillId="0" borderId="0" xfId="1" applyNumberFormat="1" applyFont="1" applyFill="1" applyBorder="1" applyAlignment="1">
      <alignment horizontal="center"/>
    </xf>
    <xf numFmtId="0" fontId="5" fillId="0" borderId="0" xfId="1" applyFont="1" applyFill="1" applyBorder="1"/>
    <xf numFmtId="0" fontId="3" fillId="0" borderId="0" xfId="1" applyFill="1" applyBorder="1"/>
    <xf numFmtId="0" fontId="4" fillId="0" borderId="0" xfId="1" applyFont="1" applyFill="1" applyBorder="1" applyAlignment="1">
      <alignment horizontal="centerContinuous"/>
    </xf>
    <xf numFmtId="0" fontId="9" fillId="0" borderId="0" xfId="1" applyFont="1" applyFill="1" applyBorder="1" applyAlignment="1">
      <alignment horizontal="centerContinuous"/>
    </xf>
    <xf numFmtId="2" fontId="17" fillId="0" borderId="0" xfId="1" applyNumberFormat="1" applyFont="1" applyFill="1" applyBorder="1" applyAlignment="1">
      <alignment horizontal="center"/>
    </xf>
    <xf numFmtId="2" fontId="20" fillId="0" borderId="0" xfId="1" applyNumberFormat="1" applyFont="1" applyFill="1" applyBorder="1" applyAlignment="1">
      <alignment horizontal="center"/>
    </xf>
    <xf numFmtId="2" fontId="21" fillId="0" borderId="0" xfId="1" applyNumberFormat="1" applyFont="1" applyFill="1" applyBorder="1" applyAlignment="1">
      <alignment horizontal="center"/>
    </xf>
    <xf numFmtId="0" fontId="3" fillId="0" borderId="0" xfId="1" applyBorder="1"/>
    <xf numFmtId="0" fontId="3" fillId="0" borderId="0" xfId="1" applyAlignment="1">
      <alignment horizontal="center" vertical="center"/>
    </xf>
    <xf numFmtId="0" fontId="3" fillId="0" borderId="19" xfId="1" applyBorder="1"/>
    <xf numFmtId="0" fontId="10" fillId="0" borderId="0" xfId="1" applyFont="1"/>
    <xf numFmtId="0" fontId="13" fillId="0" borderId="0" xfId="1" applyFont="1" applyFill="1" applyBorder="1"/>
    <xf numFmtId="1" fontId="13" fillId="0" borderId="0" xfId="1" applyNumberFormat="1" applyFont="1" applyFill="1" applyBorder="1" applyAlignment="1">
      <alignment horizontal="center"/>
    </xf>
    <xf numFmtId="0" fontId="5" fillId="0" borderId="0" xfId="1" applyFont="1" applyBorder="1"/>
    <xf numFmtId="0" fontId="7" fillId="0" borderId="0" xfId="1" applyFont="1" applyFill="1" applyBorder="1"/>
    <xf numFmtId="0" fontId="23" fillId="0" borderId="0" xfId="1" applyFont="1" applyFill="1" applyAlignment="1">
      <alignment vertical="center"/>
    </xf>
    <xf numFmtId="0" fontId="24" fillId="0" borderId="0" xfId="1" applyFont="1" applyFill="1" applyBorder="1"/>
    <xf numFmtId="0" fontId="25" fillId="0" borderId="0" xfId="1" applyFont="1" applyFill="1" applyBorder="1"/>
    <xf numFmtId="0" fontId="8" fillId="0" borderId="0" xfId="1" applyFont="1" applyFill="1" applyBorder="1"/>
    <xf numFmtId="0" fontId="6" fillId="0" borderId="0" xfId="1" applyFont="1" applyFill="1" applyBorder="1"/>
    <xf numFmtId="0" fontId="10" fillId="0" borderId="0" xfId="1" applyFont="1" applyFill="1" applyBorder="1"/>
    <xf numFmtId="0" fontId="28" fillId="0" borderId="0" xfId="1" applyFont="1" applyFill="1"/>
    <xf numFmtId="17" fontId="23" fillId="0" borderId="16" xfId="1" applyNumberFormat="1" applyFont="1" applyFill="1" applyBorder="1" applyAlignment="1">
      <alignment horizontal="left"/>
    </xf>
    <xf numFmtId="2" fontId="23" fillId="0" borderId="6" xfId="1" applyNumberFormat="1" applyFont="1" applyFill="1" applyBorder="1" applyAlignment="1">
      <alignment horizontal="center"/>
    </xf>
    <xf numFmtId="2" fontId="23" fillId="0" borderId="7" xfId="1" applyNumberFormat="1" applyFont="1" applyFill="1" applyBorder="1" applyAlignment="1">
      <alignment horizontal="center"/>
    </xf>
    <xf numFmtId="2" fontId="23" fillId="0" borderId="11" xfId="1" applyNumberFormat="1" applyFont="1" applyFill="1" applyBorder="1" applyAlignment="1">
      <alignment horizontal="center"/>
    </xf>
    <xf numFmtId="0" fontId="10" fillId="0" borderId="0" xfId="1" applyFont="1" applyBorder="1"/>
    <xf numFmtId="0" fontId="11" fillId="0" borderId="0" xfId="1" applyFont="1" applyFill="1" applyBorder="1"/>
    <xf numFmtId="0" fontId="9" fillId="0" borderId="0" xfId="1" applyFont="1" applyFill="1" applyBorder="1" applyAlignment="1">
      <alignment horizontal="center"/>
    </xf>
    <xf numFmtId="17" fontId="23" fillId="0" borderId="46" xfId="1" applyNumberFormat="1" applyFont="1" applyFill="1" applyBorder="1" applyAlignment="1">
      <alignment horizontal="left"/>
    </xf>
    <xf numFmtId="2" fontId="23" fillId="0" borderId="50" xfId="1" applyNumberFormat="1" applyFont="1" applyFill="1" applyBorder="1" applyAlignment="1">
      <alignment horizontal="center"/>
    </xf>
    <xf numFmtId="2" fontId="23" fillId="0" borderId="18" xfId="1" applyNumberFormat="1" applyFont="1" applyFill="1" applyBorder="1" applyAlignment="1">
      <alignment horizontal="center"/>
    </xf>
    <xf numFmtId="2" fontId="23" fillId="0" borderId="51" xfId="1" applyNumberFormat="1" applyFont="1" applyFill="1" applyBorder="1" applyAlignment="1">
      <alignment horizontal="center"/>
    </xf>
    <xf numFmtId="0" fontId="15" fillId="0" borderId="0" xfId="1" applyFont="1" applyFill="1" applyBorder="1"/>
    <xf numFmtId="2" fontId="15" fillId="0" borderId="0" xfId="1" applyNumberFormat="1" applyFont="1" applyFill="1" applyBorder="1" applyAlignment="1">
      <alignment horizontal="center"/>
    </xf>
    <xf numFmtId="164" fontId="15" fillId="0" borderId="0" xfId="1" applyNumberFormat="1" applyFont="1" applyFill="1" applyBorder="1" applyAlignment="1">
      <alignment horizontal="center"/>
    </xf>
    <xf numFmtId="17" fontId="23" fillId="0" borderId="13" xfId="1" applyNumberFormat="1" applyFont="1" applyFill="1" applyBorder="1" applyAlignment="1">
      <alignment horizontal="left"/>
    </xf>
    <xf numFmtId="0" fontId="32" fillId="0" borderId="0" xfId="1" applyFont="1" applyFill="1" applyBorder="1"/>
    <xf numFmtId="164" fontId="32" fillId="0" borderId="0" xfId="1" applyNumberFormat="1" applyFont="1" applyFill="1" applyBorder="1" applyAlignment="1">
      <alignment horizontal="center"/>
    </xf>
    <xf numFmtId="0" fontId="33" fillId="0" borderId="0" xfId="1" applyFont="1" applyFill="1" applyBorder="1"/>
    <xf numFmtId="164" fontId="33" fillId="0" borderId="0" xfId="1" applyNumberFormat="1" applyFont="1" applyFill="1" applyBorder="1" applyAlignment="1">
      <alignment horizontal="center"/>
    </xf>
    <xf numFmtId="17" fontId="23" fillId="0" borderId="44" xfId="1" applyNumberFormat="1" applyFont="1" applyFill="1" applyBorder="1" applyAlignment="1">
      <alignment horizontal="left"/>
    </xf>
    <xf numFmtId="2" fontId="23" fillId="0" borderId="45" xfId="1" applyNumberFormat="1" applyFont="1" applyFill="1" applyBorder="1" applyAlignment="1">
      <alignment horizontal="center"/>
    </xf>
    <xf numFmtId="2" fontId="23" fillId="0" borderId="32" xfId="1" applyNumberFormat="1" applyFont="1" applyFill="1" applyBorder="1" applyAlignment="1">
      <alignment horizontal="center"/>
    </xf>
    <xf numFmtId="2" fontId="23" fillId="0" borderId="22" xfId="1" applyNumberFormat="1" applyFont="1" applyFill="1" applyBorder="1" applyAlignment="1">
      <alignment horizontal="center"/>
    </xf>
    <xf numFmtId="17" fontId="17" fillId="0" borderId="0" xfId="1" applyNumberFormat="1" applyFont="1" applyFill="1" applyBorder="1" applyAlignment="1">
      <alignment horizontal="left"/>
    </xf>
    <xf numFmtId="2" fontId="23" fillId="0" borderId="26" xfId="1" applyNumberFormat="1" applyFont="1" applyFill="1" applyBorder="1" applyAlignment="1">
      <alignment horizontal="center"/>
    </xf>
    <xf numFmtId="2" fontId="23" fillId="0" borderId="27" xfId="1" applyNumberFormat="1" applyFont="1" applyFill="1" applyBorder="1" applyAlignment="1">
      <alignment horizontal="center"/>
    </xf>
    <xf numFmtId="2" fontId="23" fillId="0" borderId="28" xfId="1" applyNumberFormat="1" applyFont="1" applyFill="1" applyBorder="1" applyAlignment="1">
      <alignment horizontal="center"/>
    </xf>
    <xf numFmtId="2" fontId="23" fillId="0" borderId="16" xfId="1" applyNumberFormat="1" applyFont="1" applyFill="1" applyBorder="1" applyAlignment="1">
      <alignment horizontal="center"/>
    </xf>
    <xf numFmtId="2" fontId="23" fillId="0" borderId="29" xfId="1" applyNumberFormat="1" applyFont="1" applyFill="1" applyBorder="1" applyAlignment="1">
      <alignment horizontal="center"/>
    </xf>
    <xf numFmtId="2" fontId="23" fillId="0" borderId="36" xfId="1" applyNumberFormat="1" applyFont="1" applyFill="1" applyBorder="1" applyAlignment="1">
      <alignment horizontal="center"/>
    </xf>
    <xf numFmtId="2" fontId="23" fillId="0" borderId="37" xfId="1" applyNumberFormat="1" applyFont="1" applyFill="1" applyBorder="1" applyAlignment="1">
      <alignment horizontal="center"/>
    </xf>
    <xf numFmtId="2" fontId="23" fillId="0" borderId="41" xfId="1" applyNumberFormat="1" applyFont="1" applyFill="1" applyBorder="1" applyAlignment="1">
      <alignment horizontal="center"/>
    </xf>
    <xf numFmtId="0" fontId="13" fillId="0" borderId="0" xfId="1" applyFont="1" applyFill="1" applyBorder="1" applyAlignment="1">
      <alignment horizontal="left"/>
    </xf>
    <xf numFmtId="164" fontId="13" fillId="0" borderId="0" xfId="1" applyNumberFormat="1" applyFont="1" applyFill="1" applyBorder="1" applyAlignment="1">
      <alignment horizontal="center"/>
    </xf>
    <xf numFmtId="0" fontId="16" fillId="3" borderId="0" xfId="1" applyFont="1" applyFill="1" applyBorder="1"/>
    <xf numFmtId="2" fontId="16" fillId="3" borderId="0" xfId="1" applyNumberFormat="1" applyFont="1" applyFill="1" applyBorder="1" applyAlignment="1">
      <alignment horizontal="center"/>
    </xf>
    <xf numFmtId="0" fontId="14" fillId="0" borderId="0" xfId="1" applyFont="1" applyFill="1" applyBorder="1"/>
    <xf numFmtId="0" fontId="14" fillId="0" borderId="0" xfId="1" applyFont="1" applyFill="1" applyBorder="1" applyAlignment="1">
      <alignment horizontal="center" vertical="top"/>
    </xf>
    <xf numFmtId="2" fontId="14" fillId="0" borderId="0" xfId="1" applyNumberFormat="1" applyFont="1" applyFill="1" applyBorder="1" applyAlignment="1">
      <alignment horizontal="center"/>
    </xf>
    <xf numFmtId="2" fontId="32" fillId="0" borderId="0" xfId="1" applyNumberFormat="1" applyFont="1" applyFill="1" applyBorder="1" applyAlignment="1">
      <alignment horizontal="center"/>
    </xf>
    <xf numFmtId="0" fontId="34" fillId="0" borderId="0" xfId="1" applyFont="1" applyBorder="1"/>
    <xf numFmtId="0" fontId="35" fillId="0" borderId="0" xfId="1" applyFont="1" applyBorder="1"/>
    <xf numFmtId="0" fontId="36" fillId="0" borderId="0" xfId="1" applyFont="1" applyBorder="1"/>
    <xf numFmtId="0" fontId="37" fillId="0" borderId="0" xfId="1" applyNumberFormat="1" applyFont="1" applyBorder="1" applyAlignment="1">
      <alignment horizontal="center"/>
    </xf>
    <xf numFmtId="15" fontId="19" fillId="0" borderId="0" xfId="1" applyNumberFormat="1" applyFont="1" applyBorder="1" applyAlignment="1">
      <alignment horizontal="center"/>
    </xf>
    <xf numFmtId="2" fontId="19" fillId="0" borderId="0" xfId="1" applyNumberFormat="1" applyFont="1" applyBorder="1"/>
    <xf numFmtId="2" fontId="19" fillId="0" borderId="0" xfId="1" applyNumberFormat="1" applyFont="1" applyBorder="1" applyAlignment="1">
      <alignment horizontal="center"/>
    </xf>
    <xf numFmtId="0" fontId="19" fillId="0" borderId="0" xfId="1" applyNumberFormat="1" applyFont="1" applyBorder="1" applyAlignment="1">
      <alignment horizontal="center"/>
    </xf>
    <xf numFmtId="0" fontId="3" fillId="0" borderId="0" xfId="1" applyFont="1" applyBorder="1" applyAlignment="1">
      <alignment wrapText="1"/>
    </xf>
    <xf numFmtId="0" fontId="3" fillId="0" borderId="0" xfId="1" applyFont="1" applyBorder="1" applyAlignment="1">
      <alignment horizontal="right" wrapText="1"/>
    </xf>
    <xf numFmtId="2" fontId="3" fillId="0" borderId="0" xfId="1" applyNumberFormat="1" applyFont="1" applyBorder="1" applyAlignment="1">
      <alignment horizontal="right" wrapText="1"/>
    </xf>
    <xf numFmtId="0" fontId="3" fillId="0" borderId="0" xfId="1" applyFont="1" applyBorder="1" applyAlignment="1">
      <alignment horizontal="left" wrapText="1"/>
    </xf>
    <xf numFmtId="2" fontId="3" fillId="0" borderId="0" xfId="1" applyNumberFormat="1" applyBorder="1" applyAlignment="1">
      <alignment horizontal="center"/>
    </xf>
    <xf numFmtId="0" fontId="38" fillId="0" borderId="0" xfId="1" applyFont="1" applyBorder="1" applyAlignment="1">
      <alignment horizontal="left"/>
    </xf>
    <xf numFmtId="0" fontId="38" fillId="0" borderId="0" xfId="1" applyFont="1" applyBorder="1" applyAlignment="1">
      <alignment horizontal="right"/>
    </xf>
    <xf numFmtId="0" fontId="38" fillId="0" borderId="0" xfId="1" applyFont="1" applyBorder="1" applyAlignment="1">
      <alignment horizontal="centerContinuous"/>
    </xf>
    <xf numFmtId="0" fontId="38" fillId="0" borderId="0" xfId="1" applyFont="1" applyBorder="1"/>
    <xf numFmtId="0" fontId="18" fillId="0" borderId="0" xfId="1" applyFont="1" applyBorder="1" applyAlignment="1">
      <alignment wrapText="1"/>
    </xf>
    <xf numFmtId="2" fontId="3" fillId="0" borderId="0" xfId="1" applyNumberFormat="1" applyBorder="1"/>
    <xf numFmtId="0" fontId="18" fillId="0" borderId="0" xfId="1" applyFont="1" applyBorder="1" applyAlignment="1">
      <alignment horizontal="center"/>
    </xf>
    <xf numFmtId="0" fontId="39" fillId="0" borderId="0" xfId="1" applyFont="1" applyBorder="1" applyAlignment="1">
      <alignment horizontal="center"/>
    </xf>
    <xf numFmtId="0" fontId="40" fillId="0" borderId="0" xfId="1" applyFont="1" applyBorder="1" applyAlignment="1">
      <alignment horizontal="center"/>
    </xf>
    <xf numFmtId="0" fontId="38" fillId="0" borderId="0" xfId="1" applyFont="1" applyBorder="1" applyAlignment="1">
      <alignment horizontal="center"/>
    </xf>
    <xf numFmtId="0" fontId="41" fillId="0" borderId="0" xfId="1" applyFont="1" applyBorder="1" applyAlignment="1">
      <alignment wrapText="1"/>
    </xf>
    <xf numFmtId="0" fontId="42" fillId="0" borderId="0" xfId="1" applyFont="1" applyBorder="1" applyAlignment="1">
      <alignment wrapText="1"/>
    </xf>
    <xf numFmtId="0" fontId="43" fillId="0" borderId="0" xfId="1" applyFont="1" applyBorder="1" applyAlignment="1">
      <alignment wrapText="1"/>
    </xf>
    <xf numFmtId="0" fontId="44" fillId="0" borderId="0" xfId="1" applyFont="1" applyBorder="1" applyAlignment="1">
      <alignment wrapText="1"/>
    </xf>
    <xf numFmtId="0" fontId="37" fillId="0" borderId="0" xfId="1" applyFont="1" applyBorder="1" applyAlignment="1">
      <alignment wrapText="1"/>
    </xf>
    <xf numFmtId="0" fontId="43" fillId="0" borderId="0" xfId="1" applyFont="1" applyBorder="1" applyAlignment="1">
      <alignment horizontal="right" wrapText="1"/>
    </xf>
    <xf numFmtId="0" fontId="36" fillId="0" borderId="0" xfId="1" applyFont="1"/>
    <xf numFmtId="0" fontId="47" fillId="0" borderId="0" xfId="1" applyFont="1" applyFill="1" applyAlignment="1">
      <alignment horizontal="center" vertical="center"/>
    </xf>
    <xf numFmtId="0" fontId="47" fillId="0" borderId="0" xfId="1" applyFont="1" applyAlignment="1">
      <alignment horizontal="center" vertical="center"/>
    </xf>
    <xf numFmtId="0" fontId="47" fillId="0" borderId="4" xfId="1" applyFont="1" applyBorder="1" applyAlignment="1">
      <alignment horizontal="center" vertical="center"/>
    </xf>
    <xf numFmtId="0" fontId="49" fillId="0" borderId="0" xfId="1" applyFont="1" applyFill="1" applyAlignment="1">
      <alignment horizontal="center" vertical="center"/>
    </xf>
    <xf numFmtId="0" fontId="50" fillId="0" borderId="0" xfId="1" applyFont="1" applyAlignment="1">
      <alignment horizontal="center" vertical="center"/>
    </xf>
    <xf numFmtId="0" fontId="51" fillId="0" borderId="0" xfId="1" applyFont="1" applyFill="1" applyAlignment="1">
      <alignment horizontal="center" vertical="center"/>
    </xf>
    <xf numFmtId="0" fontId="29" fillId="0" borderId="0" xfId="1" applyFont="1" applyFill="1" applyAlignment="1">
      <alignment horizontal="center" vertical="center"/>
    </xf>
    <xf numFmtId="0" fontId="52" fillId="0" borderId="0" xfId="1" applyFont="1" applyFill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29" fillId="0" borderId="5" xfId="1" applyFont="1" applyBorder="1" applyAlignment="1">
      <alignment horizontal="center" vertical="center"/>
    </xf>
    <xf numFmtId="0" fontId="48" fillId="0" borderId="0" xfId="1" applyFont="1" applyAlignment="1">
      <alignment horizontal="left" vertical="center"/>
    </xf>
    <xf numFmtId="0" fontId="50" fillId="0" borderId="0" xfId="1" applyFont="1" applyAlignment="1">
      <alignment horizontal="left" vertical="center"/>
    </xf>
    <xf numFmtId="0" fontId="47" fillId="0" borderId="5" xfId="1" applyFont="1" applyBorder="1" applyAlignment="1">
      <alignment horizontal="center" vertical="center"/>
    </xf>
    <xf numFmtId="0" fontId="53" fillId="0" borderId="0" xfId="1" applyFont="1" applyFill="1" applyAlignment="1">
      <alignment horizontal="left" vertical="center"/>
    </xf>
    <xf numFmtId="0" fontId="53" fillId="0" borderId="0" xfId="1" applyFont="1" applyFill="1" applyAlignment="1">
      <alignment horizontal="center" vertical="center"/>
    </xf>
    <xf numFmtId="0" fontId="29" fillId="0" borderId="0" xfId="1" applyFont="1" applyFill="1" applyAlignment="1">
      <alignment horizontal="left" vertical="center"/>
    </xf>
    <xf numFmtId="0" fontId="54" fillId="0" borderId="0" xfId="1" applyFont="1" applyFill="1" applyAlignment="1">
      <alignment horizontal="center" vertical="center"/>
    </xf>
    <xf numFmtId="0" fontId="54" fillId="0" borderId="6" xfId="1" applyFont="1" applyFill="1" applyBorder="1" applyAlignment="1">
      <alignment horizontal="center" vertical="center"/>
    </xf>
    <xf numFmtId="0" fontId="54" fillId="0" borderId="7" xfId="1" applyFont="1" applyFill="1" applyBorder="1" applyAlignment="1">
      <alignment horizontal="center" vertical="center"/>
    </xf>
    <xf numFmtId="0" fontId="54" fillId="0" borderId="8" xfId="1" applyFont="1" applyFill="1" applyBorder="1" applyAlignment="1">
      <alignment horizontal="center" vertical="center"/>
    </xf>
    <xf numFmtId="0" fontId="54" fillId="0" borderId="9" xfId="1" applyFont="1" applyFill="1" applyBorder="1" applyAlignment="1">
      <alignment horizontal="center" vertical="center"/>
    </xf>
    <xf numFmtId="0" fontId="54" fillId="0" borderId="10" xfId="1" applyFont="1" applyFill="1" applyBorder="1" applyAlignment="1">
      <alignment horizontal="center" vertical="center"/>
    </xf>
    <xf numFmtId="0" fontId="54" fillId="0" borderId="11" xfId="1" applyFont="1" applyFill="1" applyBorder="1" applyAlignment="1">
      <alignment horizontal="center" vertical="center"/>
    </xf>
    <xf numFmtId="0" fontId="56" fillId="0" borderId="0" xfId="1" applyFont="1" applyFill="1" applyAlignment="1">
      <alignment horizontal="center" vertical="center"/>
    </xf>
    <xf numFmtId="0" fontId="23" fillId="0" borderId="0" xfId="1" applyFont="1" applyFill="1" applyAlignment="1">
      <alignment horizontal="left" vertical="center"/>
    </xf>
    <xf numFmtId="0" fontId="29" fillId="0" borderId="6" xfId="1" applyFont="1" applyFill="1" applyBorder="1" applyAlignment="1">
      <alignment horizontal="center" vertical="center"/>
    </xf>
    <xf numFmtId="0" fontId="29" fillId="0" borderId="7" xfId="1" applyFont="1" applyFill="1" applyBorder="1" applyAlignment="1">
      <alignment horizontal="center" vertical="center"/>
    </xf>
    <xf numFmtId="0" fontId="29" fillId="0" borderId="12" xfId="1" applyFont="1" applyFill="1" applyBorder="1" applyAlignment="1">
      <alignment horizontal="center" vertical="center"/>
    </xf>
    <xf numFmtId="0" fontId="29" fillId="0" borderId="9" xfId="1" applyFont="1" applyFill="1" applyBorder="1" applyAlignment="1">
      <alignment horizontal="center" vertical="center"/>
    </xf>
    <xf numFmtId="0" fontId="57" fillId="0" borderId="13" xfId="1" applyFont="1" applyFill="1" applyBorder="1" applyAlignment="1">
      <alignment horizontal="center" vertical="center"/>
    </xf>
    <xf numFmtId="2" fontId="57" fillId="0" borderId="13" xfId="1" applyNumberFormat="1" applyFont="1" applyFill="1" applyBorder="1" applyAlignment="1">
      <alignment horizontal="center" vertical="center"/>
    </xf>
    <xf numFmtId="2" fontId="57" fillId="0" borderId="7" xfId="1" applyNumberFormat="1" applyFont="1" applyFill="1" applyBorder="1" applyAlignment="1">
      <alignment horizontal="center" vertical="center"/>
    </xf>
    <xf numFmtId="1" fontId="57" fillId="0" borderId="14" xfId="1" applyNumberFormat="1" applyFont="1" applyFill="1" applyBorder="1" applyAlignment="1">
      <alignment horizontal="center" vertical="center"/>
    </xf>
    <xf numFmtId="0" fontId="57" fillId="0" borderId="6" xfId="1" applyFont="1" applyFill="1" applyBorder="1" applyAlignment="1">
      <alignment horizontal="center" vertical="center"/>
    </xf>
    <xf numFmtId="1" fontId="57" fillId="4" borderId="14" xfId="1" applyNumberFormat="1" applyFont="1" applyFill="1" applyBorder="1" applyAlignment="1">
      <alignment horizontal="center" vertical="center"/>
    </xf>
    <xf numFmtId="2" fontId="47" fillId="0" borderId="0" xfId="1" applyNumberFormat="1" applyFont="1" applyAlignment="1">
      <alignment horizontal="center" vertical="center"/>
    </xf>
    <xf numFmtId="2" fontId="57" fillId="0" borderId="6" xfId="1" applyNumberFormat="1" applyFont="1" applyFill="1" applyBorder="1" applyAlignment="1">
      <alignment horizontal="center" vertical="center"/>
    </xf>
    <xf numFmtId="1" fontId="57" fillId="0" borderId="9" xfId="1" applyNumberFormat="1" applyFont="1" applyFill="1" applyBorder="1" applyAlignment="1">
      <alignment horizontal="center" vertical="center"/>
    </xf>
    <xf numFmtId="0" fontId="30" fillId="0" borderId="4" xfId="1" applyFont="1" applyFill="1" applyBorder="1" applyAlignment="1">
      <alignment horizontal="left" vertical="center"/>
    </xf>
    <xf numFmtId="2" fontId="30" fillId="0" borderId="17" xfId="1" applyNumberFormat="1" applyFont="1" applyFill="1" applyBorder="1" applyAlignment="1">
      <alignment horizontal="center" vertical="center"/>
    </xf>
    <xf numFmtId="2" fontId="30" fillId="0" borderId="18" xfId="1" applyNumberFormat="1" applyFont="1" applyFill="1" applyBorder="1" applyAlignment="1">
      <alignment horizontal="center" vertical="center"/>
    </xf>
    <xf numFmtId="1" fontId="30" fillId="0" borderId="5" xfId="1" applyNumberFormat="1" applyFont="1" applyFill="1" applyBorder="1" applyAlignment="1">
      <alignment horizontal="center" vertical="center"/>
    </xf>
    <xf numFmtId="0" fontId="58" fillId="3" borderId="15" xfId="1" applyFont="1" applyFill="1" applyBorder="1" applyAlignment="1">
      <alignment horizontal="center" vertical="center"/>
    </xf>
    <xf numFmtId="2" fontId="58" fillId="3" borderId="20" xfId="1" applyNumberFormat="1" applyFont="1" applyFill="1" applyBorder="1" applyAlignment="1">
      <alignment horizontal="center" vertical="center"/>
    </xf>
    <xf numFmtId="2" fontId="58" fillId="3" borderId="21" xfId="1" applyNumberFormat="1" applyFont="1" applyFill="1" applyBorder="1" applyAlignment="1">
      <alignment horizontal="center" vertical="center"/>
    </xf>
    <xf numFmtId="2" fontId="58" fillId="3" borderId="22" xfId="1" applyNumberFormat="1" applyFont="1" applyFill="1" applyBorder="1" applyAlignment="1">
      <alignment horizontal="center" vertical="center"/>
    </xf>
    <xf numFmtId="1" fontId="58" fillId="3" borderId="23" xfId="1" applyNumberFormat="1" applyFont="1" applyFill="1" applyBorder="1" applyAlignment="1">
      <alignment horizontal="center" vertical="center"/>
    </xf>
    <xf numFmtId="0" fontId="58" fillId="0" borderId="0" xfId="1" applyFont="1" applyFill="1" applyAlignment="1">
      <alignment horizontal="center" vertical="center"/>
    </xf>
    <xf numFmtId="0" fontId="58" fillId="3" borderId="20" xfId="1" applyFont="1" applyFill="1" applyBorder="1" applyAlignment="1">
      <alignment horizontal="center" vertical="center"/>
    </xf>
    <xf numFmtId="0" fontId="59" fillId="0" borderId="0" xfId="1" applyFont="1" applyAlignment="1">
      <alignment horizontal="center" vertical="center"/>
    </xf>
    <xf numFmtId="0" fontId="58" fillId="0" borderId="0" xfId="1" applyFont="1" applyAlignment="1">
      <alignment horizontal="center" vertical="center"/>
    </xf>
    <xf numFmtId="2" fontId="58" fillId="3" borderId="24" xfId="1" applyNumberFormat="1" applyFont="1" applyFill="1" applyBorder="1" applyAlignment="1">
      <alignment horizontal="center" vertical="center"/>
    </xf>
    <xf numFmtId="1" fontId="58" fillId="3" borderId="25" xfId="1" applyNumberFormat="1" applyFont="1" applyFill="1" applyBorder="1" applyAlignment="1">
      <alignment horizontal="center" vertical="center"/>
    </xf>
    <xf numFmtId="0" fontId="58" fillId="0" borderId="20" xfId="1" applyFont="1" applyFill="1" applyBorder="1" applyAlignment="1">
      <alignment horizontal="center" vertical="center"/>
    </xf>
    <xf numFmtId="1" fontId="58" fillId="0" borderId="25" xfId="1" applyNumberFormat="1" applyFont="1" applyFill="1" applyBorder="1" applyAlignment="1">
      <alignment horizontal="center" vertical="center"/>
    </xf>
    <xf numFmtId="0" fontId="59" fillId="0" borderId="5" xfId="1" applyFont="1" applyBorder="1" applyAlignment="1">
      <alignment horizontal="center" vertical="center"/>
    </xf>
    <xf numFmtId="0" fontId="60" fillId="3" borderId="53" xfId="1" applyFont="1" applyFill="1" applyBorder="1" applyAlignment="1">
      <alignment horizontal="left" vertical="center"/>
    </xf>
    <xf numFmtId="2" fontId="60" fillId="3" borderId="54" xfId="1" applyNumberFormat="1" applyFont="1" applyFill="1" applyBorder="1" applyAlignment="1">
      <alignment horizontal="center" vertical="center"/>
    </xf>
    <xf numFmtId="2" fontId="60" fillId="3" borderId="55" xfId="1" applyNumberFormat="1" applyFont="1" applyFill="1" applyBorder="1" applyAlignment="1">
      <alignment horizontal="center" vertical="center"/>
    </xf>
    <xf numFmtId="2" fontId="60" fillId="3" borderId="56" xfId="1" applyNumberFormat="1" applyFont="1" applyFill="1" applyBorder="1" applyAlignment="1">
      <alignment horizontal="center" vertical="center"/>
    </xf>
    <xf numFmtId="1" fontId="60" fillId="3" borderId="53" xfId="1" applyNumberFormat="1" applyFont="1" applyFill="1" applyBorder="1" applyAlignment="1">
      <alignment horizontal="center" vertical="center"/>
    </xf>
    <xf numFmtId="0" fontId="61" fillId="0" borderId="0" xfId="1" applyFont="1" applyFill="1" applyAlignment="1">
      <alignment horizontal="center" vertical="center"/>
    </xf>
    <xf numFmtId="0" fontId="60" fillId="0" borderId="0" xfId="1" applyFont="1" applyAlignment="1">
      <alignment horizontal="center" vertical="center"/>
    </xf>
    <xf numFmtId="17" fontId="56" fillId="0" borderId="16" xfId="1" applyNumberFormat="1" applyFont="1" applyFill="1" applyBorder="1" applyAlignment="1">
      <alignment horizontal="center" vertical="center"/>
    </xf>
    <xf numFmtId="2" fontId="56" fillId="0" borderId="26" xfId="1" applyNumberFormat="1" applyFont="1" applyFill="1" applyBorder="1" applyAlignment="1">
      <alignment horizontal="center" vertical="center"/>
    </xf>
    <xf numFmtId="2" fontId="56" fillId="0" borderId="27" xfId="1" applyNumberFormat="1" applyFont="1" applyFill="1" applyBorder="1" applyAlignment="1">
      <alignment horizontal="center" vertical="center"/>
    </xf>
    <xf numFmtId="2" fontId="56" fillId="0" borderId="28" xfId="1" applyNumberFormat="1" applyFont="1" applyFill="1" applyBorder="1" applyAlignment="1">
      <alignment horizontal="center" vertical="center"/>
    </xf>
    <xf numFmtId="1" fontId="56" fillId="0" borderId="29" xfId="1" applyNumberFormat="1" applyFont="1" applyFill="1" applyBorder="1" applyAlignment="1">
      <alignment horizontal="center" vertical="center"/>
    </xf>
    <xf numFmtId="0" fontId="54" fillId="0" borderId="0" xfId="1" applyFont="1" applyAlignment="1">
      <alignment horizontal="center" vertical="center"/>
    </xf>
    <xf numFmtId="17" fontId="56" fillId="0" borderId="26" xfId="1" applyNumberFormat="1" applyFont="1" applyFill="1" applyBorder="1" applyAlignment="1">
      <alignment horizontal="center" vertical="center"/>
    </xf>
    <xf numFmtId="17" fontId="23" fillId="0" borderId="25" xfId="1" applyNumberFormat="1" applyFont="1" applyFill="1" applyBorder="1" applyAlignment="1">
      <alignment horizontal="left" vertical="center"/>
    </xf>
    <xf numFmtId="2" fontId="23" fillId="0" borderId="31" xfId="1" applyNumberFormat="1" applyFont="1" applyFill="1" applyBorder="1" applyAlignment="1">
      <alignment horizontal="center" vertical="center"/>
    </xf>
    <xf numFmtId="2" fontId="23" fillId="0" borderId="32" xfId="1" applyNumberFormat="1" applyFont="1" applyFill="1" applyBorder="1" applyAlignment="1">
      <alignment horizontal="center" vertical="center"/>
    </xf>
    <xf numFmtId="2" fontId="23" fillId="0" borderId="22" xfId="1" applyNumberFormat="1" applyFont="1" applyFill="1" applyBorder="1" applyAlignment="1">
      <alignment horizontal="center" vertical="center"/>
    </xf>
    <xf numFmtId="1" fontId="23" fillId="0" borderId="23" xfId="1" applyNumberFormat="1" applyFont="1" applyFill="1" applyBorder="1" applyAlignment="1">
      <alignment horizontal="center" vertical="center"/>
    </xf>
    <xf numFmtId="17" fontId="23" fillId="0" borderId="30" xfId="1" applyNumberFormat="1" applyFont="1" applyFill="1" applyBorder="1" applyAlignment="1">
      <alignment horizontal="left" vertical="center"/>
    </xf>
    <xf numFmtId="2" fontId="23" fillId="0" borderId="34" xfId="1" applyNumberFormat="1" applyFont="1" applyFill="1" applyBorder="1" applyAlignment="1">
      <alignment horizontal="center" vertical="center"/>
    </xf>
    <xf numFmtId="2" fontId="23" fillId="0" borderId="27" xfId="1" applyNumberFormat="1" applyFont="1" applyFill="1" applyBorder="1" applyAlignment="1">
      <alignment horizontal="center" vertical="center"/>
    </xf>
    <xf numFmtId="2" fontId="23" fillId="0" borderId="28" xfId="1" applyNumberFormat="1" applyFont="1" applyFill="1" applyBorder="1" applyAlignment="1">
      <alignment horizontal="center" vertical="center"/>
    </xf>
    <xf numFmtId="1" fontId="23" fillId="0" borderId="29" xfId="1" applyNumberFormat="1" applyFont="1" applyFill="1" applyBorder="1" applyAlignment="1">
      <alignment horizontal="center" vertical="center"/>
    </xf>
    <xf numFmtId="2" fontId="56" fillId="0" borderId="36" xfId="1" applyNumberFormat="1" applyFont="1" applyFill="1" applyBorder="1" applyAlignment="1">
      <alignment horizontal="center" vertical="center"/>
    </xf>
    <xf numFmtId="2" fontId="56" fillId="0" borderId="37" xfId="1" applyNumberFormat="1" applyFont="1" applyFill="1" applyBorder="1" applyAlignment="1">
      <alignment horizontal="center" vertical="center"/>
    </xf>
    <xf numFmtId="17" fontId="56" fillId="0" borderId="36" xfId="1" applyNumberFormat="1" applyFont="1" applyFill="1" applyBorder="1" applyAlignment="1">
      <alignment horizontal="center" vertical="center"/>
    </xf>
    <xf numFmtId="17" fontId="23" fillId="0" borderId="38" xfId="1" applyNumberFormat="1" applyFont="1" applyFill="1" applyBorder="1" applyAlignment="1">
      <alignment horizontal="left" vertical="center"/>
    </xf>
    <xf numFmtId="2" fontId="23" fillId="0" borderId="39" xfId="1" applyNumberFormat="1" applyFont="1" applyFill="1" applyBorder="1" applyAlignment="1">
      <alignment horizontal="center" vertical="center"/>
    </xf>
    <xf numFmtId="2" fontId="23" fillId="0" borderId="37" xfId="1" applyNumberFormat="1" applyFont="1" applyFill="1" applyBorder="1" applyAlignment="1">
      <alignment horizontal="center" vertical="center"/>
    </xf>
    <xf numFmtId="2" fontId="23" fillId="0" borderId="41" xfId="1" applyNumberFormat="1" applyFont="1" applyFill="1" applyBorder="1" applyAlignment="1">
      <alignment horizontal="center" vertical="center"/>
    </xf>
    <xf numFmtId="1" fontId="23" fillId="0" borderId="52" xfId="1" applyNumberFormat="1" applyFont="1" applyFill="1" applyBorder="1" applyAlignment="1">
      <alignment horizontal="center" vertical="center"/>
    </xf>
    <xf numFmtId="0" fontId="56" fillId="0" borderId="13" xfId="1" applyFont="1" applyFill="1" applyBorder="1" applyAlignment="1">
      <alignment horizontal="center" vertical="center"/>
    </xf>
    <xf numFmtId="2" fontId="56" fillId="0" borderId="6" xfId="1" applyNumberFormat="1" applyFont="1" applyFill="1" applyBorder="1" applyAlignment="1">
      <alignment horizontal="center" vertical="center"/>
    </xf>
    <xf numFmtId="2" fontId="56" fillId="0" borderId="7" xfId="1" applyNumberFormat="1" applyFont="1" applyFill="1" applyBorder="1" applyAlignment="1">
      <alignment horizontal="center" vertical="center"/>
    </xf>
    <xf numFmtId="2" fontId="56" fillId="0" borderId="11" xfId="1" applyNumberFormat="1" applyFont="1" applyFill="1" applyBorder="1" applyAlignment="1">
      <alignment horizontal="center" vertical="center"/>
    </xf>
    <xf numFmtId="1" fontId="56" fillId="0" borderId="14" xfId="1" applyNumberFormat="1" applyFont="1" applyFill="1" applyBorder="1" applyAlignment="1">
      <alignment horizontal="center" vertical="center"/>
    </xf>
    <xf numFmtId="0" fontId="56" fillId="0" borderId="57" xfId="1" applyFont="1" applyFill="1" applyBorder="1" applyAlignment="1">
      <alignment horizontal="center" vertical="center"/>
    </xf>
    <xf numFmtId="0" fontId="56" fillId="0" borderId="6" xfId="1" applyFont="1" applyFill="1" applyBorder="1" applyAlignment="1">
      <alignment horizontal="center" vertical="center"/>
    </xf>
    <xf numFmtId="2" fontId="62" fillId="0" borderId="5" xfId="1" applyNumberFormat="1" applyFont="1" applyBorder="1" applyAlignment="1">
      <alignment horizontal="center" vertical="center"/>
    </xf>
    <xf numFmtId="2" fontId="62" fillId="0" borderId="0" xfId="1" applyNumberFormat="1" applyFont="1" applyAlignment="1">
      <alignment horizontal="center" vertical="center"/>
    </xf>
    <xf numFmtId="0" fontId="23" fillId="0" borderId="9" xfId="1" applyFont="1" applyFill="1" applyBorder="1" applyAlignment="1">
      <alignment horizontal="left" vertical="center"/>
    </xf>
    <xf numFmtId="2" fontId="23" fillId="0" borderId="10" xfId="1" applyNumberFormat="1" applyFont="1" applyFill="1" applyBorder="1" applyAlignment="1">
      <alignment horizontal="center" vertical="center"/>
    </xf>
    <xf numFmtId="2" fontId="23" fillId="0" borderId="7" xfId="1" applyNumberFormat="1" applyFont="1" applyFill="1" applyBorder="1" applyAlignment="1">
      <alignment horizontal="center" vertical="center"/>
    </xf>
    <xf numFmtId="2" fontId="23" fillId="0" borderId="12" xfId="1" applyNumberFormat="1" applyFont="1" applyFill="1" applyBorder="1" applyAlignment="1">
      <alignment horizontal="center" vertical="center"/>
    </xf>
    <xf numFmtId="1" fontId="23" fillId="0" borderId="9" xfId="1" applyNumberFormat="1" applyFont="1" applyFill="1" applyBorder="1" applyAlignment="1">
      <alignment horizontal="center" vertical="center"/>
    </xf>
    <xf numFmtId="2" fontId="58" fillId="0" borderId="0" xfId="1" applyNumberFormat="1" applyFont="1" applyFill="1" applyBorder="1" applyAlignment="1">
      <alignment horizontal="center" vertical="center"/>
    </xf>
    <xf numFmtId="2" fontId="61" fillId="0" borderId="0" xfId="1" applyNumberFormat="1" applyFont="1" applyFill="1" applyBorder="1" applyAlignment="1">
      <alignment horizontal="left" vertical="center"/>
    </xf>
    <xf numFmtId="2" fontId="61" fillId="0" borderId="0" xfId="1" applyNumberFormat="1" applyFont="1" applyFill="1" applyBorder="1" applyAlignment="1">
      <alignment horizontal="center" vertical="center"/>
    </xf>
    <xf numFmtId="0" fontId="29" fillId="0" borderId="0" xfId="1" applyFont="1" applyAlignment="1">
      <alignment horizontal="left" vertical="center"/>
    </xf>
    <xf numFmtId="2" fontId="60" fillId="0" borderId="0" xfId="1" applyNumberFormat="1" applyFont="1" applyFill="1" applyBorder="1" applyAlignment="1">
      <alignment horizontal="center" vertical="center"/>
    </xf>
    <xf numFmtId="2" fontId="60" fillId="0" borderId="0" xfId="1" applyNumberFormat="1" applyFont="1" applyFill="1" applyBorder="1" applyAlignment="1">
      <alignment horizontal="left" vertical="center"/>
    </xf>
    <xf numFmtId="17" fontId="56" fillId="0" borderId="0" xfId="1" applyNumberFormat="1" applyFont="1" applyFill="1" applyBorder="1" applyAlignment="1">
      <alignment horizontal="center" vertical="center"/>
    </xf>
    <xf numFmtId="2" fontId="56" fillId="0" borderId="0" xfId="1" applyNumberFormat="1" applyFont="1" applyFill="1" applyBorder="1" applyAlignment="1">
      <alignment horizontal="center" vertical="center"/>
    </xf>
    <xf numFmtId="0" fontId="47" fillId="0" borderId="0" xfId="1" applyFont="1" applyFill="1" applyBorder="1" applyAlignment="1">
      <alignment horizontal="center" vertical="center"/>
    </xf>
    <xf numFmtId="0" fontId="47" fillId="0" borderId="5" xfId="1" applyFont="1" applyFill="1" applyBorder="1" applyAlignment="1">
      <alignment horizontal="center" vertical="center"/>
    </xf>
    <xf numFmtId="17" fontId="63" fillId="0" borderId="0" xfId="1" applyNumberFormat="1" applyFont="1" applyFill="1" applyBorder="1" applyAlignment="1">
      <alignment horizontal="left" vertical="center"/>
    </xf>
    <xf numFmtId="2" fontId="63" fillId="0" borderId="0" xfId="1" applyNumberFormat="1" applyFont="1" applyFill="1" applyBorder="1" applyAlignment="1">
      <alignment horizontal="center" vertical="center"/>
    </xf>
    <xf numFmtId="0" fontId="29" fillId="0" borderId="0" xfId="1" applyFont="1" applyFill="1" applyBorder="1" applyAlignment="1">
      <alignment horizontal="left" vertical="center"/>
    </xf>
    <xf numFmtId="0" fontId="29" fillId="0" borderId="0" xfId="1" applyFont="1" applyFill="1" applyBorder="1" applyAlignment="1">
      <alignment horizontal="center" vertical="center"/>
    </xf>
    <xf numFmtId="2" fontId="23" fillId="0" borderId="0" xfId="1" applyNumberFormat="1" applyFont="1" applyFill="1" applyBorder="1" applyAlignment="1">
      <alignment horizontal="center" vertical="center"/>
    </xf>
    <xf numFmtId="2" fontId="23" fillId="0" borderId="0" xfId="1" applyNumberFormat="1" applyFont="1" applyFill="1" applyBorder="1" applyAlignment="1">
      <alignment horizontal="left" vertical="center"/>
    </xf>
    <xf numFmtId="0" fontId="58" fillId="0" borderId="0" xfId="1" applyFont="1" applyFill="1" applyBorder="1" applyAlignment="1">
      <alignment horizontal="center" vertical="center"/>
    </xf>
    <xf numFmtId="1" fontId="58" fillId="0" borderId="0" xfId="1" applyNumberFormat="1" applyFont="1" applyFill="1" applyBorder="1" applyAlignment="1">
      <alignment horizontal="center" vertical="center"/>
    </xf>
    <xf numFmtId="0" fontId="46" fillId="0" borderId="0" xfId="1" applyFont="1" applyFill="1" applyBorder="1" applyAlignment="1">
      <alignment horizontal="center" vertical="center"/>
    </xf>
    <xf numFmtId="0" fontId="54" fillId="0" borderId="0" xfId="1" applyFont="1" applyFill="1" applyBorder="1" applyAlignment="1">
      <alignment horizontal="center" vertical="center"/>
    </xf>
    <xf numFmtId="0" fontId="61" fillId="0" borderId="0" xfId="1" applyFont="1" applyFill="1" applyBorder="1" applyAlignment="1">
      <alignment horizontal="left" vertical="center"/>
    </xf>
    <xf numFmtId="1" fontId="61" fillId="0" borderId="0" xfId="1" applyNumberFormat="1" applyFont="1" applyFill="1" applyBorder="1" applyAlignment="1">
      <alignment horizontal="center" vertical="center"/>
    </xf>
    <xf numFmtId="0" fontId="51" fillId="0" borderId="0" xfId="1" applyFont="1" applyFill="1" applyBorder="1" applyAlignment="1">
      <alignment horizontal="left" vertical="center"/>
    </xf>
    <xf numFmtId="0" fontId="64" fillId="0" borderId="0" xfId="1" applyFont="1" applyFill="1" applyAlignment="1">
      <alignment horizontal="center" vertical="center"/>
    </xf>
    <xf numFmtId="0" fontId="50" fillId="0" borderId="0" xfId="1" applyFont="1" applyAlignment="1">
      <alignment horizontal="left" vertical="center" readingOrder="1"/>
    </xf>
    <xf numFmtId="2" fontId="47" fillId="0" borderId="0" xfId="1" applyNumberFormat="1" applyFont="1" applyFill="1" applyAlignment="1">
      <alignment horizontal="center" vertical="center"/>
    </xf>
    <xf numFmtId="0" fontId="53" fillId="0" borderId="0" xfId="1" applyFont="1" applyAlignment="1">
      <alignment horizontal="center" vertical="center"/>
    </xf>
    <xf numFmtId="2" fontId="29" fillId="0" borderId="0" xfId="1" applyNumberFormat="1" applyFont="1" applyFill="1" applyAlignment="1">
      <alignment horizontal="center" vertical="center"/>
    </xf>
    <xf numFmtId="0" fontId="61" fillId="0" borderId="0" xfId="1" applyFont="1" applyAlignment="1">
      <alignment horizontal="center" vertical="center"/>
    </xf>
    <xf numFmtId="0" fontId="60" fillId="0" borderId="0" xfId="1" applyFont="1" applyFill="1" applyAlignment="1">
      <alignment horizontal="center" vertical="center"/>
    </xf>
    <xf numFmtId="1" fontId="56" fillId="0" borderId="52" xfId="1" applyNumberFormat="1" applyFont="1" applyFill="1" applyBorder="1" applyAlignment="1">
      <alignment horizontal="center" vertical="center"/>
    </xf>
    <xf numFmtId="2" fontId="60" fillId="0" borderId="5" xfId="1" applyNumberFormat="1" applyFont="1" applyFill="1" applyBorder="1" applyAlignment="1">
      <alignment horizontal="center" vertical="center"/>
    </xf>
    <xf numFmtId="0" fontId="60" fillId="0" borderId="0" xfId="1" applyFont="1" applyAlignment="1">
      <alignment horizontal="left" vertical="center"/>
    </xf>
    <xf numFmtId="17" fontId="56" fillId="0" borderId="0" xfId="1" applyNumberFormat="1" applyFont="1" applyFill="1" applyBorder="1" applyAlignment="1">
      <alignment horizontal="left" vertical="center"/>
    </xf>
    <xf numFmtId="2" fontId="56" fillId="0" borderId="0" xfId="1" applyNumberFormat="1" applyFont="1" applyFill="1" applyBorder="1" applyAlignment="1">
      <alignment horizontal="left" vertical="center"/>
    </xf>
    <xf numFmtId="0" fontId="47" fillId="0" borderId="0" xfId="1" applyFont="1" applyBorder="1" applyAlignment="1">
      <alignment horizontal="center" vertical="center"/>
    </xf>
    <xf numFmtId="0" fontId="58" fillId="0" borderId="0" xfId="1" applyFont="1" applyFill="1" applyBorder="1" applyAlignment="1">
      <alignment horizontal="left" vertical="center"/>
    </xf>
    <xf numFmtId="0" fontId="46" fillId="0" borderId="0" xfId="1" applyFont="1" applyFill="1" applyBorder="1" applyAlignment="1">
      <alignment horizontal="left" vertical="center"/>
    </xf>
    <xf numFmtId="0" fontId="66" fillId="0" borderId="0" xfId="1" applyFont="1" applyFill="1" applyAlignment="1">
      <alignment horizontal="center" vertical="center"/>
    </xf>
    <xf numFmtId="0" fontId="67" fillId="0" borderId="0" xfId="1" applyFont="1" applyAlignment="1">
      <alignment horizontal="center" vertical="center"/>
    </xf>
    <xf numFmtId="0" fontId="68" fillId="0" borderId="0" xfId="1" applyFont="1" applyFill="1" applyAlignment="1">
      <alignment horizontal="center" vertical="center"/>
    </xf>
    <xf numFmtId="0" fontId="69" fillId="0" borderId="0" xfId="1" applyFont="1" applyFill="1" applyAlignment="1">
      <alignment horizontal="center" vertical="center"/>
    </xf>
    <xf numFmtId="0" fontId="47" fillId="0" borderId="0" xfId="1" applyFont="1" applyAlignment="1">
      <alignment horizontal="left" vertical="center"/>
    </xf>
    <xf numFmtId="0" fontId="56" fillId="0" borderId="0" xfId="1" applyFont="1" applyFill="1" applyAlignment="1">
      <alignment horizontal="left" vertical="center"/>
    </xf>
    <xf numFmtId="0" fontId="47" fillId="0" borderId="0" xfId="1" applyFont="1" applyFill="1" applyAlignment="1">
      <alignment horizontal="left" vertical="center"/>
    </xf>
    <xf numFmtId="0" fontId="54" fillId="0" borderId="47" xfId="1" applyFont="1" applyFill="1" applyBorder="1" applyAlignment="1">
      <alignment horizontal="center" vertical="center"/>
    </xf>
    <xf numFmtId="0" fontId="47" fillId="0" borderId="19" xfId="1" applyFont="1" applyBorder="1" applyAlignment="1">
      <alignment horizontal="center" vertical="center"/>
    </xf>
    <xf numFmtId="0" fontId="57" fillId="0" borderId="6" xfId="1" applyFont="1" applyFill="1" applyBorder="1" applyAlignment="1">
      <alignment horizontal="left" vertical="center"/>
    </xf>
    <xf numFmtId="0" fontId="58" fillId="0" borderId="20" xfId="1" applyFont="1" applyFill="1" applyBorder="1" applyAlignment="1">
      <alignment horizontal="left" vertical="center"/>
    </xf>
    <xf numFmtId="1" fontId="47" fillId="0" borderId="0" xfId="1" applyNumberFormat="1" applyFont="1" applyAlignment="1">
      <alignment horizontal="center" vertical="center"/>
    </xf>
    <xf numFmtId="17" fontId="56" fillId="0" borderId="26" xfId="1" applyNumberFormat="1" applyFont="1" applyFill="1" applyBorder="1" applyAlignment="1">
      <alignment horizontal="left" vertical="center"/>
    </xf>
    <xf numFmtId="17" fontId="56" fillId="0" borderId="36" xfId="1" applyNumberFormat="1" applyFont="1" applyFill="1" applyBorder="1" applyAlignment="1">
      <alignment horizontal="left" vertical="center"/>
    </xf>
    <xf numFmtId="0" fontId="56" fillId="0" borderId="6" xfId="1" applyFont="1" applyFill="1" applyBorder="1" applyAlignment="1">
      <alignment horizontal="left" vertical="center"/>
    </xf>
    <xf numFmtId="0" fontId="56" fillId="0" borderId="0" xfId="1" applyFont="1" applyFill="1" applyBorder="1" applyAlignment="1">
      <alignment horizontal="center" vertical="center"/>
    </xf>
    <xf numFmtId="0" fontId="68" fillId="0" borderId="0" xfId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/>
    </xf>
    <xf numFmtId="0" fontId="69" fillId="0" borderId="0" xfId="1" applyFont="1" applyFill="1" applyBorder="1" applyAlignment="1">
      <alignment horizontal="center" vertical="center"/>
    </xf>
    <xf numFmtId="0" fontId="29" fillId="0" borderId="49" xfId="1" applyFont="1" applyFill="1" applyBorder="1" applyAlignment="1">
      <alignment horizontal="center" vertical="center"/>
    </xf>
    <xf numFmtId="0" fontId="29" fillId="0" borderId="48" xfId="1" applyFont="1" applyFill="1" applyBorder="1" applyAlignment="1">
      <alignment horizontal="center" vertical="center"/>
    </xf>
    <xf numFmtId="0" fontId="29" fillId="0" borderId="8" xfId="1" applyFont="1" applyFill="1" applyBorder="1" applyAlignment="1">
      <alignment horizontal="center" vertical="center"/>
    </xf>
    <xf numFmtId="0" fontId="57" fillId="0" borderId="0" xfId="1" applyFont="1" applyFill="1" applyBorder="1" applyAlignment="1">
      <alignment horizontal="center" vertical="center"/>
    </xf>
    <xf numFmtId="0" fontId="54" fillId="0" borderId="0" xfId="1" applyFont="1" applyBorder="1" applyAlignment="1">
      <alignment horizontal="center" vertical="center"/>
    </xf>
    <xf numFmtId="2" fontId="57" fillId="0" borderId="0" xfId="1" applyNumberFormat="1" applyFont="1" applyFill="1" applyBorder="1" applyAlignment="1">
      <alignment horizontal="center" vertical="center"/>
    </xf>
    <xf numFmtId="164" fontId="57" fillId="0" borderId="0" xfId="1" applyNumberFormat="1" applyFont="1" applyFill="1" applyBorder="1" applyAlignment="1">
      <alignment horizontal="center" vertical="center"/>
    </xf>
    <xf numFmtId="0" fontId="30" fillId="0" borderId="15" xfId="1" applyFont="1" applyFill="1" applyBorder="1" applyAlignment="1">
      <alignment horizontal="left" vertical="center"/>
    </xf>
    <xf numFmtId="2" fontId="30" fillId="0" borderId="20" xfId="1" applyNumberFormat="1" applyFont="1" applyFill="1" applyBorder="1" applyAlignment="1">
      <alignment horizontal="center" vertical="center"/>
    </xf>
    <xf numFmtId="2" fontId="30" fillId="0" borderId="21" xfId="1" applyNumberFormat="1" applyFont="1" applyFill="1" applyBorder="1" applyAlignment="1">
      <alignment horizontal="center" vertical="center"/>
    </xf>
    <xf numFmtId="1" fontId="30" fillId="0" borderId="24" xfId="1" applyNumberFormat="1" applyFont="1" applyFill="1" applyBorder="1" applyAlignment="1">
      <alignment horizontal="center" vertical="center"/>
    </xf>
    <xf numFmtId="0" fontId="71" fillId="0" borderId="0" xfId="1" applyFont="1" applyFill="1" applyBorder="1" applyAlignment="1">
      <alignment horizontal="center" vertical="center"/>
    </xf>
    <xf numFmtId="2" fontId="71" fillId="0" borderId="0" xfId="1" applyNumberFormat="1" applyFont="1" applyFill="1" applyBorder="1" applyAlignment="1">
      <alignment horizontal="center" vertical="center"/>
    </xf>
    <xf numFmtId="164" fontId="71" fillId="0" borderId="0" xfId="1" applyNumberFormat="1" applyFont="1" applyFill="1" applyBorder="1" applyAlignment="1">
      <alignment horizontal="center" vertical="center"/>
    </xf>
    <xf numFmtId="0" fontId="72" fillId="0" borderId="0" xfId="1" applyFont="1" applyFill="1" applyBorder="1" applyAlignment="1">
      <alignment horizontal="center" vertical="center"/>
    </xf>
    <xf numFmtId="164" fontId="72" fillId="0" borderId="0" xfId="1" applyNumberFormat="1" applyFont="1" applyFill="1" applyBorder="1" applyAlignment="1">
      <alignment horizontal="center" vertical="center"/>
    </xf>
    <xf numFmtId="0" fontId="65" fillId="0" borderId="0" xfId="1" applyFont="1" applyAlignment="1">
      <alignment horizontal="left" vertical="center"/>
    </xf>
    <xf numFmtId="0" fontId="60" fillId="3" borderId="58" xfId="1" applyFont="1" applyFill="1" applyBorder="1" applyAlignment="1">
      <alignment horizontal="left" vertical="center"/>
    </xf>
    <xf numFmtId="2" fontId="60" fillId="3" borderId="57" xfId="1" applyNumberFormat="1" applyFont="1" applyFill="1" applyBorder="1" applyAlignment="1">
      <alignment horizontal="center" vertical="center"/>
    </xf>
    <xf numFmtId="2" fontId="60" fillId="3" borderId="59" xfId="1" applyNumberFormat="1" applyFont="1" applyFill="1" applyBorder="1" applyAlignment="1">
      <alignment horizontal="center" vertical="center"/>
    </xf>
    <xf numFmtId="1" fontId="60" fillId="3" borderId="60" xfId="1" applyNumberFormat="1" applyFont="1" applyFill="1" applyBorder="1" applyAlignment="1">
      <alignment horizontal="center" vertical="center"/>
    </xf>
    <xf numFmtId="1" fontId="56" fillId="0" borderId="0" xfId="1" applyNumberFormat="1" applyFont="1" applyFill="1" applyBorder="1" applyAlignment="1">
      <alignment horizontal="center" vertical="center"/>
    </xf>
    <xf numFmtId="0" fontId="65" fillId="0" borderId="0" xfId="1" applyFont="1" applyAlignment="1">
      <alignment horizontal="left" vertical="center" readingOrder="1"/>
    </xf>
    <xf numFmtId="17" fontId="23" fillId="0" borderId="44" xfId="1" applyNumberFormat="1" applyFont="1" applyFill="1" applyBorder="1" applyAlignment="1">
      <alignment horizontal="left" vertical="center"/>
    </xf>
    <xf numFmtId="2" fontId="23" fillId="0" borderId="45" xfId="1" applyNumberFormat="1" applyFont="1" applyFill="1" applyBorder="1" applyAlignment="1">
      <alignment horizontal="center" vertical="center"/>
    </xf>
    <xf numFmtId="1" fontId="23" fillId="0" borderId="22" xfId="1" applyNumberFormat="1" applyFont="1" applyFill="1" applyBorder="1" applyAlignment="1">
      <alignment horizontal="center" vertical="center"/>
    </xf>
    <xf numFmtId="17" fontId="23" fillId="0" borderId="16" xfId="1" applyNumberFormat="1" applyFont="1" applyFill="1" applyBorder="1" applyAlignment="1">
      <alignment horizontal="left" vertical="center"/>
    </xf>
    <xf numFmtId="2" fontId="23" fillId="0" borderId="26" xfId="1" applyNumberFormat="1" applyFont="1" applyFill="1" applyBorder="1" applyAlignment="1">
      <alignment horizontal="center" vertical="center"/>
    </xf>
    <xf numFmtId="1" fontId="23" fillId="0" borderId="28" xfId="1" applyNumberFormat="1" applyFont="1" applyFill="1" applyBorder="1" applyAlignment="1">
      <alignment horizontal="center" vertical="center"/>
    </xf>
    <xf numFmtId="0" fontId="54" fillId="0" borderId="4" xfId="1" applyFont="1" applyFill="1" applyBorder="1" applyAlignment="1">
      <alignment horizontal="center" vertical="center"/>
    </xf>
    <xf numFmtId="0" fontId="57" fillId="0" borderId="9" xfId="1" applyFont="1" applyFill="1" applyBorder="1" applyAlignment="1">
      <alignment horizontal="center" vertical="center"/>
    </xf>
    <xf numFmtId="0" fontId="58" fillId="3" borderId="9" xfId="1" applyFont="1" applyFill="1" applyBorder="1" applyAlignment="1">
      <alignment horizontal="left" vertical="center"/>
    </xf>
    <xf numFmtId="2" fontId="58" fillId="3" borderId="10" xfId="1" applyNumberFormat="1" applyFont="1" applyFill="1" applyBorder="1" applyAlignment="1">
      <alignment horizontal="center" vertical="center"/>
    </xf>
    <xf numFmtId="2" fontId="58" fillId="3" borderId="7" xfId="1" applyNumberFormat="1" applyFont="1" applyFill="1" applyBorder="1" applyAlignment="1">
      <alignment horizontal="center" vertical="center"/>
    </xf>
    <xf numFmtId="2" fontId="58" fillId="3" borderId="11" xfId="1" applyNumberFormat="1" applyFont="1" applyFill="1" applyBorder="1" applyAlignment="1">
      <alignment horizontal="center" vertical="center"/>
    </xf>
    <xf numFmtId="1" fontId="58" fillId="3" borderId="9" xfId="1" applyNumberFormat="1" applyFont="1" applyFill="1" applyBorder="1" applyAlignment="1">
      <alignment horizontal="center" vertical="center"/>
    </xf>
    <xf numFmtId="17" fontId="56" fillId="0" borderId="25" xfId="1" applyNumberFormat="1" applyFont="1" applyFill="1" applyBorder="1" applyAlignment="1">
      <alignment horizontal="left" vertical="center"/>
    </xf>
    <xf numFmtId="2" fontId="56" fillId="0" borderId="31" xfId="1" applyNumberFormat="1" applyFont="1" applyFill="1" applyBorder="1" applyAlignment="1">
      <alignment horizontal="center" vertical="center"/>
    </xf>
    <xf numFmtId="2" fontId="56" fillId="0" borderId="32" xfId="1" applyNumberFormat="1" applyFont="1" applyFill="1" applyBorder="1" applyAlignment="1">
      <alignment horizontal="center" vertical="center"/>
    </xf>
    <xf numFmtId="2" fontId="56" fillId="0" borderId="22" xfId="1" applyNumberFormat="1" applyFont="1" applyFill="1" applyBorder="1" applyAlignment="1">
      <alignment horizontal="center" vertical="center"/>
    </xf>
    <xf numFmtId="1" fontId="56" fillId="0" borderId="23" xfId="1" applyNumberFormat="1" applyFont="1" applyFill="1" applyBorder="1" applyAlignment="1">
      <alignment horizontal="center" vertical="center"/>
    </xf>
    <xf numFmtId="17" fontId="56" fillId="0" borderId="30" xfId="1" applyNumberFormat="1" applyFont="1" applyFill="1" applyBorder="1" applyAlignment="1">
      <alignment horizontal="left" vertical="center"/>
    </xf>
    <xf numFmtId="2" fontId="56" fillId="0" borderId="34" xfId="1" applyNumberFormat="1" applyFont="1" applyFill="1" applyBorder="1" applyAlignment="1">
      <alignment horizontal="center" vertical="center"/>
    </xf>
    <xf numFmtId="17" fontId="23" fillId="0" borderId="46" xfId="1" applyNumberFormat="1" applyFont="1" applyFill="1" applyBorder="1" applyAlignment="1">
      <alignment horizontal="left" vertical="center"/>
    </xf>
    <xf numFmtId="2" fontId="23" fillId="0" borderId="36" xfId="1" applyNumberFormat="1" applyFont="1" applyFill="1" applyBorder="1" applyAlignment="1">
      <alignment horizontal="center" vertical="center"/>
    </xf>
    <xf numFmtId="1" fontId="23" fillId="0" borderId="41" xfId="1" applyNumberFormat="1" applyFont="1" applyFill="1" applyBorder="1" applyAlignment="1">
      <alignment horizontal="center" vertical="center"/>
    </xf>
    <xf numFmtId="0" fontId="23" fillId="0" borderId="13" xfId="1" applyFont="1" applyFill="1" applyBorder="1" applyAlignment="1">
      <alignment horizontal="left" vertical="center"/>
    </xf>
    <xf numFmtId="2" fontId="23" fillId="0" borderId="6" xfId="1" applyNumberFormat="1" applyFont="1" applyFill="1" applyBorder="1" applyAlignment="1">
      <alignment horizontal="center" vertical="center"/>
    </xf>
    <xf numFmtId="1" fontId="23" fillId="0" borderId="11" xfId="1" applyNumberFormat="1" applyFont="1" applyFill="1" applyBorder="1" applyAlignment="1">
      <alignment horizontal="center" vertical="center"/>
    </xf>
    <xf numFmtId="0" fontId="29" fillId="0" borderId="0" xfId="1" applyFont="1" applyBorder="1" applyAlignment="1">
      <alignment horizontal="center" vertical="center"/>
    </xf>
    <xf numFmtId="0" fontId="52" fillId="0" borderId="0" xfId="1" applyFont="1" applyFill="1" applyBorder="1" applyAlignment="1">
      <alignment horizontal="center" vertical="center"/>
    </xf>
    <xf numFmtId="17" fontId="23" fillId="0" borderId="0" xfId="1" applyNumberFormat="1" applyFont="1" applyFill="1" applyBorder="1" applyAlignment="1">
      <alignment horizontal="left" vertical="center"/>
    </xf>
    <xf numFmtId="1" fontId="23" fillId="0" borderId="0" xfId="1" applyNumberFormat="1" applyFont="1" applyFill="1" applyBorder="1" applyAlignment="1">
      <alignment horizontal="center" vertical="center"/>
    </xf>
    <xf numFmtId="164" fontId="56" fillId="0" borderId="0" xfId="1" applyNumberFormat="1" applyFont="1" applyFill="1" applyBorder="1" applyAlignment="1">
      <alignment horizontal="center" vertical="center"/>
    </xf>
    <xf numFmtId="17" fontId="47" fillId="0" borderId="0" xfId="1" applyNumberFormat="1" applyFont="1" applyFill="1" applyBorder="1" applyAlignment="1">
      <alignment horizontal="left" vertical="center"/>
    </xf>
    <xf numFmtId="2" fontId="47" fillId="0" borderId="0" xfId="1" applyNumberFormat="1" applyFont="1" applyFill="1" applyBorder="1" applyAlignment="1">
      <alignment horizontal="center" vertical="center"/>
    </xf>
    <xf numFmtId="0" fontId="58" fillId="3" borderId="0" xfId="1" applyFont="1" applyFill="1" applyBorder="1" applyAlignment="1">
      <alignment horizontal="center" vertical="center"/>
    </xf>
    <xf numFmtId="2" fontId="58" fillId="3" borderId="0" xfId="1" applyNumberFormat="1" applyFont="1" applyFill="1" applyBorder="1" applyAlignment="1">
      <alignment horizontal="center" vertical="center"/>
    </xf>
    <xf numFmtId="2" fontId="58" fillId="0" borderId="0" xfId="1" applyNumberFormat="1" applyFont="1" applyFill="1" applyBorder="1" applyAlignment="1">
      <alignment horizontal="left" vertical="center"/>
    </xf>
    <xf numFmtId="17" fontId="56" fillId="0" borderId="42" xfId="1" applyNumberFormat="1" applyFont="1" applyFill="1" applyBorder="1" applyAlignment="1">
      <alignment horizontal="left" vertical="center"/>
    </xf>
    <xf numFmtId="2" fontId="56" fillId="0" borderId="39" xfId="1" applyNumberFormat="1" applyFont="1" applyFill="1" applyBorder="1" applyAlignment="1">
      <alignment horizontal="center" vertical="center"/>
    </xf>
    <xf numFmtId="2" fontId="56" fillId="0" borderId="41" xfId="1" applyNumberFormat="1" applyFont="1" applyFill="1" applyBorder="1" applyAlignment="1">
      <alignment horizontal="center" vertical="center"/>
    </xf>
    <xf numFmtId="0" fontId="56" fillId="0" borderId="13" xfId="1" applyFont="1" applyFill="1" applyBorder="1" applyAlignment="1">
      <alignment horizontal="left" vertical="center"/>
    </xf>
    <xf numFmtId="2" fontId="54" fillId="0" borderId="0" xfId="1" applyNumberFormat="1" applyFont="1" applyFill="1" applyBorder="1" applyAlignment="1">
      <alignment horizontal="center" vertical="center"/>
    </xf>
    <xf numFmtId="1" fontId="54" fillId="0" borderId="0" xfId="1" applyNumberFormat="1" applyFont="1" applyFill="1" applyBorder="1" applyAlignment="1">
      <alignment horizontal="center" vertical="center"/>
    </xf>
    <xf numFmtId="0" fontId="47" fillId="0" borderId="0" xfId="1" applyFont="1" applyFill="1" applyBorder="1" applyAlignment="1">
      <alignment horizontal="left" vertical="center"/>
    </xf>
    <xf numFmtId="1" fontId="47" fillId="0" borderId="0" xfId="1" applyNumberFormat="1" applyFont="1" applyFill="1" applyBorder="1" applyAlignment="1">
      <alignment horizontal="center" vertical="center"/>
    </xf>
    <xf numFmtId="0" fontId="57" fillId="0" borderId="9" xfId="1" applyFont="1" applyFill="1" applyBorder="1" applyAlignment="1">
      <alignment horizontal="left" vertical="center"/>
    </xf>
    <xf numFmtId="2" fontId="57" fillId="0" borderId="10" xfId="1" applyNumberFormat="1" applyFont="1" applyFill="1" applyBorder="1" applyAlignment="1">
      <alignment horizontal="center" vertical="center"/>
    </xf>
    <xf numFmtId="2" fontId="58" fillId="3" borderId="12" xfId="1" applyNumberFormat="1" applyFont="1" applyFill="1" applyBorder="1" applyAlignment="1">
      <alignment horizontal="center" vertical="center"/>
    </xf>
    <xf numFmtId="0" fontId="54" fillId="0" borderId="0" xfId="1" applyFont="1" applyFill="1" applyAlignment="1">
      <alignment horizontal="left" vertical="center"/>
    </xf>
    <xf numFmtId="2" fontId="56" fillId="0" borderId="33" xfId="1" applyNumberFormat="1" applyFont="1" applyFill="1" applyBorder="1" applyAlignment="1">
      <alignment horizontal="center" vertical="center"/>
    </xf>
    <xf numFmtId="1" fontId="56" fillId="0" borderId="25" xfId="1" applyNumberFormat="1" applyFont="1" applyFill="1" applyBorder="1" applyAlignment="1">
      <alignment horizontal="center" vertical="center"/>
    </xf>
    <xf numFmtId="2" fontId="56" fillId="0" borderId="13" xfId="1" applyNumberFormat="1" applyFont="1" applyFill="1" applyBorder="1" applyAlignment="1">
      <alignment horizontal="center" vertical="center"/>
    </xf>
    <xf numFmtId="2" fontId="56" fillId="0" borderId="10" xfId="1" applyNumberFormat="1" applyFont="1" applyFill="1" applyBorder="1" applyAlignment="1">
      <alignment horizontal="center" vertical="center"/>
    </xf>
    <xf numFmtId="0" fontId="56" fillId="0" borderId="9" xfId="1" applyFont="1" applyFill="1" applyBorder="1" applyAlignment="1">
      <alignment horizontal="center" vertical="center"/>
    </xf>
    <xf numFmtId="2" fontId="56" fillId="0" borderId="35" xfId="1" applyNumberFormat="1" applyFont="1" applyFill="1" applyBorder="1" applyAlignment="1">
      <alignment horizontal="center" vertical="center"/>
    </xf>
    <xf numFmtId="1" fontId="56" fillId="0" borderId="30" xfId="1" applyNumberFormat="1" applyFont="1" applyFill="1" applyBorder="1" applyAlignment="1">
      <alignment horizontal="center" vertical="center"/>
    </xf>
    <xf numFmtId="2" fontId="47" fillId="0" borderId="27" xfId="1" applyNumberFormat="1" applyFont="1" applyBorder="1" applyAlignment="1">
      <alignment horizontal="center" vertical="center"/>
    </xf>
    <xf numFmtId="17" fontId="56" fillId="0" borderId="44" xfId="1" applyNumberFormat="1" applyFont="1" applyFill="1" applyBorder="1" applyAlignment="1">
      <alignment horizontal="left" vertical="center"/>
    </xf>
    <xf numFmtId="2" fontId="56" fillId="0" borderId="45" xfId="1" applyNumberFormat="1" applyFont="1" applyFill="1" applyBorder="1" applyAlignment="1">
      <alignment horizontal="center" vertical="center"/>
    </xf>
    <xf numFmtId="17" fontId="56" fillId="0" borderId="16" xfId="1" applyNumberFormat="1" applyFont="1" applyFill="1" applyBorder="1" applyAlignment="1">
      <alignment horizontal="left" vertical="center"/>
    </xf>
    <xf numFmtId="2" fontId="56" fillId="0" borderId="40" xfId="1" applyNumberFormat="1" applyFont="1" applyFill="1" applyBorder="1" applyAlignment="1">
      <alignment horizontal="center" vertical="center"/>
    </xf>
    <xf numFmtId="1" fontId="56" fillId="0" borderId="38" xfId="1" applyNumberFormat="1" applyFont="1" applyFill="1" applyBorder="1" applyAlignment="1">
      <alignment horizontal="center" vertical="center"/>
    </xf>
    <xf numFmtId="0" fontId="56" fillId="0" borderId="9" xfId="1" applyFont="1" applyFill="1" applyBorder="1" applyAlignment="1">
      <alignment horizontal="left" vertical="center"/>
    </xf>
    <xf numFmtId="2" fontId="56" fillId="0" borderId="12" xfId="1" applyNumberFormat="1" applyFont="1" applyFill="1" applyBorder="1" applyAlignment="1">
      <alignment horizontal="center" vertical="center"/>
    </xf>
    <xf numFmtId="1" fontId="56" fillId="0" borderId="9" xfId="1" applyNumberFormat="1" applyFont="1" applyFill="1" applyBorder="1" applyAlignment="1">
      <alignment horizontal="center" vertical="center"/>
    </xf>
    <xf numFmtId="0" fontId="73" fillId="0" borderId="0" xfId="1" applyFont="1" applyBorder="1" applyAlignment="1">
      <alignment horizontal="center" vertical="center"/>
    </xf>
    <xf numFmtId="0" fontId="74" fillId="0" borderId="0" xfId="1" applyNumberFormat="1" applyFont="1" applyBorder="1" applyAlignment="1">
      <alignment horizontal="center" vertical="center"/>
    </xf>
    <xf numFmtId="15" fontId="62" fillId="0" borderId="0" xfId="1" applyNumberFormat="1" applyFont="1" applyBorder="1" applyAlignment="1">
      <alignment horizontal="center" vertical="center"/>
    </xf>
    <xf numFmtId="2" fontId="62" fillId="0" borderId="0" xfId="1" applyNumberFormat="1" applyFont="1" applyBorder="1" applyAlignment="1">
      <alignment horizontal="center" vertical="center"/>
    </xf>
    <xf numFmtId="0" fontId="62" fillId="0" borderId="0" xfId="1" applyNumberFormat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 wrapText="1"/>
    </xf>
    <xf numFmtId="2" fontId="47" fillId="0" borderId="0" xfId="1" applyNumberFormat="1" applyFont="1" applyBorder="1" applyAlignment="1">
      <alignment horizontal="center" vertical="center" wrapText="1"/>
    </xf>
    <xf numFmtId="2" fontId="47" fillId="0" borderId="0" xfId="1" applyNumberFormat="1" applyFont="1" applyBorder="1" applyAlignment="1">
      <alignment horizontal="center" vertical="center"/>
    </xf>
    <xf numFmtId="0" fontId="59" fillId="0" borderId="0" xfId="1" applyFont="1" applyBorder="1" applyAlignment="1">
      <alignment horizontal="center" vertical="center" wrapText="1"/>
    </xf>
    <xf numFmtId="0" fontId="59" fillId="0" borderId="0" xfId="1" applyFont="1" applyBorder="1" applyAlignment="1">
      <alignment horizontal="center" vertical="center"/>
    </xf>
    <xf numFmtId="0" fontId="75" fillId="0" borderId="0" xfId="1" applyFont="1" applyBorder="1" applyAlignment="1">
      <alignment horizontal="center" vertical="center"/>
    </xf>
    <xf numFmtId="0" fontId="76" fillId="0" borderId="0" xfId="1" applyFont="1" applyBorder="1" applyAlignment="1">
      <alignment horizontal="center" vertical="center" wrapText="1"/>
    </xf>
    <xf numFmtId="0" fontId="77" fillId="0" borderId="0" xfId="1" applyFont="1" applyBorder="1" applyAlignment="1">
      <alignment horizontal="center" vertical="center" wrapText="1"/>
    </xf>
    <xf numFmtId="0" fontId="78" fillId="0" borderId="0" xfId="1" applyFont="1" applyBorder="1" applyAlignment="1">
      <alignment horizontal="center" vertical="center" wrapText="1"/>
    </xf>
    <xf numFmtId="0" fontId="74" fillId="0" borderId="0" xfId="1" applyFont="1" applyBorder="1" applyAlignment="1">
      <alignment horizontal="center" vertical="center" wrapText="1"/>
    </xf>
    <xf numFmtId="0" fontId="80" fillId="0" borderId="0" xfId="1" applyFont="1" applyFill="1" applyBorder="1"/>
    <xf numFmtId="0" fontId="81" fillId="0" borderId="0" xfId="1" applyFont="1" applyBorder="1"/>
    <xf numFmtId="0" fontId="82" fillId="0" borderId="0" xfId="1" applyFont="1" applyFill="1" applyBorder="1"/>
    <xf numFmtId="0" fontId="83" fillId="0" borderId="0" xfId="1" applyFont="1" applyFill="1" applyBorder="1"/>
    <xf numFmtId="0" fontId="84" fillId="0" borderId="0" xfId="1" applyFont="1" applyFill="1" applyBorder="1"/>
    <xf numFmtId="0" fontId="81" fillId="0" borderId="0" xfId="1" applyFont="1" applyFill="1" applyBorder="1"/>
    <xf numFmtId="0" fontId="81" fillId="0" borderId="0" xfId="1" applyFont="1"/>
    <xf numFmtId="0" fontId="85" fillId="0" borderId="0" xfId="1" applyFont="1"/>
    <xf numFmtId="0" fontId="28" fillId="0" borderId="0" xfId="1" applyFont="1" applyBorder="1"/>
    <xf numFmtId="0" fontId="29" fillId="0" borderId="0" xfId="1" applyFont="1" applyBorder="1"/>
    <xf numFmtId="17" fontId="23" fillId="0" borderId="0" xfId="1" applyNumberFormat="1" applyFont="1" applyFill="1" applyBorder="1" applyAlignment="1">
      <alignment horizontal="left"/>
    </xf>
    <xf numFmtId="2" fontId="23" fillId="0" borderId="0" xfId="1" applyNumberFormat="1" applyFont="1" applyFill="1" applyBorder="1" applyAlignment="1">
      <alignment horizontal="center"/>
    </xf>
    <xf numFmtId="0" fontId="60" fillId="3" borderId="0" xfId="1" applyFont="1" applyFill="1" applyBorder="1"/>
    <xf numFmtId="2" fontId="60" fillId="3" borderId="0" xfId="1" applyNumberFormat="1" applyFont="1" applyFill="1" applyBorder="1" applyAlignment="1">
      <alignment horizontal="center"/>
    </xf>
    <xf numFmtId="0" fontId="23" fillId="0" borderId="0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7" fillId="0" borderId="0" xfId="1" applyFont="1" applyFill="1" applyBorder="1" applyAlignment="1">
      <alignment vertical="center"/>
    </xf>
    <xf numFmtId="0" fontId="28" fillId="0" borderId="0" xfId="1" applyFont="1" applyFill="1" applyBorder="1" applyAlignment="1">
      <alignment vertical="center"/>
    </xf>
    <xf numFmtId="0" fontId="28" fillId="0" borderId="0" xfId="1" applyFont="1" applyBorder="1" applyAlignment="1">
      <alignment vertical="center"/>
    </xf>
    <xf numFmtId="0" fontId="29" fillId="0" borderId="0" xfId="1" applyFont="1" applyBorder="1" applyAlignment="1">
      <alignment vertical="center"/>
    </xf>
    <xf numFmtId="0" fontId="81" fillId="0" borderId="0" xfId="1" applyFont="1" applyBorder="1" applyAlignment="1">
      <alignment vertical="center"/>
    </xf>
    <xf numFmtId="0" fontId="81" fillId="0" borderId="0" xfId="1" applyFont="1" applyAlignment="1">
      <alignment vertical="center"/>
    </xf>
    <xf numFmtId="0" fontId="85" fillId="0" borderId="0" xfId="1" applyFont="1" applyAlignment="1">
      <alignment vertical="center"/>
    </xf>
    <xf numFmtId="0" fontId="28" fillId="0" borderId="0" xfId="1" applyFont="1" applyFill="1" applyBorder="1"/>
    <xf numFmtId="0" fontId="29" fillId="0" borderId="0" xfId="1" applyFont="1" applyFill="1" applyBorder="1" applyAlignment="1">
      <alignment horizontal="center"/>
    </xf>
    <xf numFmtId="0" fontId="30" fillId="0" borderId="0" xfId="1" applyFont="1" applyFill="1" applyBorder="1"/>
    <xf numFmtId="0" fontId="30" fillId="0" borderId="0" xfId="1" applyFont="1" applyFill="1" applyBorder="1" applyAlignment="1">
      <alignment horizontal="center"/>
    </xf>
    <xf numFmtId="2" fontId="30" fillId="0" borderId="0" xfId="1" applyNumberFormat="1" applyFont="1" applyFill="1" applyBorder="1" applyAlignment="1">
      <alignment horizontal="center"/>
    </xf>
    <xf numFmtId="0" fontId="31" fillId="0" borderId="0" xfId="1" applyFont="1" applyFill="1" applyBorder="1"/>
    <xf numFmtId="2" fontId="31" fillId="0" borderId="0" xfId="1" applyNumberFormat="1" applyFont="1" applyFill="1" applyBorder="1" applyAlignment="1">
      <alignment horizontal="center"/>
    </xf>
    <xf numFmtId="0" fontId="23" fillId="0" borderId="0" xfId="1" applyFont="1" applyFill="1" applyBorder="1" applyAlignment="1">
      <alignment horizontal="left"/>
    </xf>
    <xf numFmtId="0" fontId="43" fillId="0" borderId="32" xfId="1" applyFont="1" applyBorder="1" applyAlignment="1">
      <alignment wrapText="1"/>
    </xf>
    <xf numFmtId="0" fontId="43" fillId="0" borderId="31" xfId="1" applyFont="1" applyBorder="1" applyAlignment="1">
      <alignment wrapText="1"/>
    </xf>
    <xf numFmtId="2" fontId="3" fillId="0" borderId="0" xfId="1" applyNumberFormat="1"/>
    <xf numFmtId="0" fontId="86" fillId="0" borderId="0" xfId="1" applyFont="1" applyBorder="1" applyAlignment="1">
      <alignment horizontal="center" vertical="center"/>
    </xf>
    <xf numFmtId="2" fontId="85" fillId="0" borderId="0" xfId="1" applyNumberFormat="1" applyFont="1" applyBorder="1" applyAlignment="1">
      <alignment horizontal="center" vertical="center"/>
    </xf>
    <xf numFmtId="1" fontId="87" fillId="0" borderId="0" xfId="1" applyNumberFormat="1" applyFont="1" applyBorder="1" applyAlignment="1">
      <alignment horizontal="center" vertical="center"/>
    </xf>
    <xf numFmtId="0" fontId="88" fillId="0" borderId="0" xfId="1" applyFont="1" applyBorder="1" applyAlignment="1">
      <alignment horizontal="center" vertical="center"/>
    </xf>
    <xf numFmtId="2" fontId="88" fillId="0" borderId="0" xfId="1" applyNumberFormat="1" applyFont="1" applyBorder="1" applyAlignment="1">
      <alignment horizontal="center" vertical="center"/>
    </xf>
    <xf numFmtId="0" fontId="89" fillId="0" borderId="0" xfId="1" applyFont="1"/>
    <xf numFmtId="0" fontId="90" fillId="0" borderId="0" xfId="1" applyFont="1" applyFill="1" applyAlignment="1">
      <alignment horizontal="centerContinuous"/>
    </xf>
    <xf numFmtId="0" fontId="53" fillId="0" borderId="0" xfId="1" applyFont="1" applyFill="1" applyAlignment="1">
      <alignment horizontal="centerContinuous"/>
    </xf>
    <xf numFmtId="0" fontId="53" fillId="0" borderId="0" xfId="1" applyFont="1"/>
    <xf numFmtId="0" fontId="91" fillId="0" borderId="0" xfId="1" applyFont="1"/>
    <xf numFmtId="0" fontId="92" fillId="0" borderId="0" xfId="1" applyFont="1" applyFill="1" applyAlignment="1">
      <alignment horizontal="center" vertical="center"/>
    </xf>
    <xf numFmtId="0" fontId="93" fillId="0" borderId="0" xfId="1" applyFont="1" applyFill="1" applyAlignment="1">
      <alignment horizontal="center" vertical="center"/>
    </xf>
    <xf numFmtId="0" fontId="94" fillId="0" borderId="0" xfId="1" applyFont="1" applyAlignment="1">
      <alignment horizontal="center" vertical="center"/>
    </xf>
    <xf numFmtId="0" fontId="95" fillId="0" borderId="0" xfId="1" applyFont="1" applyFill="1" applyAlignment="1">
      <alignment horizontal="center" vertical="center"/>
    </xf>
    <xf numFmtId="0" fontId="93" fillId="0" borderId="0" xfId="1" applyFont="1" applyAlignment="1">
      <alignment horizontal="center" vertical="center"/>
    </xf>
    <xf numFmtId="0" fontId="25" fillId="0" borderId="0" xfId="1" applyFont="1" applyAlignment="1">
      <alignment horizontal="center" vertical="center"/>
    </xf>
    <xf numFmtId="0" fontId="47" fillId="0" borderId="0" xfId="1" applyFont="1" applyFill="1"/>
    <xf numFmtId="0" fontId="47" fillId="0" borderId="0" xfId="1" applyFont="1"/>
    <xf numFmtId="0" fontId="89" fillId="0" borderId="0" xfId="1" applyFont="1" applyFill="1"/>
    <xf numFmtId="0" fontId="59" fillId="0" borderId="0" xfId="1" applyFont="1"/>
    <xf numFmtId="0" fontId="47" fillId="5" borderId="0" xfId="1" applyFont="1" applyFill="1"/>
    <xf numFmtId="17" fontId="56" fillId="0" borderId="0" xfId="1" applyNumberFormat="1" applyFont="1" applyFill="1" applyBorder="1" applyAlignment="1">
      <alignment horizontal="left"/>
    </xf>
    <xf numFmtId="2" fontId="56" fillId="0" borderId="0" xfId="1" applyNumberFormat="1" applyFont="1" applyFill="1" applyBorder="1" applyAlignment="1">
      <alignment horizontal="center"/>
    </xf>
    <xf numFmtId="0" fontId="47" fillId="0" borderId="0" xfId="1" applyFont="1" applyFill="1" applyBorder="1"/>
    <xf numFmtId="0" fontId="96" fillId="0" borderId="0" xfId="1" applyFont="1" applyFill="1" applyBorder="1"/>
    <xf numFmtId="0" fontId="89" fillId="0" borderId="0" xfId="1" applyFont="1" applyFill="1" applyBorder="1"/>
    <xf numFmtId="0" fontId="58" fillId="0" borderId="0" xfId="1" applyFont="1" applyFill="1" applyBorder="1"/>
    <xf numFmtId="2" fontId="58" fillId="0" borderId="0" xfId="1" applyNumberFormat="1" applyFont="1" applyFill="1" applyBorder="1" applyAlignment="1">
      <alignment horizontal="center"/>
    </xf>
    <xf numFmtId="2" fontId="47" fillId="0" borderId="0" xfId="1" applyNumberFormat="1" applyFont="1"/>
    <xf numFmtId="2" fontId="89" fillId="0" borderId="0" xfId="1" applyNumberFormat="1" applyFont="1"/>
    <xf numFmtId="0" fontId="56" fillId="0" borderId="0" xfId="1" applyFont="1" applyFill="1"/>
    <xf numFmtId="0" fontId="54" fillId="0" borderId="0" xfId="1" applyFont="1" applyFill="1" applyAlignment="1">
      <alignment horizontal="centerContinuous"/>
    </xf>
    <xf numFmtId="0" fontId="69" fillId="0" borderId="0" xfId="1" applyFont="1" applyFill="1"/>
    <xf numFmtId="0" fontId="89" fillId="0" borderId="18" xfId="1" applyFont="1" applyBorder="1"/>
    <xf numFmtId="0" fontId="53" fillId="0" borderId="0" xfId="1" applyFont="1" applyAlignment="1">
      <alignment vertical="center"/>
    </xf>
    <xf numFmtId="2" fontId="47" fillId="0" borderId="0" xfId="1" applyNumberFormat="1" applyFont="1" applyFill="1" applyBorder="1"/>
    <xf numFmtId="0" fontId="53" fillId="0" borderId="0" xfId="1" applyFont="1" applyFill="1" applyBorder="1" applyAlignment="1">
      <alignment vertical="center"/>
    </xf>
    <xf numFmtId="1" fontId="89" fillId="0" borderId="0" xfId="1" applyNumberFormat="1" applyFont="1"/>
    <xf numFmtId="0" fontId="89" fillId="0" borderId="0" xfId="1" applyFont="1" applyBorder="1"/>
    <xf numFmtId="0" fontId="97" fillId="0" borderId="0" xfId="1" applyFont="1" applyAlignment="1">
      <alignment horizontal="center"/>
    </xf>
    <xf numFmtId="1" fontId="93" fillId="0" borderId="0" xfId="1" applyNumberFormat="1" applyFont="1"/>
    <xf numFmtId="1" fontId="99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6" fillId="0" borderId="0" xfId="0" applyFont="1"/>
    <xf numFmtId="0" fontId="3" fillId="0" borderId="0" xfId="0" applyFont="1"/>
    <xf numFmtId="0" fontId="0" fillId="6" borderId="0" xfId="0" applyFill="1"/>
    <xf numFmtId="0" fontId="36" fillId="6" borderId="0" xfId="0" applyFont="1" applyFill="1"/>
    <xf numFmtId="0" fontId="29" fillId="0" borderId="0" xfId="1" applyFont="1" applyFill="1" applyBorder="1" applyAlignment="1">
      <alignment horizontal="center" vertical="center"/>
    </xf>
    <xf numFmtId="17" fontId="103" fillId="0" borderId="16" xfId="1" applyNumberFormat="1" applyFont="1" applyFill="1" applyBorder="1" applyAlignment="1">
      <alignment horizontal="left"/>
    </xf>
    <xf numFmtId="2" fontId="103" fillId="0" borderId="6" xfId="1" applyNumberFormat="1" applyFont="1" applyFill="1" applyBorder="1" applyAlignment="1">
      <alignment horizontal="center"/>
    </xf>
    <xf numFmtId="2" fontId="103" fillId="0" borderId="7" xfId="1" applyNumberFormat="1" applyFont="1" applyFill="1" applyBorder="1" applyAlignment="1">
      <alignment horizontal="center"/>
    </xf>
    <xf numFmtId="2" fontId="103" fillId="0" borderId="11" xfId="1" applyNumberFormat="1" applyFont="1" applyFill="1" applyBorder="1" applyAlignment="1">
      <alignment horizontal="center"/>
    </xf>
    <xf numFmtId="0" fontId="104" fillId="0" borderId="4" xfId="1" applyFont="1" applyFill="1" applyBorder="1" applyAlignment="1">
      <alignment horizontal="center"/>
    </xf>
    <xf numFmtId="0" fontId="104" fillId="0" borderId="0" xfId="1" applyFont="1" applyBorder="1"/>
    <xf numFmtId="0" fontId="105" fillId="0" borderId="0" xfId="1" applyFont="1" applyBorder="1"/>
    <xf numFmtId="0" fontId="106" fillId="0" borderId="0" xfId="1" applyFont="1" applyFill="1"/>
    <xf numFmtId="17" fontId="103" fillId="0" borderId="46" xfId="1" applyNumberFormat="1" applyFont="1" applyFill="1" applyBorder="1" applyAlignment="1">
      <alignment horizontal="left"/>
    </xf>
    <xf numFmtId="2" fontId="103" fillId="0" borderId="50" xfId="1" applyNumberFormat="1" applyFont="1" applyFill="1" applyBorder="1" applyAlignment="1">
      <alignment horizontal="center"/>
    </xf>
    <xf numFmtId="2" fontId="103" fillId="0" borderId="18" xfId="1" applyNumberFormat="1" applyFont="1" applyFill="1" applyBorder="1" applyAlignment="1">
      <alignment horizontal="center"/>
    </xf>
    <xf numFmtId="2" fontId="103" fillId="0" borderId="51" xfId="1" applyNumberFormat="1" applyFont="1" applyFill="1" applyBorder="1" applyAlignment="1">
      <alignment horizontal="center"/>
    </xf>
    <xf numFmtId="1" fontId="107" fillId="0" borderId="9" xfId="1" applyNumberFormat="1" applyFont="1" applyFill="1" applyBorder="1" applyAlignment="1">
      <alignment horizontal="center"/>
    </xf>
    <xf numFmtId="17" fontId="103" fillId="0" borderId="13" xfId="1" applyNumberFormat="1" applyFont="1" applyFill="1" applyBorder="1" applyAlignment="1">
      <alignment horizontal="left"/>
    </xf>
    <xf numFmtId="1" fontId="108" fillId="3" borderId="9" xfId="1" applyNumberFormat="1" applyFont="1" applyFill="1" applyBorder="1" applyAlignment="1">
      <alignment horizontal="center"/>
    </xf>
    <xf numFmtId="17" fontId="103" fillId="0" borderId="44" xfId="1" applyNumberFormat="1" applyFont="1" applyFill="1" applyBorder="1" applyAlignment="1">
      <alignment horizontal="left"/>
    </xf>
    <xf numFmtId="2" fontId="103" fillId="0" borderId="45" xfId="1" applyNumberFormat="1" applyFont="1" applyFill="1" applyBorder="1" applyAlignment="1">
      <alignment horizontal="center"/>
    </xf>
    <xf numFmtId="2" fontId="103" fillId="0" borderId="32" xfId="1" applyNumberFormat="1" applyFont="1" applyFill="1" applyBorder="1" applyAlignment="1">
      <alignment horizontal="center"/>
    </xf>
    <xf numFmtId="2" fontId="103" fillId="0" borderId="22" xfId="1" applyNumberFormat="1" applyFont="1" applyFill="1" applyBorder="1" applyAlignment="1">
      <alignment horizontal="center"/>
    </xf>
    <xf numFmtId="1" fontId="103" fillId="0" borderId="25" xfId="1" applyNumberFormat="1" applyFont="1" applyFill="1" applyBorder="1" applyAlignment="1">
      <alignment horizontal="center"/>
    </xf>
    <xf numFmtId="2" fontId="103" fillId="0" borderId="27" xfId="1" applyNumberFormat="1" applyFont="1" applyFill="1" applyBorder="1" applyAlignment="1">
      <alignment horizontal="center"/>
    </xf>
    <xf numFmtId="2" fontId="103" fillId="0" borderId="28" xfId="1" applyNumberFormat="1" applyFont="1" applyFill="1" applyBorder="1" applyAlignment="1">
      <alignment horizontal="center"/>
    </xf>
    <xf numFmtId="1" fontId="103" fillId="0" borderId="30" xfId="1" applyNumberFormat="1" applyFont="1" applyFill="1" applyBorder="1" applyAlignment="1">
      <alignment horizontal="center"/>
    </xf>
    <xf numFmtId="2" fontId="103" fillId="0" borderId="29" xfId="1" applyNumberFormat="1" applyFont="1" applyFill="1" applyBorder="1" applyAlignment="1">
      <alignment horizontal="center"/>
    </xf>
    <xf numFmtId="2" fontId="103" fillId="0" borderId="37" xfId="1" applyNumberFormat="1" applyFont="1" applyFill="1" applyBorder="1" applyAlignment="1">
      <alignment horizontal="center"/>
    </xf>
    <xf numFmtId="2" fontId="103" fillId="0" borderId="41" xfId="1" applyNumberFormat="1" applyFont="1" applyFill="1" applyBorder="1" applyAlignment="1">
      <alignment horizontal="center"/>
    </xf>
    <xf numFmtId="1" fontId="103" fillId="0" borderId="38" xfId="1" applyNumberFormat="1" applyFont="1" applyFill="1" applyBorder="1" applyAlignment="1">
      <alignment horizontal="center"/>
    </xf>
    <xf numFmtId="1" fontId="103" fillId="0" borderId="9" xfId="1" applyNumberFormat="1" applyFont="1" applyFill="1" applyBorder="1" applyAlignment="1">
      <alignment horizontal="center"/>
    </xf>
    <xf numFmtId="0" fontId="109" fillId="0" borderId="0" xfId="0" applyFont="1"/>
    <xf numFmtId="0" fontId="109" fillId="0" borderId="6" xfId="0" applyFont="1" applyBorder="1" applyAlignment="1">
      <alignment horizontal="center"/>
    </xf>
    <xf numFmtId="0" fontId="109" fillId="0" borderId="7" xfId="0" applyFont="1" applyBorder="1" applyAlignment="1">
      <alignment horizontal="center"/>
    </xf>
    <xf numFmtId="0" fontId="109" fillId="0" borderId="12" xfId="0" applyFont="1" applyBorder="1" applyAlignment="1">
      <alignment horizontal="center"/>
    </xf>
    <xf numFmtId="0" fontId="109" fillId="0" borderId="9" xfId="0" applyFont="1" applyBorder="1" applyAlignment="1">
      <alignment horizontal="center"/>
    </xf>
    <xf numFmtId="0" fontId="96" fillId="0" borderId="0" xfId="0" applyFont="1" applyAlignment="1">
      <alignment horizontal="center" vertical="center"/>
    </xf>
    <xf numFmtId="0" fontId="113" fillId="0" borderId="0" xfId="0" applyFont="1" applyBorder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13" fillId="0" borderId="0" xfId="0" applyFont="1" applyAlignment="1">
      <alignment horizontal="center" vertical="center"/>
    </xf>
    <xf numFmtId="1" fontId="112" fillId="0" borderId="61" xfId="0" applyNumberFormat="1" applyFont="1" applyBorder="1" applyAlignment="1">
      <alignment horizontal="center" vertical="center"/>
    </xf>
    <xf numFmtId="1" fontId="112" fillId="0" borderId="62" xfId="0" applyNumberFormat="1" applyFont="1" applyBorder="1" applyAlignment="1">
      <alignment horizontal="center" vertical="center"/>
    </xf>
    <xf numFmtId="1" fontId="112" fillId="0" borderId="62" xfId="10" quotePrefix="1" applyNumberFormat="1" applyFont="1" applyBorder="1" applyAlignment="1">
      <alignment horizontal="center" vertical="center"/>
    </xf>
    <xf numFmtId="1" fontId="112" fillId="0" borderId="62" xfId="10" applyNumberFormat="1" applyFont="1" applyBorder="1" applyAlignment="1">
      <alignment horizontal="center" vertical="center"/>
    </xf>
    <xf numFmtId="1" fontId="47" fillId="0" borderId="63" xfId="0" applyNumberFormat="1" applyFont="1" applyBorder="1" applyAlignment="1">
      <alignment horizontal="center" vertical="center"/>
    </xf>
    <xf numFmtId="1" fontId="112" fillId="0" borderId="37" xfId="0" applyNumberFormat="1" applyFont="1" applyBorder="1" applyAlignment="1">
      <alignment horizontal="center" vertical="center"/>
    </xf>
    <xf numFmtId="1" fontId="112" fillId="0" borderId="64" xfId="10" quotePrefix="1" applyNumberFormat="1" applyFont="1" applyBorder="1" applyAlignment="1">
      <alignment horizontal="center" vertical="center"/>
    </xf>
    <xf numFmtId="1" fontId="112" fillId="0" borderId="64" xfId="10" applyNumberFormat="1" applyFont="1" applyBorder="1" applyAlignment="1">
      <alignment horizontal="center" vertical="center"/>
    </xf>
    <xf numFmtId="1" fontId="47" fillId="0" borderId="37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113" fillId="0" borderId="65" xfId="0" applyFont="1" applyBorder="1" applyAlignment="1">
      <alignment horizontal="center" vertical="center"/>
    </xf>
    <xf numFmtId="2" fontId="1" fillId="0" borderId="66" xfId="0" applyNumberFormat="1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67" xfId="10" applyNumberFormat="1" applyFont="1" applyBorder="1" applyAlignment="1">
      <alignment horizontal="center" vertical="center"/>
    </xf>
    <xf numFmtId="2" fontId="1" fillId="0" borderId="68" xfId="10" applyNumberFormat="1" applyFont="1" applyBorder="1" applyAlignment="1">
      <alignment horizontal="center" vertical="center"/>
    </xf>
    <xf numFmtId="0" fontId="112" fillId="0" borderId="65" xfId="0" applyFont="1" applyBorder="1" applyAlignment="1">
      <alignment horizontal="center" vertical="center"/>
    </xf>
    <xf numFmtId="2" fontId="113" fillId="0" borderId="20" xfId="0" applyNumberFormat="1" applyFont="1" applyBorder="1" applyAlignment="1">
      <alignment horizontal="center" vertical="center"/>
    </xf>
    <xf numFmtId="2" fontId="113" fillId="0" borderId="21" xfId="0" applyNumberFormat="1" applyFont="1" applyBorder="1" applyAlignment="1">
      <alignment horizontal="center" vertical="center"/>
    </xf>
    <xf numFmtId="2" fontId="113" fillId="0" borderId="24" xfId="0" applyNumberFormat="1" applyFont="1" applyBorder="1" applyAlignment="1">
      <alignment horizontal="center" vertical="center"/>
    </xf>
    <xf numFmtId="0" fontId="0" fillId="0" borderId="43" xfId="0" applyBorder="1"/>
    <xf numFmtId="0" fontId="0" fillId="0" borderId="6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43" xfId="0" applyBorder="1" applyAlignment="1">
      <alignment horizontal="center"/>
    </xf>
    <xf numFmtId="0" fontId="113" fillId="0" borderId="71" xfId="0" applyFont="1" applyBorder="1" applyAlignment="1">
      <alignment horizontal="center" vertical="center"/>
    </xf>
    <xf numFmtId="2" fontId="1" fillId="0" borderId="72" xfId="0" applyNumberFormat="1" applyFont="1" applyBorder="1" applyAlignment="1">
      <alignment horizontal="center" vertical="center"/>
    </xf>
    <xf numFmtId="2" fontId="1" fillId="0" borderId="73" xfId="0" applyNumberFormat="1" applyFont="1" applyBorder="1" applyAlignment="1">
      <alignment horizontal="center" vertical="center"/>
    </xf>
    <xf numFmtId="2" fontId="1" fillId="0" borderId="74" xfId="10" applyNumberFormat="1" applyFont="1" applyBorder="1" applyAlignment="1">
      <alignment horizontal="center" vertical="center"/>
    </xf>
    <xf numFmtId="0" fontId="112" fillId="0" borderId="71" xfId="0" applyFont="1" applyBorder="1" applyAlignment="1">
      <alignment horizontal="center" vertical="center"/>
    </xf>
    <xf numFmtId="2" fontId="113" fillId="0" borderId="27" xfId="0" applyNumberFormat="1" applyFont="1" applyBorder="1" applyAlignment="1">
      <alignment horizontal="center" vertical="center"/>
    </xf>
    <xf numFmtId="2" fontId="113" fillId="0" borderId="28" xfId="0" applyNumberFormat="1" applyFont="1" applyBorder="1" applyAlignment="1">
      <alignment horizontal="center" vertical="center"/>
    </xf>
    <xf numFmtId="0" fontId="0" fillId="0" borderId="30" xfId="0" applyBorder="1"/>
    <xf numFmtId="0" fontId="0" fillId="0" borderId="3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0" xfId="0" applyBorder="1" applyAlignment="1">
      <alignment horizontal="center"/>
    </xf>
    <xf numFmtId="2" fontId="1" fillId="0" borderId="73" xfId="10" applyNumberFormat="1" applyFont="1" applyBorder="1" applyAlignment="1">
      <alignment horizontal="center" vertical="center"/>
    </xf>
    <xf numFmtId="0" fontId="113" fillId="0" borderId="75" xfId="0" applyFont="1" applyBorder="1" applyAlignment="1">
      <alignment horizontal="center" vertical="center"/>
    </xf>
    <xf numFmtId="0" fontId="0" fillId="0" borderId="38" xfId="0" applyBorder="1"/>
    <xf numFmtId="0" fontId="0" fillId="0" borderId="3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8" xfId="0" applyBorder="1" applyAlignment="1">
      <alignment horizontal="center"/>
    </xf>
    <xf numFmtId="0" fontId="109" fillId="0" borderId="9" xfId="0" applyFont="1" applyBorder="1"/>
    <xf numFmtId="0" fontId="112" fillId="0" borderId="75" xfId="0" applyFont="1" applyBorder="1" applyAlignment="1">
      <alignment horizontal="center" vertical="center"/>
    </xf>
    <xf numFmtId="2" fontId="113" fillId="0" borderId="59" xfId="0" applyNumberFormat="1" applyFont="1" applyBorder="1" applyAlignment="1">
      <alignment horizontal="center" vertical="center"/>
    </xf>
    <xf numFmtId="2" fontId="113" fillId="0" borderId="60" xfId="0" applyNumberFormat="1" applyFont="1" applyBorder="1" applyAlignment="1">
      <alignment horizontal="center" vertical="center"/>
    </xf>
    <xf numFmtId="0" fontId="109" fillId="0" borderId="10" xfId="0" applyFont="1" applyBorder="1" applyAlignment="1">
      <alignment horizontal="center"/>
    </xf>
    <xf numFmtId="0" fontId="0" fillId="0" borderId="25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5" xfId="0" applyBorder="1" applyAlignment="1">
      <alignment horizontal="center"/>
    </xf>
    <xf numFmtId="0" fontId="112" fillId="0" borderId="0" xfId="0" applyFont="1" applyAlignment="1">
      <alignment horizontal="center" vertical="center"/>
    </xf>
    <xf numFmtId="2" fontId="112" fillId="0" borderId="0" xfId="0" applyNumberFormat="1" applyFont="1" applyAlignment="1">
      <alignment horizontal="center" vertical="center"/>
    </xf>
    <xf numFmtId="1" fontId="112" fillId="0" borderId="6" xfId="20" applyNumberFormat="1" applyFont="1" applyBorder="1" applyAlignment="1">
      <alignment horizontal="center" vertical="center"/>
    </xf>
    <xf numFmtId="2" fontId="112" fillId="0" borderId="7" xfId="20" applyNumberFormat="1" applyFont="1" applyBorder="1" applyAlignment="1">
      <alignment horizontal="center" vertical="center"/>
    </xf>
    <xf numFmtId="2" fontId="112" fillId="0" borderId="11" xfId="20" applyNumberFormat="1" applyFont="1" applyBorder="1" applyAlignment="1">
      <alignment horizontal="center" vertical="center"/>
    </xf>
    <xf numFmtId="0" fontId="0" fillId="0" borderId="5" xfId="0" applyBorder="1"/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" xfId="0" applyBorder="1" applyAlignment="1">
      <alignment horizontal="center"/>
    </xf>
    <xf numFmtId="1" fontId="112" fillId="0" borderId="0" xfId="0" applyNumberFormat="1" applyFont="1" applyAlignment="1">
      <alignment horizontal="center" vertical="center"/>
    </xf>
    <xf numFmtId="1" fontId="112" fillId="0" borderId="76" xfId="0" applyNumberFormat="1" applyFont="1" applyBorder="1" applyAlignment="1">
      <alignment horizontal="center" vertical="center"/>
    </xf>
    <xf numFmtId="1" fontId="112" fillId="0" borderId="63" xfId="0" applyNumberFormat="1" applyFont="1" applyBorder="1" applyAlignment="1">
      <alignment horizontal="center" vertical="center"/>
    </xf>
    <xf numFmtId="1" fontId="112" fillId="0" borderId="6" xfId="0" applyNumberFormat="1" applyFont="1" applyBorder="1" applyAlignment="1">
      <alignment horizontal="center" vertical="center"/>
    </xf>
    <xf numFmtId="1" fontId="112" fillId="0" borderId="7" xfId="0" applyNumberFormat="1" applyFont="1" applyBorder="1" applyAlignment="1">
      <alignment horizontal="center" vertical="center"/>
    </xf>
    <xf numFmtId="1" fontId="112" fillId="0" borderId="7" xfId="10" quotePrefix="1" applyNumberFormat="1" applyFont="1" applyBorder="1" applyAlignment="1">
      <alignment horizontal="center" vertical="center"/>
    </xf>
    <xf numFmtId="1" fontId="112" fillId="0" borderId="7" xfId="10" applyNumberFormat="1" applyFont="1" applyBorder="1" applyAlignment="1">
      <alignment horizontal="center" vertical="center"/>
    </xf>
    <xf numFmtId="1" fontId="47" fillId="0" borderId="7" xfId="0" applyNumberFormat="1" applyFont="1" applyBorder="1" applyAlignment="1">
      <alignment horizontal="center" vertical="center"/>
    </xf>
    <xf numFmtId="1" fontId="47" fillId="0" borderId="11" xfId="0" applyNumberFormat="1" applyFont="1" applyBorder="1" applyAlignment="1">
      <alignment horizontal="center" vertical="center"/>
    </xf>
    <xf numFmtId="2" fontId="1" fillId="0" borderId="68" xfId="0" applyNumberFormat="1" applyFont="1" applyBorder="1" applyAlignment="1">
      <alignment horizontal="center" vertical="center"/>
    </xf>
    <xf numFmtId="2" fontId="1" fillId="0" borderId="74" xfId="0" applyNumberFormat="1" applyFont="1" applyBorder="1" applyAlignment="1">
      <alignment horizontal="center" vertical="center"/>
    </xf>
    <xf numFmtId="0" fontId="113" fillId="0" borderId="77" xfId="0" applyFont="1" applyBorder="1" applyAlignment="1">
      <alignment horizontal="center" vertical="center"/>
    </xf>
    <xf numFmtId="2" fontId="1" fillId="0" borderId="78" xfId="0" applyNumberFormat="1" applyFont="1" applyBorder="1" applyAlignment="1">
      <alignment horizontal="center" vertical="center"/>
    </xf>
    <xf numFmtId="2" fontId="1" fillId="0" borderId="64" xfId="0" applyNumberFormat="1" applyFont="1" applyBorder="1" applyAlignment="1">
      <alignment horizontal="center" vertical="center"/>
    </xf>
    <xf numFmtId="2" fontId="1" fillId="0" borderId="79" xfId="0" applyNumberFormat="1" applyFont="1" applyBorder="1" applyAlignment="1">
      <alignment horizontal="center" vertical="center"/>
    </xf>
    <xf numFmtId="0" fontId="112" fillId="0" borderId="80" xfId="0" applyFont="1" applyBorder="1" applyAlignment="1">
      <alignment horizontal="center" vertical="center"/>
    </xf>
    <xf numFmtId="0" fontId="112" fillId="0" borderId="81" xfId="0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2" fontId="112" fillId="0" borderId="12" xfId="2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112" fillId="0" borderId="27" xfId="0" applyFont="1" applyBorder="1" applyAlignment="1">
      <alignment horizontal="center"/>
    </xf>
    <xf numFmtId="0" fontId="112" fillId="0" borderId="27" xfId="0" applyFont="1" applyBorder="1" applyAlignment="1">
      <alignment horizontal="center" vertical="center"/>
    </xf>
    <xf numFmtId="0" fontId="0" fillId="0" borderId="27" xfId="0" applyBorder="1"/>
    <xf numFmtId="2" fontId="0" fillId="0" borderId="27" xfId="0" applyNumberFormat="1" applyBorder="1" applyAlignment="1">
      <alignment horizontal="center" vertical="center"/>
    </xf>
    <xf numFmtId="0" fontId="109" fillId="0" borderId="0" xfId="0" applyFont="1" applyFill="1" applyBorder="1"/>
    <xf numFmtId="17" fontId="0" fillId="0" borderId="0" xfId="0" applyNumberFormat="1"/>
    <xf numFmtId="164" fontId="0" fillId="0" borderId="0" xfId="0" applyNumberFormat="1"/>
    <xf numFmtId="2" fontId="0" fillId="0" borderId="0" xfId="0" applyNumberFormat="1" applyAlignment="1">
      <alignment horizontal="center"/>
    </xf>
    <xf numFmtId="0" fontId="112" fillId="0" borderId="0" xfId="0" applyFont="1" applyBorder="1" applyAlignment="1">
      <alignment vertical="center"/>
    </xf>
    <xf numFmtId="2" fontId="0" fillId="0" borderId="27" xfId="0" applyNumberFormat="1" applyBorder="1" applyAlignment="1">
      <alignment horizontal="center"/>
    </xf>
    <xf numFmtId="0" fontId="109" fillId="0" borderId="0" xfId="0" applyFont="1" applyBorder="1"/>
    <xf numFmtId="0" fontId="109" fillId="0" borderId="0" xfId="0" applyFont="1" applyBorder="1" applyAlignment="1">
      <alignment horizontal="center"/>
    </xf>
    <xf numFmtId="0" fontId="115" fillId="4" borderId="0" xfId="0" applyFont="1" applyFill="1"/>
    <xf numFmtId="2" fontId="56" fillId="4" borderId="27" xfId="1" applyNumberFormat="1" applyFont="1" applyFill="1" applyBorder="1" applyAlignment="1">
      <alignment horizontal="center" vertical="center"/>
    </xf>
    <xf numFmtId="2" fontId="60" fillId="0" borderId="0" xfId="1" applyNumberFormat="1" applyFont="1" applyFill="1" applyBorder="1" applyAlignment="1">
      <alignment horizontal="center"/>
    </xf>
    <xf numFmtId="0" fontId="70" fillId="0" borderId="0" xfId="1" applyFont="1" applyFill="1" applyBorder="1" applyAlignment="1">
      <alignment horizontal="center" vertical="center"/>
    </xf>
    <xf numFmtId="0" fontId="56" fillId="0" borderId="0" xfId="1" applyFont="1" applyFill="1" applyBorder="1" applyAlignment="1">
      <alignment horizontal="center" vertical="center"/>
    </xf>
    <xf numFmtId="0" fontId="67" fillId="0" borderId="0" xfId="1" applyFont="1" applyAlignment="1">
      <alignment horizontal="center" vertical="center"/>
    </xf>
    <xf numFmtId="0" fontId="102" fillId="0" borderId="0" xfId="1" applyFont="1" applyAlignment="1">
      <alignment horizontal="center"/>
    </xf>
    <xf numFmtId="0" fontId="46" fillId="0" borderId="0" xfId="1" applyFont="1" applyFill="1" applyAlignment="1">
      <alignment horizontal="center" vertical="center"/>
    </xf>
    <xf numFmtId="0" fontId="79" fillId="0" borderId="0" xfId="1" applyFont="1" applyFill="1" applyBorder="1" applyAlignment="1">
      <alignment horizontal="center" vertical="center"/>
    </xf>
    <xf numFmtId="0" fontId="23" fillId="0" borderId="0" xfId="1" applyFont="1" applyFill="1" applyBorder="1" applyAlignment="1">
      <alignment horizontal="center"/>
    </xf>
    <xf numFmtId="0" fontId="29" fillId="0" borderId="0" xfId="1" applyFont="1" applyFill="1" applyBorder="1" applyAlignment="1">
      <alignment horizontal="center" vertical="center"/>
    </xf>
    <xf numFmtId="0" fontId="23" fillId="0" borderId="0" xfId="1" applyFont="1" applyFill="1" applyAlignment="1">
      <alignment horizontal="center" vertical="center"/>
    </xf>
    <xf numFmtId="0" fontId="23" fillId="0" borderId="0" xfId="1" applyFont="1" applyFill="1" applyAlignment="1">
      <alignment horizontal="left" vertical="center"/>
    </xf>
    <xf numFmtId="0" fontId="4" fillId="0" borderId="0" xfId="1" applyFont="1" applyFill="1" applyAlignment="1">
      <alignment horizontal="center"/>
    </xf>
    <xf numFmtId="0" fontId="13" fillId="0" borderId="0" xfId="1" applyFont="1" applyFill="1" applyBorder="1" applyAlignment="1">
      <alignment horizontal="center"/>
    </xf>
    <xf numFmtId="0" fontId="22" fillId="0" borderId="0" xfId="1" applyFont="1" applyFill="1" applyBorder="1" applyAlignment="1">
      <alignment horizontal="center"/>
    </xf>
    <xf numFmtId="0" fontId="4" fillId="0" borderId="0" xfId="1" applyFont="1" applyFill="1" applyAlignment="1">
      <alignment horizontal="center" vertical="center"/>
    </xf>
    <xf numFmtId="0" fontId="53" fillId="0" borderId="0" xfId="1" applyFont="1" applyAlignment="1">
      <alignment horizontal="center"/>
    </xf>
    <xf numFmtId="0" fontId="46" fillId="0" borderId="0" xfId="1" applyFont="1" applyFill="1" applyAlignment="1">
      <alignment horizontal="center"/>
    </xf>
    <xf numFmtId="0" fontId="98" fillId="0" borderId="0" xfId="1" applyFont="1" applyFill="1" applyBorder="1" applyAlignment="1">
      <alignment horizontal="center" vertical="center"/>
    </xf>
    <xf numFmtId="0" fontId="112" fillId="0" borderId="27" xfId="0" applyFont="1" applyBorder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12" fillId="0" borderId="0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10" fillId="0" borderId="0" xfId="0" applyFont="1" applyAlignment="1">
      <alignment horizontal="center"/>
    </xf>
    <xf numFmtId="0" fontId="111" fillId="0" borderId="0" xfId="0" applyFont="1" applyAlignment="1">
      <alignment horizontal="center"/>
    </xf>
    <xf numFmtId="0" fontId="113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5">
    <cellStyle name="Normal" xfId="0" builtinId="0"/>
    <cellStyle name="Normal 2" xfId="1"/>
    <cellStyle name="Normal 2 10" xfId="2"/>
    <cellStyle name="Normal 2 11" xfId="3"/>
    <cellStyle name="Normal 2 12" xfId="4"/>
    <cellStyle name="Normal 2 13" xfId="5"/>
    <cellStyle name="Normal 2 14" xfId="6"/>
    <cellStyle name="Normal 2 15" xfId="7"/>
    <cellStyle name="Normal 2 16" xfId="8"/>
    <cellStyle name="Normal 2 17" xfId="9"/>
    <cellStyle name="Normal 2 18" xfId="10"/>
    <cellStyle name="Normal 2 2" xfId="11"/>
    <cellStyle name="Normal 2 3" xfId="12"/>
    <cellStyle name="Normal 2 4" xfId="13"/>
    <cellStyle name="Normal 2 5" xfId="14"/>
    <cellStyle name="Normal 2 6" xfId="15"/>
    <cellStyle name="Normal 2 7" xfId="16"/>
    <cellStyle name="Normal 2 8" xfId="17"/>
    <cellStyle name="Normal 2 9" xfId="18"/>
    <cellStyle name="Normal 3" xfId="19"/>
    <cellStyle name="Normal 4" xfId="20"/>
    <cellStyle name="Normal 5" xfId="21"/>
    <cellStyle name="Normal 7" xfId="22"/>
    <cellStyle name="Normal 7 2" xfId="23"/>
    <cellStyle name="साधारण 2" xfId="24"/>
  </cellStyles>
  <dxfs count="20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280183727034116E-2"/>
          <c:y val="5.1400554097404488E-2"/>
          <c:w val="0.90203871391076118"/>
          <c:h val="0.8326195683872849"/>
        </c:manualLayout>
      </c:layout>
      <c:lineChart>
        <c:grouping val="standard"/>
        <c:varyColors val="0"/>
        <c:ser>
          <c:idx val="0"/>
          <c:order val="0"/>
          <c:tx>
            <c:strRef>
              <c:f>'Month-Analysis'!$Q$46:$R$46</c:f>
              <c:strCache>
                <c:ptCount val="1"/>
                <c:pt idx="0">
                  <c:v>Fe% CODs Plan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'Month-Analysis'!$S$46:$V$46</c:f>
              <c:numCache>
                <c:formatCode>0.00</c:formatCode>
                <c:ptCount val="4"/>
                <c:pt idx="0">
                  <c:v>61.6</c:v>
                </c:pt>
                <c:pt idx="1">
                  <c:v>61.924778761061944</c:v>
                </c:pt>
                <c:pt idx="2">
                  <c:v>62.065384615384616</c:v>
                </c:pt>
                <c:pt idx="3">
                  <c:v>61.83606557377049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'Month-Analysis'!$Q$47:$R$47</c:f>
              <c:strCache>
                <c:ptCount val="1"/>
                <c:pt idx="0">
                  <c:v>Fe% Actual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'Month-Analysis'!$S$47:$V$47</c:f>
              <c:numCache>
                <c:formatCode>0.00</c:formatCode>
                <c:ptCount val="4"/>
                <c:pt idx="0">
                  <c:v>60.449305424625138</c:v>
                </c:pt>
                <c:pt idx="1">
                  <c:v>61.110195988180479</c:v>
                </c:pt>
                <c:pt idx="2">
                  <c:v>61.866480919043653</c:v>
                </c:pt>
                <c:pt idx="3">
                  <c:v>62.07196176907366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80512"/>
        <c:axId val="242882048"/>
      </c:lineChart>
      <c:catAx>
        <c:axId val="242880512"/>
        <c:scaling>
          <c:orientation val="minMax"/>
        </c:scaling>
        <c:delete val="0"/>
        <c:axPos val="b"/>
        <c:majorTickMark val="out"/>
        <c:minorTickMark val="none"/>
        <c:tickLblPos val="nextTo"/>
        <c:crossAx val="242882048"/>
        <c:crosses val="autoZero"/>
        <c:auto val="1"/>
        <c:lblAlgn val="ctr"/>
        <c:lblOffset val="100"/>
        <c:noMultiLvlLbl val="0"/>
      </c:catAx>
      <c:valAx>
        <c:axId val="242882048"/>
        <c:scaling>
          <c:orientation val="minMax"/>
          <c:min val="60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2880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5920778652668419"/>
          <c:y val="4.39152462099534E-2"/>
          <c:w val="0.43245888013998252"/>
          <c:h val="0.14805256643677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85739282589675E-2"/>
          <c:y val="5.1400554097404488E-2"/>
          <c:w val="0.89109426946631665"/>
          <c:h val="0.8326195683872849"/>
        </c:manualLayout>
      </c:layout>
      <c:lineChart>
        <c:grouping val="standard"/>
        <c:varyColors val="0"/>
        <c:ser>
          <c:idx val="0"/>
          <c:order val="0"/>
          <c:tx>
            <c:strRef>
              <c:f>'Month-Analysis'!$Q$48:$R$48</c:f>
              <c:strCache>
                <c:ptCount val="1"/>
                <c:pt idx="0">
                  <c:v>SiO2% CODs Plan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'Month-Analysis'!$S$48:$V$48</c:f>
              <c:numCache>
                <c:formatCode>0.00</c:formatCode>
                <c:ptCount val="4"/>
                <c:pt idx="0">
                  <c:v>4.3236111111111111</c:v>
                </c:pt>
                <c:pt idx="1">
                  <c:v>3.7389380530973453</c:v>
                </c:pt>
                <c:pt idx="2">
                  <c:v>3.5034615384615382</c:v>
                </c:pt>
                <c:pt idx="3">
                  <c:v>3.9967213114754099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'Month-Analysis'!$Q$49:$R$49</c:f>
              <c:strCache>
                <c:ptCount val="1"/>
                <c:pt idx="0">
                  <c:v>SiO2% Actual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'Month-Analysis'!$S$49:$V$49</c:f>
              <c:numCache>
                <c:formatCode>0.00</c:formatCode>
                <c:ptCount val="4"/>
                <c:pt idx="0">
                  <c:v>5.8416235773292389</c:v>
                </c:pt>
                <c:pt idx="1">
                  <c:v>4.9734852255938167</c:v>
                </c:pt>
                <c:pt idx="2">
                  <c:v>3.7716426194434169</c:v>
                </c:pt>
                <c:pt idx="3">
                  <c:v>5.1212148858678015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11104"/>
        <c:axId val="242912640"/>
      </c:lineChart>
      <c:catAx>
        <c:axId val="242911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42912640"/>
        <c:crosses val="autoZero"/>
        <c:auto val="1"/>
        <c:lblAlgn val="ctr"/>
        <c:lblOffset val="100"/>
        <c:noMultiLvlLbl val="0"/>
      </c:catAx>
      <c:valAx>
        <c:axId val="2429126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291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2862445319335084"/>
          <c:y val="2.2155441093697787E-2"/>
          <c:w val="0.63248665791776026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85739282589675E-2"/>
          <c:y val="5.1400554097404488E-2"/>
          <c:w val="0.90148315835520554"/>
          <c:h val="0.8326195683872849"/>
        </c:manualLayout>
      </c:layout>
      <c:lineChart>
        <c:grouping val="standard"/>
        <c:varyColors val="0"/>
        <c:ser>
          <c:idx val="0"/>
          <c:order val="0"/>
          <c:tx>
            <c:strRef>
              <c:f>'Month-Analysis'!$Q$50:$R$50</c:f>
              <c:strCache>
                <c:ptCount val="1"/>
                <c:pt idx="0">
                  <c:v>Al2O3% CODs Plan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'Month-Analysis'!$S$50:$V$50</c:f>
              <c:numCache>
                <c:formatCode>0.00</c:formatCode>
                <c:ptCount val="4"/>
                <c:pt idx="0">
                  <c:v>2.7958333333333334</c:v>
                </c:pt>
                <c:pt idx="1">
                  <c:v>2.5796460176991149</c:v>
                </c:pt>
                <c:pt idx="2">
                  <c:v>2.9730769230769232</c:v>
                </c:pt>
                <c:pt idx="3">
                  <c:v>2.7491803278688525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'Month-Analysis'!$Q$51:$R$51</c:f>
              <c:strCache>
                <c:ptCount val="1"/>
                <c:pt idx="0">
                  <c:v>Al2O3% Actual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'Month-Analysis'!$S$51:$V$51</c:f>
              <c:numCache>
                <c:formatCode>0.00</c:formatCode>
                <c:ptCount val="4"/>
                <c:pt idx="0">
                  <c:v>2.9682910213667495</c:v>
                </c:pt>
                <c:pt idx="1">
                  <c:v>2.1065911467212182</c:v>
                </c:pt>
                <c:pt idx="2">
                  <c:v>2.5384665721267261</c:v>
                </c:pt>
                <c:pt idx="3">
                  <c:v>1.8497616713818794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37856"/>
        <c:axId val="242939392"/>
      </c:lineChart>
      <c:catAx>
        <c:axId val="242937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42939392"/>
        <c:crosses val="autoZero"/>
        <c:auto val="1"/>
        <c:lblAlgn val="ctr"/>
        <c:lblOffset val="100"/>
        <c:noMultiLvlLbl val="0"/>
      </c:catAx>
      <c:valAx>
        <c:axId val="242939392"/>
        <c:scaling>
          <c:orientation val="minMax"/>
          <c:min val="1.2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2937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8345778652668424"/>
          <c:y val="0.52276428988043167"/>
          <c:w val="0.51376443569553809"/>
          <c:h val="0.2447231755094603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326081245905732E-2"/>
          <c:y val="6.46037760172328E-2"/>
          <c:w val="0.87802493438320206"/>
          <c:h val="0.79776045743848067"/>
        </c:manualLayout>
      </c:layout>
      <c:lineChart>
        <c:grouping val="standard"/>
        <c:varyColors val="0"/>
        <c:ser>
          <c:idx val="0"/>
          <c:order val="0"/>
          <c:tx>
            <c:strRef>
              <c:f>'Month-Analysis'!$Q$52:$R$52</c:f>
              <c:strCache>
                <c:ptCount val="1"/>
                <c:pt idx="0">
                  <c:v>OS% CODs Plan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'Month-Analysis'!$S$52:$V$52</c:f>
              <c:numCache>
                <c:formatCode>0.00</c:formatCode>
                <c:ptCount val="4"/>
                <c:pt idx="0">
                  <c:v>6.9444444444444446</c:v>
                </c:pt>
                <c:pt idx="1">
                  <c:v>7</c:v>
                </c:pt>
                <c:pt idx="2">
                  <c:v>5.9230769230769234</c:v>
                </c:pt>
                <c:pt idx="3">
                  <c:v>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'Month-Analysis'!$Q$53:$R$53</c:f>
              <c:strCache>
                <c:ptCount val="1"/>
                <c:pt idx="0">
                  <c:v>OS% Actual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'Month-Analysis'!$S$53:$V$53</c:f>
              <c:numCache>
                <c:formatCode>0.00</c:formatCode>
                <c:ptCount val="4"/>
                <c:pt idx="0">
                  <c:v>5.4722667148417612</c:v>
                </c:pt>
                <c:pt idx="1">
                  <c:v>11.621387828162291</c:v>
                </c:pt>
                <c:pt idx="2">
                  <c:v>0</c:v>
                </c:pt>
                <c:pt idx="3">
                  <c:v>7.8829235086431009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936640"/>
        <c:axId val="243958912"/>
      </c:lineChart>
      <c:catAx>
        <c:axId val="243936640"/>
        <c:scaling>
          <c:orientation val="minMax"/>
        </c:scaling>
        <c:delete val="0"/>
        <c:axPos val="b"/>
        <c:majorTickMark val="out"/>
        <c:minorTickMark val="none"/>
        <c:tickLblPos val="nextTo"/>
        <c:crossAx val="243958912"/>
        <c:crosses val="autoZero"/>
        <c:auto val="1"/>
        <c:lblAlgn val="ctr"/>
        <c:lblOffset val="100"/>
        <c:noMultiLvlLbl val="0"/>
      </c:catAx>
      <c:valAx>
        <c:axId val="2439589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393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408289588801397"/>
          <c:y val="0.56443095654709829"/>
          <c:w val="0.42869488188976379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16907261592301"/>
          <c:y val="3.9885770102295354E-2"/>
          <c:w val="0.8785942694663168"/>
          <c:h val="0.83261943935949734"/>
        </c:manualLayout>
      </c:layout>
      <c:lineChart>
        <c:grouping val="standard"/>
        <c:varyColors val="0"/>
        <c:ser>
          <c:idx val="0"/>
          <c:order val="0"/>
          <c:tx>
            <c:strRef>
              <c:f>'Month-Analysis'!$Q$54:$R$54</c:f>
              <c:strCache>
                <c:ptCount val="1"/>
                <c:pt idx="0">
                  <c:v>US% CODs Plan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'Month-Analysis'!$S$54:$V$54</c:f>
              <c:numCache>
                <c:formatCode>0.00</c:formatCode>
                <c:ptCount val="4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'Month-Analysis'!$Q$55:$R$55</c:f>
              <c:strCache>
                <c:ptCount val="1"/>
                <c:pt idx="0">
                  <c:v>US% Actual</c:v>
                </c:pt>
              </c:strCache>
            </c:strRef>
          </c:tx>
          <c:cat>
            <c:strRef>
              <c:f>'Month-Analysis'!$S$45:$V$45</c:f>
              <c:strCache>
                <c:ptCount val="4"/>
                <c:pt idx="0">
                  <c:v>BSL</c:v>
                </c:pt>
                <c:pt idx="1">
                  <c:v>DSP</c:v>
                </c:pt>
                <c:pt idx="2">
                  <c:v>RSP</c:v>
                </c:pt>
                <c:pt idx="3">
                  <c:v>ISP</c:v>
                </c:pt>
              </c:strCache>
            </c:strRef>
          </c:cat>
          <c:val>
            <c:numRef>
              <c:f>'Month-Analysis'!$S$55:$V$55</c:f>
              <c:numCache>
                <c:formatCode>0.00</c:formatCode>
                <c:ptCount val="4"/>
                <c:pt idx="0">
                  <c:v>41.922018952520155</c:v>
                </c:pt>
                <c:pt idx="1">
                  <c:v>34.442680418229344</c:v>
                </c:pt>
                <c:pt idx="2">
                  <c:v>0</c:v>
                </c:pt>
                <c:pt idx="3">
                  <c:v>41.57072619746198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21600"/>
        <c:axId val="244123136"/>
      </c:lineChart>
      <c:catAx>
        <c:axId val="24412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244123136"/>
        <c:crosses val="autoZero"/>
        <c:auto val="1"/>
        <c:lblAlgn val="ctr"/>
        <c:lblOffset val="100"/>
        <c:noMultiLvlLbl val="0"/>
      </c:catAx>
      <c:valAx>
        <c:axId val="2441231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4121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57633420822397"/>
          <c:y val="0.55517169728783899"/>
          <c:w val="0.46701443569553808"/>
          <c:h val="0.1257677165354330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1492135802226717"/>
          <c:y val="0.22947072696109383"/>
          <c:w val="0.68507864197773283"/>
          <c:h val="0.730578244004278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'Month-Analysis'!$AM$70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5960099750623441"/>
                  <c:y val="0.81178447620397698"/>
                </c:manualLayout>
              </c:layout>
              <c:spPr>
                <a:noFill/>
              </c:spPr>
              <c:txPr>
                <a:bodyPr rot="5400000" vert="horz"/>
                <a:lstStyle/>
                <a:p>
                  <a:pPr>
                    <a:defRPr sz="1050" b="1"/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accent1"/>
              </a:solidFill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'Month-Analysis'!$AL$71</c:f>
              <c:strCache>
                <c:ptCount val="1"/>
                <c:pt idx="0">
                  <c:v>BSL</c:v>
                </c:pt>
              </c:strCache>
            </c:strRef>
          </c:cat>
          <c:val>
            <c:numRef>
              <c:f>'Month-Analysis'!$AM$71</c:f>
              <c:numCache>
                <c:formatCode>0.00</c:formatCode>
                <c:ptCount val="1"/>
                <c:pt idx="0">
                  <c:v>-1.1506945753748639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169344"/>
        <c:axId val="244183424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'Month-Analysis'!$AN$70</c:f>
              <c:strCache>
                <c:ptCount val="1"/>
                <c:pt idx="0">
                  <c:v>BOL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'Month-Analysis'!$AL$71</c:f>
              <c:strCache>
                <c:ptCount val="1"/>
                <c:pt idx="0">
                  <c:v>BSL</c:v>
                </c:pt>
              </c:strCache>
            </c:strRef>
          </c:cat>
          <c:val>
            <c:numRef>
              <c:f>'Month-Analysis'!$AN$71</c:f>
              <c:numCache>
                <c:formatCode>0.00</c:formatCode>
                <c:ptCount val="1"/>
                <c:pt idx="0">
                  <c:v>-0.27467778539999999</c:v>
                </c:pt>
              </c:numCache>
            </c:numRef>
          </c:val>
        </c:ser>
        <c:ser>
          <c:idx val="2"/>
          <c:order val="2"/>
          <c:tx>
            <c:strRef>
              <c:f>'Month-Analysis'!$AO$70</c:f>
              <c:strCache>
                <c:ptCount val="1"/>
                <c:pt idx="0">
                  <c:v>KRB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'Month-Analysis'!$AL$71</c:f>
              <c:strCache>
                <c:ptCount val="1"/>
                <c:pt idx="0">
                  <c:v>BSL</c:v>
                </c:pt>
              </c:strCache>
            </c:strRef>
          </c:cat>
          <c:val>
            <c:numRef>
              <c:f>'Month-Analysis'!$AO$71</c:f>
              <c:numCache>
                <c:formatCode>0.00</c:formatCode>
                <c:ptCount val="1"/>
                <c:pt idx="0">
                  <c:v>-0.27005409720000001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186496"/>
        <c:axId val="244184960"/>
      </c:barChart>
      <c:catAx>
        <c:axId val="244169344"/>
        <c:scaling>
          <c:orientation val="minMax"/>
        </c:scaling>
        <c:delete val="0"/>
        <c:axPos val="b"/>
        <c:majorTickMark val="out"/>
        <c:minorTickMark val="none"/>
        <c:tickLblPos val="high"/>
        <c:crossAx val="244183424"/>
        <c:crosses val="autoZero"/>
        <c:auto val="1"/>
        <c:lblAlgn val="ctr"/>
        <c:lblOffset val="100"/>
        <c:noMultiLvlLbl val="0"/>
      </c:catAx>
      <c:valAx>
        <c:axId val="24418342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none"/>
        <c:minorTickMark val="none"/>
        <c:tickLblPos val="none"/>
        <c:crossAx val="244169344"/>
        <c:crosses val="autoZero"/>
        <c:crossBetween val="between"/>
      </c:valAx>
      <c:valAx>
        <c:axId val="244184960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186496"/>
        <c:crosses val="max"/>
        <c:crossBetween val="between"/>
      </c:valAx>
      <c:catAx>
        <c:axId val="244186496"/>
        <c:scaling>
          <c:orientation val="minMax"/>
        </c:scaling>
        <c:delete val="1"/>
        <c:axPos val="b"/>
        <c:majorTickMark val="out"/>
        <c:minorTickMark val="none"/>
        <c:tickLblPos val="nextTo"/>
        <c:crossAx val="244184960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8342267075769"/>
          <c:y val="0.236017371805611"/>
          <c:w val="0.8436567964215741"/>
          <c:h val="0.72403159915976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'Month-Analysis'!$AM$74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5960099750623441"/>
                  <c:y val="0.41705272111035219"/>
                </c:manualLayout>
              </c:layout>
              <c:spPr>
                <a:noFill/>
              </c:spPr>
              <c:txPr>
                <a:bodyPr rot="5400000" vert="horz" anchor="t" anchorCtr="1"/>
                <a:lstStyle/>
                <a:p>
                  <a:pPr algn="ctr" rtl="0">
                    <a:defRPr lang="en-IN"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 rot="5400000" vert="horz"/>
              <a:lstStyle/>
              <a:p>
                <a:pPr algn="ctr" rtl="0">
                  <a:defRPr lang="en-IN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'Month-Analysis'!$AL$75</c:f>
              <c:strCache>
                <c:ptCount val="1"/>
                <c:pt idx="0">
                  <c:v>DSP</c:v>
                </c:pt>
              </c:strCache>
            </c:strRef>
          </c:cat>
          <c:val>
            <c:numRef>
              <c:f>'Month-Analysis'!$AM$75</c:f>
              <c:numCache>
                <c:formatCode>0.00</c:formatCode>
                <c:ptCount val="1"/>
                <c:pt idx="0">
                  <c:v>-0.81458277288146519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224384"/>
        <c:axId val="244225920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'Month-Analysis'!$AN$74</c:f>
              <c:strCache>
                <c:ptCount val="1"/>
                <c:pt idx="0">
                  <c:v>BOL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'Month-Analysis'!$AL$75</c:f>
              <c:strCache>
                <c:ptCount val="1"/>
                <c:pt idx="0">
                  <c:v>DSP</c:v>
                </c:pt>
              </c:strCache>
            </c:strRef>
          </c:cat>
          <c:val>
            <c:numRef>
              <c:f>'Month-Analysis'!$AN$75</c:f>
              <c:numCache>
                <c:formatCode>0.00</c:formatCode>
                <c:ptCount val="1"/>
                <c:pt idx="0">
                  <c:v>-0.65103125319999999</c:v>
                </c:pt>
              </c:numCache>
            </c:numRef>
          </c:val>
        </c:ser>
        <c:ser>
          <c:idx val="2"/>
          <c:order val="2"/>
          <c:tx>
            <c:strRef>
              <c:f>'Month-Analysis'!$AO$74</c:f>
              <c:strCache>
                <c:ptCount val="1"/>
                <c:pt idx="0">
                  <c:v>MBR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'Month-Analysis'!$AL$75</c:f>
              <c:strCache>
                <c:ptCount val="1"/>
                <c:pt idx="0">
                  <c:v>DSP</c:v>
                </c:pt>
              </c:strCache>
            </c:strRef>
          </c:cat>
          <c:val>
            <c:numRef>
              <c:f>'Month-Analysis'!$AO$75</c:f>
              <c:numCache>
                <c:formatCode>0.00</c:formatCode>
                <c:ptCount val="1"/>
                <c:pt idx="0">
                  <c:v>-0.18954096819999999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241536"/>
        <c:axId val="244227456"/>
      </c:barChart>
      <c:catAx>
        <c:axId val="244224384"/>
        <c:scaling>
          <c:orientation val="minMax"/>
        </c:scaling>
        <c:delete val="0"/>
        <c:axPos val="b"/>
        <c:majorTickMark val="out"/>
        <c:minorTickMark val="none"/>
        <c:tickLblPos val="high"/>
        <c:crossAx val="244225920"/>
        <c:crosses val="autoZero"/>
        <c:auto val="1"/>
        <c:lblAlgn val="ctr"/>
        <c:lblOffset val="100"/>
        <c:noMultiLvlLbl val="0"/>
      </c:catAx>
      <c:valAx>
        <c:axId val="24422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244224384"/>
        <c:crosses val="autoZero"/>
        <c:crossBetween val="between"/>
      </c:valAx>
      <c:valAx>
        <c:axId val="244227456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241536"/>
        <c:crosses val="max"/>
        <c:crossBetween val="between"/>
      </c:valAx>
      <c:catAx>
        <c:axId val="244241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44227456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8342267075769"/>
          <c:y val="0.236017371805611"/>
          <c:w val="0.8436567964215741"/>
          <c:h val="0.72403159915976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'Month-Analysis'!$AM$78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8952618453865336"/>
                  <c:y val="0.8033052824207122"/>
                </c:manualLayout>
              </c:layout>
              <c:spPr>
                <a:noFill/>
              </c:spPr>
              <c:txPr>
                <a:bodyPr rot="5400000" vert="horz" anchor="t" anchorCtr="1"/>
                <a:lstStyle/>
                <a:p>
                  <a:pPr algn="ctr" rtl="0">
                    <a:defRPr lang="en-IN"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 rot="5400000" vert="horz"/>
              <a:lstStyle/>
              <a:p>
                <a:pPr algn="ctr" rtl="0">
                  <a:defRPr lang="en-IN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'Month-Analysis'!$AL$79</c:f>
              <c:strCache>
                <c:ptCount val="1"/>
                <c:pt idx="0">
                  <c:v>RSP</c:v>
                </c:pt>
              </c:strCache>
            </c:strRef>
          </c:cat>
          <c:val>
            <c:numRef>
              <c:f>'Month-Analysis'!$AM$79</c:f>
              <c:numCache>
                <c:formatCode>0.00</c:formatCode>
                <c:ptCount val="1"/>
                <c:pt idx="0">
                  <c:v>-0.19890369634096317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295552"/>
        <c:axId val="244297088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'Month-Analysis'!$AN$78</c:f>
              <c:strCache>
                <c:ptCount val="1"/>
                <c:pt idx="0">
                  <c:v>KRB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'Month-Analysis'!$AL$79</c:f>
              <c:strCache>
                <c:ptCount val="1"/>
                <c:pt idx="0">
                  <c:v>RSP</c:v>
                </c:pt>
              </c:strCache>
            </c:strRef>
          </c:cat>
          <c:val>
            <c:numRef>
              <c:f>'Month-Analysis'!$AN$79</c:f>
              <c:numCache>
                <c:formatCode>0.00</c:formatCode>
                <c:ptCount val="1"/>
                <c:pt idx="0">
                  <c:v>-0.23371796089999999</c:v>
                </c:pt>
              </c:numCache>
            </c:numRef>
          </c:val>
        </c:ser>
        <c:ser>
          <c:idx val="2"/>
          <c:order val="2"/>
          <c:tx>
            <c:strRef>
              <c:f>'Month-Analysis'!$AO$78</c:f>
              <c:strCache>
                <c:ptCount val="1"/>
                <c:pt idx="0">
                  <c:v>BAR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'Month-Analysis'!$AL$79</c:f>
              <c:strCache>
                <c:ptCount val="1"/>
                <c:pt idx="0">
                  <c:v>RSP</c:v>
                </c:pt>
              </c:strCache>
            </c:strRef>
          </c:cat>
          <c:val>
            <c:numRef>
              <c:f>'Month-Analysis'!$AO$79</c:f>
              <c:numCache>
                <c:formatCode>0.00</c:formatCode>
                <c:ptCount val="1"/>
                <c:pt idx="0">
                  <c:v>-0.20510907270000001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312704"/>
        <c:axId val="244311168"/>
      </c:barChart>
      <c:catAx>
        <c:axId val="244295552"/>
        <c:scaling>
          <c:orientation val="minMax"/>
        </c:scaling>
        <c:delete val="0"/>
        <c:axPos val="b"/>
        <c:majorTickMark val="out"/>
        <c:minorTickMark val="none"/>
        <c:tickLblPos val="high"/>
        <c:crossAx val="244297088"/>
        <c:crosses val="autoZero"/>
        <c:auto val="1"/>
        <c:lblAlgn val="ctr"/>
        <c:lblOffset val="100"/>
        <c:noMultiLvlLbl val="0"/>
      </c:catAx>
      <c:valAx>
        <c:axId val="24429708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244295552"/>
        <c:crosses val="autoZero"/>
        <c:crossBetween val="between"/>
      </c:valAx>
      <c:valAx>
        <c:axId val="244311168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312704"/>
        <c:crosses val="max"/>
        <c:crossBetween val="between"/>
      </c:valAx>
      <c:catAx>
        <c:axId val="244312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4431116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8342267075769"/>
          <c:y val="0.236017371805611"/>
          <c:w val="0.8436567964215741"/>
          <c:h val="0.72403159915976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'Month-Analysis'!$AM$82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8952618453865336"/>
                  <c:y val="-0.26379834271943503"/>
                </c:manualLayout>
              </c:layout>
              <c:spPr>
                <a:noFill/>
              </c:spPr>
              <c:txPr>
                <a:bodyPr rot="5400000" vert="horz" anchor="t" anchorCtr="1"/>
                <a:lstStyle/>
                <a:p>
                  <a:pPr algn="ctr" rtl="0">
                    <a:defRPr lang="en-IN"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 rot="5400000" vert="horz"/>
              <a:lstStyle/>
              <a:p>
                <a:pPr algn="ctr" rtl="0">
                  <a:defRPr lang="en-IN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'Month-Analysis'!$AL$83</c:f>
              <c:strCache>
                <c:ptCount val="1"/>
                <c:pt idx="0">
                  <c:v>ISP</c:v>
                </c:pt>
              </c:strCache>
            </c:strRef>
          </c:cat>
          <c:val>
            <c:numRef>
              <c:f>'Month-Analysis'!$AM$83</c:f>
              <c:numCache>
                <c:formatCode>0.00</c:formatCode>
                <c:ptCount val="1"/>
                <c:pt idx="0">
                  <c:v>0.23589619530316952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673920"/>
        <c:axId val="244683904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'Month-Analysis'!$AN$82</c:f>
              <c:strCache>
                <c:ptCount val="1"/>
                <c:pt idx="0">
                  <c:v>MBR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'Month-Analysis'!$AL$83</c:f>
              <c:strCache>
                <c:ptCount val="1"/>
                <c:pt idx="0">
                  <c:v>ISP</c:v>
                </c:pt>
              </c:strCache>
            </c:strRef>
          </c:cat>
          <c:val>
            <c:numRef>
              <c:f>'Month-Analysis'!$AN$83</c:f>
              <c:numCache>
                <c:formatCode>0.00</c:formatCode>
                <c:ptCount val="1"/>
                <c:pt idx="0">
                  <c:v>-8.4508902900000002E-2</c:v>
                </c:pt>
              </c:numCache>
            </c:numRef>
          </c:val>
        </c:ser>
        <c:ser>
          <c:idx val="2"/>
          <c:order val="2"/>
          <c:tx>
            <c:strRef>
              <c:f>'Month-Analysis'!$AO$82</c:f>
              <c:strCache>
                <c:ptCount val="1"/>
                <c:pt idx="0">
                  <c:v>BOL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'Month-Analysis'!$AL$83</c:f>
              <c:strCache>
                <c:ptCount val="1"/>
                <c:pt idx="0">
                  <c:v>ISP</c:v>
                </c:pt>
              </c:strCache>
            </c:strRef>
          </c:cat>
          <c:val>
            <c:numRef>
              <c:f>'Month-Analysis'!$AO$83</c:f>
              <c:numCache>
                <c:formatCode>0.00</c:formatCode>
                <c:ptCount val="1"/>
                <c:pt idx="0">
                  <c:v>8.3739496499999996E-2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691328"/>
        <c:axId val="244685440"/>
      </c:barChart>
      <c:catAx>
        <c:axId val="244673920"/>
        <c:scaling>
          <c:orientation val="minMax"/>
        </c:scaling>
        <c:delete val="0"/>
        <c:axPos val="b"/>
        <c:majorTickMark val="out"/>
        <c:minorTickMark val="none"/>
        <c:tickLblPos val="high"/>
        <c:crossAx val="244683904"/>
        <c:crosses val="autoZero"/>
        <c:auto val="1"/>
        <c:lblAlgn val="ctr"/>
        <c:lblOffset val="100"/>
        <c:noMultiLvlLbl val="0"/>
      </c:catAx>
      <c:valAx>
        <c:axId val="24468390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244673920"/>
        <c:crosses val="autoZero"/>
        <c:crossBetween val="between"/>
      </c:valAx>
      <c:valAx>
        <c:axId val="244685440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691328"/>
        <c:crosses val="max"/>
        <c:crossBetween val="between"/>
      </c:valAx>
      <c:catAx>
        <c:axId val="244691328"/>
        <c:scaling>
          <c:orientation val="minMax"/>
        </c:scaling>
        <c:delete val="1"/>
        <c:axPos val="b"/>
        <c:majorTickMark val="out"/>
        <c:minorTickMark val="none"/>
        <c:tickLblPos val="nextTo"/>
        <c:crossAx val="24468544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1492135802226717"/>
          <c:y val="0.22947072696109383"/>
          <c:w val="0.68507864197773283"/>
          <c:h val="0.730578244004278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'Month-Analysis'!$AM$88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9950124688279305"/>
                  <c:y val="-0.1386391103931203"/>
                </c:manualLayout>
              </c:layout>
              <c:spPr>
                <a:noFill/>
              </c:spPr>
              <c:txPr>
                <a:bodyPr rot="5400000" vert="horz"/>
                <a:lstStyle/>
                <a:p>
                  <a:pPr>
                    <a:defRPr sz="1050" b="1"/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accent1"/>
              </a:solidFill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'Month-Analysis'!$AL$89</c:f>
              <c:strCache>
                <c:ptCount val="1"/>
                <c:pt idx="0">
                  <c:v>BSL</c:v>
                </c:pt>
              </c:strCache>
            </c:strRef>
          </c:cat>
          <c:val>
            <c:numRef>
              <c:f>'Month-Analysis'!$AM$89</c:f>
              <c:numCache>
                <c:formatCode>0.00</c:formatCode>
                <c:ptCount val="1"/>
                <c:pt idx="0">
                  <c:v>1.5180124662181278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749440"/>
        <c:axId val="244750976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'Month-Analysis'!$AN$88</c:f>
              <c:strCache>
                <c:ptCount val="1"/>
                <c:pt idx="0">
                  <c:v>MBR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'Month-Analysis'!$AL$89</c:f>
              <c:strCache>
                <c:ptCount val="1"/>
                <c:pt idx="0">
                  <c:v>BSL</c:v>
                </c:pt>
              </c:strCache>
            </c:strRef>
          </c:cat>
          <c:val>
            <c:numRef>
              <c:f>'Month-Analysis'!$AN$89</c:f>
              <c:numCache>
                <c:formatCode>0.00</c:formatCode>
                <c:ptCount val="1"/>
                <c:pt idx="0">
                  <c:v>0.44041955640000002</c:v>
                </c:pt>
              </c:numCache>
            </c:numRef>
          </c:val>
        </c:ser>
        <c:ser>
          <c:idx val="2"/>
          <c:order val="2"/>
          <c:tx>
            <c:strRef>
              <c:f>'Month-Analysis'!$AO$88</c:f>
              <c:strCache>
                <c:ptCount val="1"/>
                <c:pt idx="0">
                  <c:v>BOL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'Month-Analysis'!$AL$89</c:f>
              <c:strCache>
                <c:ptCount val="1"/>
                <c:pt idx="0">
                  <c:v>BSL</c:v>
                </c:pt>
              </c:strCache>
            </c:strRef>
          </c:cat>
          <c:val>
            <c:numRef>
              <c:f>'Month-Analysis'!$AO$89</c:f>
              <c:numCache>
                <c:formatCode>0.00</c:formatCode>
                <c:ptCount val="1"/>
                <c:pt idx="0">
                  <c:v>0.39351001880000003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762496"/>
        <c:axId val="244760960"/>
      </c:barChart>
      <c:catAx>
        <c:axId val="244749440"/>
        <c:scaling>
          <c:orientation val="minMax"/>
        </c:scaling>
        <c:delete val="0"/>
        <c:axPos val="b"/>
        <c:majorTickMark val="out"/>
        <c:minorTickMark val="none"/>
        <c:tickLblPos val="high"/>
        <c:crossAx val="244750976"/>
        <c:crosses val="autoZero"/>
        <c:auto val="1"/>
        <c:lblAlgn val="ctr"/>
        <c:lblOffset val="100"/>
        <c:noMultiLvlLbl val="0"/>
      </c:catAx>
      <c:valAx>
        <c:axId val="2447509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none"/>
        <c:minorTickMark val="none"/>
        <c:tickLblPos val="none"/>
        <c:crossAx val="244749440"/>
        <c:crosses val="autoZero"/>
        <c:crossBetween val="between"/>
      </c:valAx>
      <c:valAx>
        <c:axId val="244760960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762496"/>
        <c:crosses val="max"/>
        <c:crossBetween val="between"/>
      </c:valAx>
      <c:catAx>
        <c:axId val="244762496"/>
        <c:scaling>
          <c:orientation val="minMax"/>
        </c:scaling>
        <c:delete val="1"/>
        <c:axPos val="b"/>
        <c:majorTickMark val="out"/>
        <c:minorTickMark val="none"/>
        <c:tickLblPos val="nextTo"/>
        <c:crossAx val="244760960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8342267075769"/>
          <c:y val="0.236017371805611"/>
          <c:w val="0.8436567964215741"/>
          <c:h val="0.72403159915976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'Month-Analysis'!$AM$92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9950124688279303"/>
                  <c:y val="-0.50934002198509631"/>
                </c:manualLayout>
              </c:layout>
              <c:spPr>
                <a:noFill/>
              </c:spPr>
              <c:txPr>
                <a:bodyPr rot="5400000" vert="horz" anchor="t" anchorCtr="1"/>
                <a:lstStyle/>
                <a:p>
                  <a:pPr algn="ctr" rtl="0">
                    <a:defRPr lang="en-IN"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 rot="5400000" vert="horz"/>
              <a:lstStyle/>
              <a:p>
                <a:pPr algn="ctr" rtl="0">
                  <a:defRPr lang="en-IN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'Month-Analysis'!$AL$93</c:f>
              <c:strCache>
                <c:ptCount val="1"/>
                <c:pt idx="0">
                  <c:v>DSP</c:v>
                </c:pt>
              </c:strCache>
            </c:strRef>
          </c:cat>
          <c:val>
            <c:numRef>
              <c:f>'Month-Analysis'!$AM$93</c:f>
              <c:numCache>
                <c:formatCode>0.00</c:formatCode>
                <c:ptCount val="1"/>
                <c:pt idx="0">
                  <c:v>1.2345471724964714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785920"/>
        <c:axId val="244787456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'Month-Analysis'!$AN$92</c:f>
              <c:strCache>
                <c:ptCount val="1"/>
                <c:pt idx="0">
                  <c:v>BOL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'Month-Analysis'!$AL$93</c:f>
              <c:strCache>
                <c:ptCount val="1"/>
                <c:pt idx="0">
                  <c:v>DSP</c:v>
                </c:pt>
              </c:strCache>
            </c:strRef>
          </c:cat>
          <c:val>
            <c:numRef>
              <c:f>'Month-Analysis'!$AN$93</c:f>
              <c:numCache>
                <c:formatCode>0.00</c:formatCode>
                <c:ptCount val="1"/>
                <c:pt idx="0">
                  <c:v>0.97654687979999999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807168"/>
        <c:axId val="244805632"/>
      </c:barChart>
      <c:catAx>
        <c:axId val="244785920"/>
        <c:scaling>
          <c:orientation val="minMax"/>
        </c:scaling>
        <c:delete val="0"/>
        <c:axPos val="b"/>
        <c:majorTickMark val="out"/>
        <c:minorTickMark val="none"/>
        <c:tickLblPos val="high"/>
        <c:crossAx val="244787456"/>
        <c:crosses val="autoZero"/>
        <c:auto val="1"/>
        <c:lblAlgn val="ctr"/>
        <c:lblOffset val="100"/>
        <c:noMultiLvlLbl val="0"/>
      </c:catAx>
      <c:valAx>
        <c:axId val="24478745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244785920"/>
        <c:crosses val="autoZero"/>
        <c:crossBetween val="between"/>
      </c:valAx>
      <c:valAx>
        <c:axId val="244805632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807168"/>
        <c:crosses val="max"/>
        <c:crossBetween val="between"/>
      </c:valAx>
      <c:catAx>
        <c:axId val="24480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4480563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8342267075769"/>
          <c:y val="0.236017371805611"/>
          <c:w val="0.8436567964215741"/>
          <c:h val="0.72403159915976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'Month-Analysis'!$AM$96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20947630922693267"/>
                  <c:y val="-0.20278032516078884"/>
                </c:manualLayout>
              </c:layout>
              <c:spPr>
                <a:noFill/>
              </c:spPr>
              <c:txPr>
                <a:bodyPr rot="5400000" vert="horz" anchor="t" anchorCtr="1"/>
                <a:lstStyle/>
                <a:p>
                  <a:pPr algn="ctr" rtl="0">
                    <a:defRPr lang="en-IN"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 rot="5400000" vert="horz"/>
              <a:lstStyle/>
              <a:p>
                <a:pPr algn="ctr" rtl="0">
                  <a:defRPr lang="en-IN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'Month-Analysis'!$AL$97</c:f>
              <c:strCache>
                <c:ptCount val="1"/>
                <c:pt idx="0">
                  <c:v>RSP</c:v>
                </c:pt>
              </c:strCache>
            </c:strRef>
          </c:cat>
          <c:val>
            <c:numRef>
              <c:f>'Month-Analysis'!$AM$97</c:f>
              <c:numCache>
                <c:formatCode>0.00</c:formatCode>
                <c:ptCount val="1"/>
                <c:pt idx="0">
                  <c:v>0.26818108098187876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324608"/>
        <c:axId val="244334592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'Month-Analysis'!$AN$96</c:f>
              <c:strCache>
                <c:ptCount val="1"/>
                <c:pt idx="0">
                  <c:v>BAR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'Month-Analysis'!$AL$97</c:f>
              <c:strCache>
                <c:ptCount val="1"/>
                <c:pt idx="0">
                  <c:v>RSP</c:v>
                </c:pt>
              </c:strCache>
            </c:strRef>
          </c:cat>
          <c:val>
            <c:numRef>
              <c:f>'Month-Analysis'!$AN$97</c:f>
              <c:numCache>
                <c:formatCode>0.00</c:formatCode>
                <c:ptCount val="1"/>
                <c:pt idx="0">
                  <c:v>0.39698530199999998</c:v>
                </c:pt>
              </c:numCache>
            </c:numRef>
          </c:val>
        </c:ser>
        <c:ser>
          <c:idx val="2"/>
          <c:order val="2"/>
          <c:tx>
            <c:strRef>
              <c:f>'Month-Analysis'!$AO$96</c:f>
              <c:strCache>
                <c:ptCount val="1"/>
                <c:pt idx="0">
                  <c:v>KRB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'Month-Analysis'!$AL$97</c:f>
              <c:strCache>
                <c:ptCount val="1"/>
                <c:pt idx="0">
                  <c:v>RSP</c:v>
                </c:pt>
              </c:strCache>
            </c:strRef>
          </c:cat>
          <c:val>
            <c:numRef>
              <c:f>'Month-Analysis'!$AO$97</c:f>
              <c:numCache>
                <c:formatCode>0.00</c:formatCode>
                <c:ptCount val="1"/>
                <c:pt idx="0">
                  <c:v>0.23975495620000001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337664"/>
        <c:axId val="244336128"/>
      </c:barChart>
      <c:catAx>
        <c:axId val="244324608"/>
        <c:scaling>
          <c:orientation val="minMax"/>
        </c:scaling>
        <c:delete val="0"/>
        <c:axPos val="b"/>
        <c:majorTickMark val="out"/>
        <c:minorTickMark val="none"/>
        <c:tickLblPos val="high"/>
        <c:crossAx val="244334592"/>
        <c:crosses val="autoZero"/>
        <c:auto val="1"/>
        <c:lblAlgn val="ctr"/>
        <c:lblOffset val="100"/>
        <c:noMultiLvlLbl val="0"/>
      </c:catAx>
      <c:valAx>
        <c:axId val="24433459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244324608"/>
        <c:crosses val="autoZero"/>
        <c:crossBetween val="between"/>
      </c:valAx>
      <c:valAx>
        <c:axId val="244336128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337664"/>
        <c:crosses val="max"/>
        <c:crossBetween val="between"/>
      </c:valAx>
      <c:catAx>
        <c:axId val="244337664"/>
        <c:scaling>
          <c:orientation val="minMax"/>
        </c:scaling>
        <c:delete val="1"/>
        <c:axPos val="b"/>
        <c:majorTickMark val="out"/>
        <c:minorTickMark val="none"/>
        <c:tickLblPos val="nextTo"/>
        <c:crossAx val="24433612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8342267075769"/>
          <c:y val="0.236017371805611"/>
          <c:w val="0.8436567964215741"/>
          <c:h val="0.72403159915976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'Month-Analysis'!$AM$100</c:f>
              <c:strCache>
                <c:ptCount val="1"/>
                <c:pt idx="0">
                  <c:v>plant1</c:v>
                </c:pt>
              </c:strCache>
            </c:strRef>
          </c:tx>
          <c:spPr>
            <a:gradFill>
              <a:gsLst>
                <a:gs pos="0">
                  <a:schemeClr val="accent1">
                    <a:tint val="66000"/>
                    <a:satMod val="160000"/>
                    <a:lumMod val="82000"/>
                  </a:schemeClr>
                </a:gs>
                <a:gs pos="64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44450" cap="rnd" cmpd="thickThin">
              <a:solidFill>
                <a:srgbClr val="C00000"/>
              </a:solidFill>
            </a:ln>
          </c:spPr>
          <c:invertIfNegative val="0"/>
          <c:dLbls>
            <c:dLbl>
              <c:idx val="0"/>
              <c:layout>
                <c:manualLayout>
                  <c:x val="-0.18952618453865336"/>
                  <c:y val="-0.26379834271943503"/>
                </c:manualLayout>
              </c:layout>
              <c:spPr>
                <a:noFill/>
              </c:spPr>
              <c:txPr>
                <a:bodyPr rot="5400000" vert="horz" anchor="t" anchorCtr="1"/>
                <a:lstStyle/>
                <a:p>
                  <a:pPr algn="ctr" rtl="0">
                    <a:defRPr lang="en-IN"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 rot="5400000" vert="horz"/>
              <a:lstStyle/>
              <a:p>
                <a:pPr algn="ctr" rtl="0">
                  <a:defRPr lang="en-IN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'Month-Analysis'!$AL$101</c:f>
              <c:strCache>
                <c:ptCount val="1"/>
                <c:pt idx="0">
                  <c:v>ISP</c:v>
                </c:pt>
              </c:strCache>
            </c:strRef>
          </c:cat>
          <c:val>
            <c:numRef>
              <c:f>'Month-Analysis'!$AM$101</c:f>
              <c:numCache>
                <c:formatCode>0.00</c:formatCode>
                <c:ptCount val="1"/>
                <c:pt idx="0">
                  <c:v>1.1244935743923916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axId val="244449280"/>
        <c:axId val="244450816"/>
      </c:barChart>
      <c:barChart>
        <c:barDir val="col"/>
        <c:grouping val="clustered"/>
        <c:varyColors val="0"/>
        <c:ser>
          <c:idx val="1"/>
          <c:order val="1"/>
          <c:tx>
            <c:strRef>
              <c:f>'Month-Analysis'!$AN$100</c:f>
              <c:strCache>
                <c:ptCount val="1"/>
                <c:pt idx="0">
                  <c:v>MBR</c:v>
                </c:pt>
              </c:strCache>
            </c:strRef>
          </c:tx>
          <c:invertIfNegative val="0"/>
          <c:dLbls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'Month-Analysis'!$AL$101</c:f>
              <c:strCache>
                <c:ptCount val="1"/>
                <c:pt idx="0">
                  <c:v>ISP</c:v>
                </c:pt>
              </c:strCache>
            </c:strRef>
          </c:cat>
          <c:val>
            <c:numRef>
              <c:f>'Month-Analysis'!$AN$101</c:f>
              <c:numCache>
                <c:formatCode>0.00</c:formatCode>
                <c:ptCount val="1"/>
                <c:pt idx="0">
                  <c:v>0.76349422619999996</c:v>
                </c:pt>
              </c:numCache>
            </c:numRef>
          </c:val>
        </c:ser>
        <c:ser>
          <c:idx val="2"/>
          <c:order val="2"/>
          <c:tx>
            <c:strRef>
              <c:f>'Month-Analysis'!$AO$100</c:f>
              <c:strCache>
                <c:ptCount val="1"/>
                <c:pt idx="0">
                  <c:v>GUA</c:v>
                </c:pt>
              </c:strCache>
            </c:strRef>
          </c:tx>
          <c:spPr>
            <a:ln w="15875" cap="rnd">
              <a:round/>
            </a:ln>
          </c:spPr>
          <c:invertIfNegative val="0"/>
          <c:dLbls>
            <c:dLbl>
              <c:idx val="0"/>
              <c:spPr/>
              <c:txPr>
                <a:bodyPr rot="5400000" vert="horz"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'Month-Analysis'!$AL$101</c:f>
              <c:strCache>
                <c:ptCount val="1"/>
                <c:pt idx="0">
                  <c:v>ISP</c:v>
                </c:pt>
              </c:strCache>
            </c:strRef>
          </c:cat>
          <c:val>
            <c:numRef>
              <c:f>'Month-Analysis'!$AO$101</c:f>
              <c:numCache>
                <c:formatCode>0.00</c:formatCode>
                <c:ptCount val="1"/>
                <c:pt idx="0">
                  <c:v>0.18096134559999999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3"/>
        <c:axId val="244466432"/>
        <c:axId val="244452352"/>
      </c:barChart>
      <c:catAx>
        <c:axId val="244449280"/>
        <c:scaling>
          <c:orientation val="minMax"/>
        </c:scaling>
        <c:delete val="0"/>
        <c:axPos val="b"/>
        <c:majorTickMark val="out"/>
        <c:minorTickMark val="none"/>
        <c:tickLblPos val="high"/>
        <c:crossAx val="244450816"/>
        <c:crosses val="autoZero"/>
        <c:auto val="1"/>
        <c:lblAlgn val="ctr"/>
        <c:lblOffset val="100"/>
        <c:noMultiLvlLbl val="0"/>
      </c:catAx>
      <c:valAx>
        <c:axId val="24445081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244449280"/>
        <c:crosses val="autoZero"/>
        <c:crossBetween val="between"/>
      </c:valAx>
      <c:valAx>
        <c:axId val="244452352"/>
        <c:scaling>
          <c:orientation val="minMax"/>
          <c:max val="0"/>
          <c:min val="-12"/>
        </c:scaling>
        <c:delete val="1"/>
        <c:axPos val="r"/>
        <c:numFmt formatCode="0.00" sourceLinked="1"/>
        <c:majorTickMark val="out"/>
        <c:minorTickMark val="none"/>
        <c:tickLblPos val="nextTo"/>
        <c:crossAx val="244466432"/>
        <c:crosses val="max"/>
        <c:crossBetween val="between"/>
      </c:valAx>
      <c:catAx>
        <c:axId val="244466432"/>
        <c:scaling>
          <c:orientation val="minMax"/>
        </c:scaling>
        <c:delete val="1"/>
        <c:axPos val="b"/>
        <c:majorTickMark val="out"/>
        <c:minorTickMark val="none"/>
        <c:tickLblPos val="nextTo"/>
        <c:crossAx val="24445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2" dropStyle="combo" dx="26" fmlaLink="$AH$6" fmlaRange="$AF$6:$AF$17" noThreeD="1" sel="1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" dropStyle="combo" dx="26" fmlaLink="$AC$31" fmlaRange="$AF$31:$AF$35" noThreeD="1" sel="5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63500</xdr:colOff>
          <xdr:row>34</xdr:row>
          <xdr:rowOff>88900</xdr:rowOff>
        </xdr:from>
        <xdr:to>
          <xdr:col>23</xdr:col>
          <xdr:colOff>349250</xdr:colOff>
          <xdr:row>36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107950</xdr:colOff>
          <xdr:row>30</xdr:row>
          <xdr:rowOff>82550</xdr:rowOff>
        </xdr:from>
        <xdr:to>
          <xdr:col>23</xdr:col>
          <xdr:colOff>349250</xdr:colOff>
          <xdr:row>31</xdr:row>
          <xdr:rowOff>76200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139700</xdr:colOff>
          <xdr:row>28</xdr:row>
          <xdr:rowOff>88900</xdr:rowOff>
        </xdr:from>
        <xdr:to>
          <xdr:col>23</xdr:col>
          <xdr:colOff>323850</xdr:colOff>
          <xdr:row>30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107950</xdr:colOff>
          <xdr:row>32</xdr:row>
          <xdr:rowOff>88900</xdr:rowOff>
        </xdr:from>
        <xdr:to>
          <xdr:col>23</xdr:col>
          <xdr:colOff>349250</xdr:colOff>
          <xdr:row>33</xdr:row>
          <xdr:rowOff>82550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165100</xdr:colOff>
          <xdr:row>29</xdr:row>
          <xdr:rowOff>0</xdr:rowOff>
        </xdr:from>
        <xdr:to>
          <xdr:col>21</xdr:col>
          <xdr:colOff>228600</xdr:colOff>
          <xdr:row>30</xdr:row>
          <xdr:rowOff>6350</xdr:rowOff>
        </xdr:to>
        <xdr:sp macro="" textlink="">
          <xdr:nvSpPr>
            <xdr:cNvPr id="1029" name="Label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STEP 1 : GET DATA FROM SYBASE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158750</xdr:colOff>
          <xdr:row>30</xdr:row>
          <xdr:rowOff>88900</xdr:rowOff>
        </xdr:from>
        <xdr:to>
          <xdr:col>21</xdr:col>
          <xdr:colOff>222250</xdr:colOff>
          <xdr:row>31</xdr:row>
          <xdr:rowOff>95250</xdr:rowOff>
        </xdr:to>
        <xdr:sp macro="" textlink="">
          <xdr:nvSpPr>
            <xdr:cNvPr id="1030" name="Labe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STEP 2 : CHOOSE MONTH &amp;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32</xdr:row>
          <xdr:rowOff>88900</xdr:rowOff>
        </xdr:from>
        <xdr:to>
          <xdr:col>21</xdr:col>
          <xdr:colOff>215900</xdr:colOff>
          <xdr:row>33</xdr:row>
          <xdr:rowOff>88900</xdr:rowOff>
        </xdr:to>
        <xdr:sp macro="" textlink="">
          <xdr:nvSpPr>
            <xdr:cNvPr id="1031" name="Label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STEP 3 : CHOOSE PLANT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35</xdr:row>
          <xdr:rowOff>0</xdr:rowOff>
        </xdr:from>
        <xdr:to>
          <xdr:col>21</xdr:col>
          <xdr:colOff>234950</xdr:colOff>
          <xdr:row>36</xdr:row>
          <xdr:rowOff>6350</xdr:rowOff>
        </xdr:to>
        <xdr:sp macro="" textlink="">
          <xdr:nvSpPr>
            <xdr:cNvPr id="1032" name="Label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STEP 4 :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37</xdr:row>
          <xdr:rowOff>50800</xdr:rowOff>
        </xdr:from>
        <xdr:to>
          <xdr:col>23</xdr:col>
          <xdr:colOff>101600</xdr:colOff>
          <xdr:row>39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FLUX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55</xdr:row>
      <xdr:rowOff>50798</xdr:rowOff>
    </xdr:from>
    <xdr:to>
      <xdr:col>22</xdr:col>
      <xdr:colOff>531743</xdr:colOff>
      <xdr:row>65</xdr:row>
      <xdr:rowOff>161787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82550</xdr:colOff>
      <xdr:row>66</xdr:row>
      <xdr:rowOff>49695</xdr:rowOff>
    </xdr:from>
    <xdr:to>
      <xdr:col>22</xdr:col>
      <xdr:colOff>515731</xdr:colOff>
      <xdr:row>75</xdr:row>
      <xdr:rowOff>151018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88901</xdr:colOff>
      <xdr:row>76</xdr:row>
      <xdr:rowOff>11044</xdr:rowOff>
    </xdr:from>
    <xdr:to>
      <xdr:col>22</xdr:col>
      <xdr:colOff>501651</xdr:colOff>
      <xdr:row>86</xdr:row>
      <xdr:rowOff>65709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107951</xdr:colOff>
      <xdr:row>86</xdr:row>
      <xdr:rowOff>113748</xdr:rowOff>
    </xdr:from>
    <xdr:to>
      <xdr:col>22</xdr:col>
      <xdr:colOff>514351</xdr:colOff>
      <xdr:row>97</xdr:row>
      <xdr:rowOff>11871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120650</xdr:colOff>
      <xdr:row>97</xdr:row>
      <xdr:rowOff>92766</xdr:rowOff>
    </xdr:from>
    <xdr:to>
      <xdr:col>22</xdr:col>
      <xdr:colOff>495299</xdr:colOff>
      <xdr:row>108</xdr:row>
      <xdr:rowOff>29541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79375</xdr:colOff>
      <xdr:row>55</xdr:row>
      <xdr:rowOff>50799</xdr:rowOff>
    </xdr:from>
    <xdr:to>
      <xdr:col>31</xdr:col>
      <xdr:colOff>47625</xdr:colOff>
      <xdr:row>65</xdr:row>
      <xdr:rowOff>161925</xdr:rowOff>
    </xdr:to>
    <xdr:grpSp>
      <xdr:nvGrpSpPr>
        <xdr:cNvPr id="19" name="Group 18"/>
        <xdr:cNvGrpSpPr/>
      </xdr:nvGrpSpPr>
      <xdr:grpSpPr>
        <a:xfrm>
          <a:off x="14919325" y="10547349"/>
          <a:ext cx="4927600" cy="1952626"/>
          <a:chOff x="14919325" y="10496549"/>
          <a:chExt cx="4927600" cy="1952626"/>
        </a:xfrm>
      </xdr:grpSpPr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4919325" y="10496549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6" name="Chart 15"/>
          <xdr:cNvGraphicFramePr>
            <a:graphicFrameLocks/>
          </xdr:cNvGraphicFramePr>
        </xdr:nvGraphicFramePr>
        <xdr:xfrm>
          <a:off x="16122650" y="10509250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7" name="Chart 16"/>
          <xdr:cNvGraphicFramePr>
            <a:graphicFrameLocks/>
          </xdr:cNvGraphicFramePr>
        </xdr:nvGraphicFramePr>
        <xdr:xfrm>
          <a:off x="17360900" y="10496550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8" name="Chart 17"/>
          <xdr:cNvGraphicFramePr>
            <a:graphicFrameLocks/>
          </xdr:cNvGraphicFramePr>
        </xdr:nvGraphicFramePr>
        <xdr:xfrm>
          <a:off x="18573750" y="10496550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23</xdr:col>
      <xdr:colOff>0</xdr:colOff>
      <xdr:row>67</xdr:row>
      <xdr:rowOff>0</xdr:rowOff>
    </xdr:from>
    <xdr:to>
      <xdr:col>30</xdr:col>
      <xdr:colOff>577850</xdr:colOff>
      <xdr:row>76</xdr:row>
      <xdr:rowOff>0</xdr:rowOff>
    </xdr:to>
    <xdr:grpSp>
      <xdr:nvGrpSpPr>
        <xdr:cNvPr id="20" name="Group 19"/>
        <xdr:cNvGrpSpPr/>
      </xdr:nvGrpSpPr>
      <xdr:grpSpPr>
        <a:xfrm>
          <a:off x="14839950" y="12706350"/>
          <a:ext cx="4927600" cy="1657350"/>
          <a:chOff x="14919325" y="10496549"/>
          <a:chExt cx="4927600" cy="1952626"/>
        </a:xfrm>
      </xdr:grpSpPr>
      <xdr:graphicFrame macro="">
        <xdr:nvGraphicFramePr>
          <xdr:cNvPr id="21" name="Chart 20"/>
          <xdr:cNvGraphicFramePr>
            <a:graphicFrameLocks/>
          </xdr:cNvGraphicFramePr>
        </xdr:nvGraphicFramePr>
        <xdr:xfrm>
          <a:off x="14919325" y="10496549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2" name="Chart 21"/>
          <xdr:cNvGraphicFramePr>
            <a:graphicFrameLocks/>
          </xdr:cNvGraphicFramePr>
        </xdr:nvGraphicFramePr>
        <xdr:xfrm>
          <a:off x="16122650" y="10509250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3" name="Chart 22"/>
          <xdr:cNvGraphicFramePr>
            <a:graphicFrameLocks/>
          </xdr:cNvGraphicFramePr>
        </xdr:nvGraphicFramePr>
        <xdr:xfrm>
          <a:off x="17360900" y="10496550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4" name="Chart 23"/>
          <xdr:cNvGraphicFramePr>
            <a:graphicFrameLocks/>
          </xdr:cNvGraphicFramePr>
        </xdr:nvGraphicFramePr>
        <xdr:xfrm>
          <a:off x="18573750" y="10496550"/>
          <a:ext cx="1273175" cy="1939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4673.479757986112" createdVersion="4" refreshedVersion="4" minRefreshableVersion="3" recordCount="526">
  <cacheSource type="worksheet">
    <worksheetSource name="Despatch_month"/>
  </cacheSource>
  <cacheFields count="6">
    <cacheField name="id" numFmtId="0">
      <sharedItems containsSemiMixedTypes="0" containsString="0" containsNumber="1" containsInteger="1" minValue="3435" maxValue="201961"/>
    </cacheField>
    <cacheField name="yymm" numFmtId="0">
      <sharedItems count="24"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  <s v="202010" u="1"/>
        <s v="202011" u="1"/>
        <s v="202012" u="1"/>
        <s v="202101" u="1"/>
        <s v="202102" u="1"/>
        <s v="202103" u="1"/>
        <s v="202004" u="1"/>
        <s v="202005" u="1"/>
        <s v="202006" u="1"/>
        <s v="202007" u="1"/>
        <s v="202008" u="1"/>
        <s v="202009" u="1"/>
      </sharedItems>
    </cacheField>
    <cacheField name="unit" numFmtId="0">
      <sharedItems count="11">
        <s v="KRB"/>
        <s v="MBR"/>
        <s v="BAR"/>
        <s v="TAL"/>
        <s v="KAL"/>
        <s v="MPR"/>
        <s v="BOL"/>
        <s v="GUA"/>
        <s v="KTR"/>
        <s v="BSP"/>
        <s v="OTH"/>
      </sharedItems>
    </cacheField>
    <cacheField name="cust" numFmtId="0">
      <sharedItems count="48">
        <s v="BSL"/>
        <s v="BSP"/>
        <s v="DSP"/>
        <s v="RSP"/>
        <s v="SSPL"/>
        <s v="BDIH"/>
        <s v="BKSC"/>
        <s v="MSPJ"/>
        <s v="SRBS"/>
        <s v="ESCL"/>
        <s v="ISP"/>
        <s v="PRSP"/>
        <s v="BBNA"/>
        <s v="MOMN"/>
        <s v="SMER"/>
        <s v="JSPK"/>
        <s v="PMRN"/>
        <s v="MSSL"/>
        <s v="BBN"/>
        <s v="BPSL"/>
        <s v="PAPK"/>
        <s v="DGR"/>
        <s v="PFPD"/>
        <s v="PSOR"/>
        <s v="BBNS"/>
        <s v="PJPD"/>
        <s v="JSPL"/>
        <s v="JSW"/>
        <s v="BIRP"/>
        <s v="BBNSJ"/>
        <s v="ARSL"/>
        <s v="PBSL"/>
        <s v="PMSB"/>
        <s v="JPH" u="1"/>
        <s v="RSP " u="1"/>
        <s v="VAA" u="1"/>
        <s v="ARC" u="1"/>
        <s v="DSP " u="1"/>
        <s v="HPH" u="1"/>
        <s v="BSL " u="1"/>
        <s v="OTH" u="1"/>
        <s v="BSP " u="1"/>
        <s v="GFMK" u="1"/>
        <s v="OMPL" u="1"/>
        <s v="SALE" u="1"/>
        <s v="RINL" u="1"/>
        <s v="ESL" u="1"/>
        <s v="VSPS" u="1"/>
      </sharedItems>
    </cacheField>
    <cacheField name="comm" numFmtId="0">
      <sharedItems count="3">
        <s v="L"/>
        <s v="F"/>
        <s v="LS"/>
      </sharedItems>
    </cacheField>
    <cacheField name="act_qty" numFmtId="0">
      <sharedItems containsSemiMixedTypes="0" containsString="0" containsNumber="1" minValue="0" maxValue="263264.4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6">
  <r>
    <n v="3435"/>
    <x v="0"/>
    <x v="0"/>
    <x v="0"/>
    <x v="0"/>
    <n v="56045"/>
  </r>
  <r>
    <n v="3436"/>
    <x v="0"/>
    <x v="0"/>
    <x v="1"/>
    <x v="0"/>
    <n v="3844"/>
  </r>
  <r>
    <n v="3437"/>
    <x v="0"/>
    <x v="0"/>
    <x v="0"/>
    <x v="1"/>
    <n v="99799"/>
  </r>
  <r>
    <n v="3438"/>
    <x v="0"/>
    <x v="0"/>
    <x v="2"/>
    <x v="1"/>
    <n v="3775"/>
  </r>
  <r>
    <n v="3439"/>
    <x v="0"/>
    <x v="0"/>
    <x v="3"/>
    <x v="1"/>
    <n v="35799"/>
  </r>
  <r>
    <n v="3440"/>
    <x v="0"/>
    <x v="0"/>
    <x v="1"/>
    <x v="1"/>
    <n v="96739"/>
  </r>
  <r>
    <n v="3441"/>
    <x v="0"/>
    <x v="1"/>
    <x v="0"/>
    <x v="0"/>
    <n v="64728"/>
  </r>
  <r>
    <n v="3442"/>
    <x v="0"/>
    <x v="1"/>
    <x v="2"/>
    <x v="0"/>
    <n v="3949"/>
  </r>
  <r>
    <n v="3443"/>
    <x v="0"/>
    <x v="1"/>
    <x v="3"/>
    <x v="0"/>
    <n v="7379"/>
  </r>
  <r>
    <n v="3444"/>
    <x v="0"/>
    <x v="1"/>
    <x v="0"/>
    <x v="1"/>
    <n v="180638"/>
  </r>
  <r>
    <n v="3445"/>
    <x v="0"/>
    <x v="1"/>
    <x v="3"/>
    <x v="1"/>
    <n v="60142"/>
  </r>
  <r>
    <n v="3446"/>
    <x v="0"/>
    <x v="2"/>
    <x v="0"/>
    <x v="0"/>
    <n v="48485"/>
  </r>
  <r>
    <n v="3447"/>
    <x v="0"/>
    <x v="2"/>
    <x v="3"/>
    <x v="0"/>
    <n v="25501"/>
  </r>
  <r>
    <n v="3448"/>
    <x v="0"/>
    <x v="2"/>
    <x v="3"/>
    <x v="1"/>
    <n v="68383"/>
  </r>
  <r>
    <n v="3449"/>
    <x v="0"/>
    <x v="2"/>
    <x v="4"/>
    <x v="1"/>
    <n v="7848"/>
  </r>
  <r>
    <n v="3450"/>
    <x v="0"/>
    <x v="2"/>
    <x v="5"/>
    <x v="1"/>
    <n v="20086"/>
  </r>
  <r>
    <n v="3451"/>
    <x v="0"/>
    <x v="2"/>
    <x v="6"/>
    <x v="1"/>
    <n v="4169"/>
  </r>
  <r>
    <n v="3452"/>
    <x v="0"/>
    <x v="2"/>
    <x v="7"/>
    <x v="1"/>
    <n v="15377"/>
  </r>
  <r>
    <n v="3453"/>
    <x v="0"/>
    <x v="2"/>
    <x v="8"/>
    <x v="1"/>
    <n v="3888"/>
  </r>
  <r>
    <n v="3454"/>
    <x v="0"/>
    <x v="2"/>
    <x v="9"/>
    <x v="1"/>
    <n v="7830"/>
  </r>
  <r>
    <n v="3455"/>
    <x v="0"/>
    <x v="3"/>
    <x v="3"/>
    <x v="0"/>
    <n v="51437"/>
  </r>
  <r>
    <n v="3456"/>
    <x v="0"/>
    <x v="3"/>
    <x v="3"/>
    <x v="1"/>
    <n v="99125"/>
  </r>
  <r>
    <n v="3457"/>
    <x v="0"/>
    <x v="4"/>
    <x v="0"/>
    <x v="0"/>
    <n v="28231"/>
  </r>
  <r>
    <n v="3458"/>
    <x v="0"/>
    <x v="4"/>
    <x v="3"/>
    <x v="0"/>
    <n v="121642.9"/>
  </r>
  <r>
    <n v="3459"/>
    <x v="0"/>
    <x v="4"/>
    <x v="3"/>
    <x v="1"/>
    <n v="143043.9"/>
  </r>
  <r>
    <n v="3460"/>
    <x v="0"/>
    <x v="5"/>
    <x v="0"/>
    <x v="0"/>
    <n v="3340"/>
  </r>
  <r>
    <n v="3461"/>
    <x v="0"/>
    <x v="5"/>
    <x v="0"/>
    <x v="1"/>
    <n v="7086"/>
  </r>
  <r>
    <n v="3462"/>
    <x v="0"/>
    <x v="6"/>
    <x v="0"/>
    <x v="0"/>
    <n v="27637"/>
  </r>
  <r>
    <n v="3463"/>
    <x v="0"/>
    <x v="6"/>
    <x v="2"/>
    <x v="0"/>
    <n v="91896"/>
  </r>
  <r>
    <n v="3464"/>
    <x v="0"/>
    <x v="6"/>
    <x v="10"/>
    <x v="0"/>
    <n v="4574"/>
  </r>
  <r>
    <n v="3465"/>
    <x v="0"/>
    <x v="6"/>
    <x v="0"/>
    <x v="1"/>
    <n v="55645"/>
  </r>
  <r>
    <n v="3466"/>
    <x v="0"/>
    <x v="6"/>
    <x v="2"/>
    <x v="1"/>
    <n v="142321"/>
  </r>
  <r>
    <n v="3467"/>
    <x v="0"/>
    <x v="6"/>
    <x v="10"/>
    <x v="1"/>
    <n v="7186"/>
  </r>
  <r>
    <n v="3468"/>
    <x v="0"/>
    <x v="6"/>
    <x v="11"/>
    <x v="1"/>
    <n v="42353"/>
  </r>
  <r>
    <n v="3469"/>
    <x v="0"/>
    <x v="6"/>
    <x v="12"/>
    <x v="1"/>
    <n v="7654"/>
  </r>
  <r>
    <n v="3470"/>
    <x v="0"/>
    <x v="6"/>
    <x v="13"/>
    <x v="1"/>
    <n v="3908"/>
  </r>
  <r>
    <n v="3474"/>
    <x v="0"/>
    <x v="7"/>
    <x v="0"/>
    <x v="0"/>
    <n v="1784"/>
  </r>
  <r>
    <n v="3475"/>
    <x v="0"/>
    <x v="7"/>
    <x v="0"/>
    <x v="1"/>
    <n v="1501"/>
  </r>
  <r>
    <n v="3476"/>
    <x v="0"/>
    <x v="7"/>
    <x v="2"/>
    <x v="0"/>
    <n v="48426"/>
  </r>
  <r>
    <n v="3477"/>
    <x v="0"/>
    <x v="7"/>
    <x v="2"/>
    <x v="1"/>
    <n v="85939"/>
  </r>
  <r>
    <n v="3478"/>
    <x v="0"/>
    <x v="7"/>
    <x v="10"/>
    <x v="0"/>
    <n v="38630"/>
  </r>
  <r>
    <n v="3479"/>
    <x v="0"/>
    <x v="7"/>
    <x v="10"/>
    <x v="1"/>
    <n v="162189"/>
  </r>
  <r>
    <n v="3480"/>
    <x v="1"/>
    <x v="0"/>
    <x v="0"/>
    <x v="0"/>
    <n v="46459"/>
  </r>
  <r>
    <n v="3481"/>
    <x v="1"/>
    <x v="0"/>
    <x v="2"/>
    <x v="0"/>
    <n v="4179"/>
  </r>
  <r>
    <n v="3482"/>
    <x v="1"/>
    <x v="0"/>
    <x v="3"/>
    <x v="0"/>
    <n v="3761"/>
  </r>
  <r>
    <n v="3483"/>
    <x v="1"/>
    <x v="0"/>
    <x v="0"/>
    <x v="1"/>
    <n v="68146"/>
  </r>
  <r>
    <n v="3484"/>
    <x v="1"/>
    <x v="0"/>
    <x v="3"/>
    <x v="1"/>
    <n v="14147"/>
  </r>
  <r>
    <n v="3485"/>
    <x v="1"/>
    <x v="0"/>
    <x v="1"/>
    <x v="1"/>
    <n v="93978"/>
  </r>
  <r>
    <n v="3486"/>
    <x v="1"/>
    <x v="1"/>
    <x v="0"/>
    <x v="0"/>
    <n v="59821"/>
  </r>
  <r>
    <n v="3489"/>
    <x v="1"/>
    <x v="1"/>
    <x v="0"/>
    <x v="1"/>
    <n v="68286"/>
  </r>
  <r>
    <n v="3490"/>
    <x v="1"/>
    <x v="1"/>
    <x v="3"/>
    <x v="1"/>
    <n v="36238"/>
  </r>
  <r>
    <n v="3491"/>
    <x v="1"/>
    <x v="2"/>
    <x v="0"/>
    <x v="0"/>
    <n v="18706"/>
  </r>
  <r>
    <n v="3492"/>
    <x v="1"/>
    <x v="2"/>
    <x v="3"/>
    <x v="0"/>
    <n v="38629"/>
  </r>
  <r>
    <n v="3493"/>
    <x v="1"/>
    <x v="2"/>
    <x v="3"/>
    <x v="1"/>
    <n v="115806"/>
  </r>
  <r>
    <n v="3494"/>
    <x v="1"/>
    <x v="2"/>
    <x v="4"/>
    <x v="1"/>
    <n v="7525"/>
  </r>
  <r>
    <n v="3495"/>
    <x v="1"/>
    <x v="2"/>
    <x v="14"/>
    <x v="1"/>
    <n v="3850"/>
  </r>
  <r>
    <n v="3496"/>
    <x v="1"/>
    <x v="2"/>
    <x v="6"/>
    <x v="1"/>
    <n v="11907"/>
  </r>
  <r>
    <n v="3498"/>
    <x v="1"/>
    <x v="2"/>
    <x v="8"/>
    <x v="1"/>
    <n v="7652"/>
  </r>
  <r>
    <n v="3500"/>
    <x v="1"/>
    <x v="3"/>
    <x v="3"/>
    <x v="0"/>
    <n v="43372"/>
  </r>
  <r>
    <n v="3501"/>
    <x v="1"/>
    <x v="3"/>
    <x v="3"/>
    <x v="1"/>
    <n v="91102"/>
  </r>
  <r>
    <n v="3503"/>
    <x v="1"/>
    <x v="4"/>
    <x v="3"/>
    <x v="0"/>
    <n v="135426.5"/>
  </r>
  <r>
    <n v="3504"/>
    <x v="1"/>
    <x v="4"/>
    <x v="3"/>
    <x v="1"/>
    <n v="114004.9"/>
  </r>
  <r>
    <n v="3505"/>
    <x v="1"/>
    <x v="5"/>
    <x v="0"/>
    <x v="0"/>
    <n v="17229"/>
  </r>
  <r>
    <n v="3506"/>
    <x v="1"/>
    <x v="5"/>
    <x v="0"/>
    <x v="1"/>
    <n v="28141"/>
  </r>
  <r>
    <n v="3507"/>
    <x v="1"/>
    <x v="6"/>
    <x v="0"/>
    <x v="0"/>
    <n v="57164"/>
  </r>
  <r>
    <n v="3508"/>
    <x v="1"/>
    <x v="6"/>
    <x v="2"/>
    <x v="0"/>
    <n v="112966"/>
  </r>
  <r>
    <n v="3509"/>
    <x v="1"/>
    <x v="6"/>
    <x v="10"/>
    <x v="0"/>
    <n v="12516"/>
  </r>
  <r>
    <n v="3510"/>
    <x v="1"/>
    <x v="6"/>
    <x v="0"/>
    <x v="1"/>
    <n v="77143"/>
  </r>
  <r>
    <n v="3511"/>
    <x v="1"/>
    <x v="6"/>
    <x v="2"/>
    <x v="1"/>
    <n v="156042"/>
  </r>
  <r>
    <n v="3512"/>
    <x v="1"/>
    <x v="6"/>
    <x v="10"/>
    <x v="1"/>
    <n v="46997"/>
  </r>
  <r>
    <n v="3519"/>
    <x v="1"/>
    <x v="7"/>
    <x v="2"/>
    <x v="0"/>
    <n v="21062"/>
  </r>
  <r>
    <n v="3520"/>
    <x v="1"/>
    <x v="7"/>
    <x v="2"/>
    <x v="1"/>
    <n v="30671"/>
  </r>
  <r>
    <n v="3521"/>
    <x v="1"/>
    <x v="7"/>
    <x v="0"/>
    <x v="0"/>
    <n v="27018"/>
  </r>
  <r>
    <n v="3522"/>
    <x v="1"/>
    <x v="7"/>
    <x v="0"/>
    <x v="1"/>
    <n v="33928"/>
  </r>
  <r>
    <n v="3523"/>
    <x v="1"/>
    <x v="7"/>
    <x v="10"/>
    <x v="0"/>
    <n v="48167"/>
  </r>
  <r>
    <n v="3524"/>
    <x v="1"/>
    <x v="7"/>
    <x v="10"/>
    <x v="1"/>
    <n v="159763"/>
  </r>
  <r>
    <n v="3525"/>
    <x v="2"/>
    <x v="0"/>
    <x v="0"/>
    <x v="0"/>
    <n v="62630"/>
  </r>
  <r>
    <n v="3526"/>
    <x v="2"/>
    <x v="1"/>
    <x v="10"/>
    <x v="1"/>
    <n v="30826"/>
  </r>
  <r>
    <n v="3527"/>
    <x v="2"/>
    <x v="0"/>
    <x v="3"/>
    <x v="0"/>
    <n v="10333"/>
  </r>
  <r>
    <n v="3528"/>
    <x v="2"/>
    <x v="0"/>
    <x v="0"/>
    <x v="1"/>
    <n v="116788"/>
  </r>
  <r>
    <n v="3529"/>
    <x v="2"/>
    <x v="0"/>
    <x v="3"/>
    <x v="1"/>
    <n v="55284"/>
  </r>
  <r>
    <n v="3530"/>
    <x v="2"/>
    <x v="0"/>
    <x v="1"/>
    <x v="1"/>
    <n v="77336"/>
  </r>
  <r>
    <n v="3531"/>
    <x v="2"/>
    <x v="1"/>
    <x v="0"/>
    <x v="0"/>
    <n v="79307"/>
  </r>
  <r>
    <n v="3532"/>
    <x v="2"/>
    <x v="1"/>
    <x v="0"/>
    <x v="1"/>
    <n v="120686"/>
  </r>
  <r>
    <n v="3533"/>
    <x v="2"/>
    <x v="1"/>
    <x v="3"/>
    <x v="1"/>
    <n v="63624"/>
  </r>
  <r>
    <n v="3534"/>
    <x v="3"/>
    <x v="1"/>
    <x v="3"/>
    <x v="0"/>
    <n v="4495"/>
  </r>
  <r>
    <n v="3535"/>
    <x v="2"/>
    <x v="2"/>
    <x v="0"/>
    <x v="0"/>
    <n v="22903"/>
  </r>
  <r>
    <n v="3536"/>
    <x v="2"/>
    <x v="2"/>
    <x v="3"/>
    <x v="0"/>
    <n v="25539"/>
  </r>
  <r>
    <n v="3537"/>
    <x v="2"/>
    <x v="2"/>
    <x v="3"/>
    <x v="1"/>
    <n v="54345"/>
  </r>
  <r>
    <n v="3538"/>
    <x v="2"/>
    <x v="6"/>
    <x v="15"/>
    <x v="1"/>
    <n v="15670"/>
  </r>
  <r>
    <n v="3539"/>
    <x v="2"/>
    <x v="6"/>
    <x v="16"/>
    <x v="1"/>
    <n v="38289"/>
  </r>
  <r>
    <n v="3540"/>
    <x v="2"/>
    <x v="6"/>
    <x v="17"/>
    <x v="1"/>
    <n v="7635"/>
  </r>
  <r>
    <n v="3541"/>
    <x v="2"/>
    <x v="6"/>
    <x v="4"/>
    <x v="1"/>
    <n v="26243"/>
  </r>
  <r>
    <n v="3542"/>
    <x v="2"/>
    <x v="6"/>
    <x v="18"/>
    <x v="1"/>
    <n v="7320"/>
  </r>
  <r>
    <n v="3543"/>
    <x v="2"/>
    <x v="6"/>
    <x v="19"/>
    <x v="1"/>
    <n v="30196"/>
  </r>
  <r>
    <n v="3544"/>
    <x v="2"/>
    <x v="3"/>
    <x v="3"/>
    <x v="0"/>
    <n v="33330"/>
  </r>
  <r>
    <n v="3545"/>
    <x v="2"/>
    <x v="3"/>
    <x v="3"/>
    <x v="1"/>
    <n v="80261"/>
  </r>
  <r>
    <n v="3546"/>
    <x v="2"/>
    <x v="4"/>
    <x v="3"/>
    <x v="0"/>
    <n v="55378.5"/>
  </r>
  <r>
    <n v="3547"/>
    <x v="2"/>
    <x v="4"/>
    <x v="3"/>
    <x v="1"/>
    <n v="40694.300000000003"/>
  </r>
  <r>
    <n v="3548"/>
    <x v="2"/>
    <x v="5"/>
    <x v="0"/>
    <x v="1"/>
    <n v="3572"/>
  </r>
  <r>
    <n v="3549"/>
    <x v="2"/>
    <x v="6"/>
    <x v="0"/>
    <x v="0"/>
    <n v="57534"/>
  </r>
  <r>
    <n v="3550"/>
    <x v="2"/>
    <x v="6"/>
    <x v="2"/>
    <x v="0"/>
    <n v="122533"/>
  </r>
  <r>
    <n v="3551"/>
    <x v="2"/>
    <x v="6"/>
    <x v="10"/>
    <x v="0"/>
    <n v="3552"/>
  </r>
  <r>
    <n v="3552"/>
    <x v="2"/>
    <x v="6"/>
    <x v="0"/>
    <x v="1"/>
    <n v="70613"/>
  </r>
  <r>
    <n v="3553"/>
    <x v="2"/>
    <x v="6"/>
    <x v="2"/>
    <x v="1"/>
    <n v="143730"/>
  </r>
  <r>
    <n v="3554"/>
    <x v="2"/>
    <x v="6"/>
    <x v="10"/>
    <x v="1"/>
    <n v="11562"/>
  </r>
  <r>
    <n v="3555"/>
    <x v="2"/>
    <x v="7"/>
    <x v="0"/>
    <x v="0"/>
    <n v="6135"/>
  </r>
  <r>
    <n v="3556"/>
    <x v="2"/>
    <x v="7"/>
    <x v="0"/>
    <x v="1"/>
    <n v="7931"/>
  </r>
  <r>
    <n v="3557"/>
    <x v="2"/>
    <x v="7"/>
    <x v="10"/>
    <x v="0"/>
    <n v="86412"/>
  </r>
  <r>
    <n v="3558"/>
    <x v="2"/>
    <x v="7"/>
    <x v="10"/>
    <x v="1"/>
    <n v="206668"/>
  </r>
  <r>
    <n v="3559"/>
    <x v="2"/>
    <x v="2"/>
    <x v="4"/>
    <x v="1"/>
    <n v="11587"/>
  </r>
  <r>
    <n v="3560"/>
    <x v="2"/>
    <x v="2"/>
    <x v="17"/>
    <x v="1"/>
    <n v="15075"/>
  </r>
  <r>
    <n v="3561"/>
    <x v="2"/>
    <x v="2"/>
    <x v="16"/>
    <x v="1"/>
    <n v="31130"/>
  </r>
  <r>
    <n v="3562"/>
    <x v="2"/>
    <x v="2"/>
    <x v="14"/>
    <x v="1"/>
    <n v="19496"/>
  </r>
  <r>
    <n v="3563"/>
    <x v="2"/>
    <x v="2"/>
    <x v="20"/>
    <x v="1"/>
    <n v="8013"/>
  </r>
  <r>
    <n v="3564"/>
    <x v="2"/>
    <x v="2"/>
    <x v="21"/>
    <x v="1"/>
    <n v="7338"/>
  </r>
  <r>
    <n v="3565"/>
    <x v="2"/>
    <x v="2"/>
    <x v="22"/>
    <x v="1"/>
    <n v="11290"/>
  </r>
  <r>
    <n v="3566"/>
    <x v="3"/>
    <x v="0"/>
    <x v="0"/>
    <x v="0"/>
    <n v="104950"/>
  </r>
  <r>
    <n v="3567"/>
    <x v="3"/>
    <x v="1"/>
    <x v="10"/>
    <x v="1"/>
    <n v="51194"/>
  </r>
  <r>
    <n v="3568"/>
    <x v="3"/>
    <x v="0"/>
    <x v="3"/>
    <x v="0"/>
    <n v="0"/>
  </r>
  <r>
    <n v="3569"/>
    <x v="3"/>
    <x v="0"/>
    <x v="0"/>
    <x v="1"/>
    <n v="165905"/>
  </r>
  <r>
    <n v="3570"/>
    <x v="3"/>
    <x v="0"/>
    <x v="3"/>
    <x v="1"/>
    <n v="3626"/>
  </r>
  <r>
    <n v="3571"/>
    <x v="3"/>
    <x v="0"/>
    <x v="1"/>
    <x v="1"/>
    <n v="105977"/>
  </r>
  <r>
    <n v="3572"/>
    <x v="3"/>
    <x v="1"/>
    <x v="0"/>
    <x v="0"/>
    <n v="90752"/>
  </r>
  <r>
    <n v="3573"/>
    <x v="3"/>
    <x v="1"/>
    <x v="0"/>
    <x v="1"/>
    <n v="131035"/>
  </r>
  <r>
    <n v="3574"/>
    <x v="3"/>
    <x v="1"/>
    <x v="3"/>
    <x v="1"/>
    <n v="29377"/>
  </r>
  <r>
    <n v="3575"/>
    <x v="3"/>
    <x v="1"/>
    <x v="2"/>
    <x v="1"/>
    <n v="15913"/>
  </r>
  <r>
    <n v="3576"/>
    <x v="3"/>
    <x v="2"/>
    <x v="0"/>
    <x v="0"/>
    <n v="3785"/>
  </r>
  <r>
    <n v="3577"/>
    <x v="3"/>
    <x v="2"/>
    <x v="3"/>
    <x v="1"/>
    <n v="21729"/>
  </r>
  <r>
    <n v="3578"/>
    <x v="3"/>
    <x v="3"/>
    <x v="3"/>
    <x v="0"/>
    <n v="56042"/>
  </r>
  <r>
    <n v="3579"/>
    <x v="3"/>
    <x v="2"/>
    <x v="3"/>
    <x v="0"/>
    <n v="46761"/>
  </r>
  <r>
    <n v="3580"/>
    <x v="3"/>
    <x v="2"/>
    <x v="23"/>
    <x v="1"/>
    <n v="11902"/>
  </r>
  <r>
    <n v="3581"/>
    <x v="3"/>
    <x v="2"/>
    <x v="17"/>
    <x v="1"/>
    <n v="7920"/>
  </r>
  <r>
    <n v="3582"/>
    <x v="3"/>
    <x v="2"/>
    <x v="14"/>
    <x v="1"/>
    <n v="19143"/>
  </r>
  <r>
    <n v="3583"/>
    <x v="3"/>
    <x v="2"/>
    <x v="20"/>
    <x v="1"/>
    <n v="35338"/>
  </r>
  <r>
    <n v="3585"/>
    <x v="3"/>
    <x v="6"/>
    <x v="0"/>
    <x v="1"/>
    <n v="47951"/>
  </r>
  <r>
    <n v="3586"/>
    <x v="3"/>
    <x v="3"/>
    <x v="3"/>
    <x v="1"/>
    <n v="90871"/>
  </r>
  <r>
    <n v="3587"/>
    <x v="3"/>
    <x v="4"/>
    <x v="3"/>
    <x v="0"/>
    <n v="137310.6"/>
  </r>
  <r>
    <n v="3588"/>
    <x v="3"/>
    <x v="4"/>
    <x v="3"/>
    <x v="1"/>
    <n v="207253.9"/>
  </r>
  <r>
    <n v="3590"/>
    <x v="3"/>
    <x v="6"/>
    <x v="0"/>
    <x v="0"/>
    <n v="42939"/>
  </r>
  <r>
    <n v="3591"/>
    <x v="3"/>
    <x v="6"/>
    <x v="2"/>
    <x v="0"/>
    <n v="148430"/>
  </r>
  <r>
    <n v="3592"/>
    <x v="3"/>
    <x v="6"/>
    <x v="10"/>
    <x v="0"/>
    <n v="34166"/>
  </r>
  <r>
    <n v="3593"/>
    <x v="3"/>
    <x v="6"/>
    <x v="3"/>
    <x v="0"/>
    <n v="6777"/>
  </r>
  <r>
    <n v="3594"/>
    <x v="3"/>
    <x v="6"/>
    <x v="2"/>
    <x v="1"/>
    <n v="168284"/>
  </r>
  <r>
    <n v="3595"/>
    <x v="3"/>
    <x v="6"/>
    <x v="10"/>
    <x v="1"/>
    <n v="46106"/>
  </r>
  <r>
    <n v="3596"/>
    <x v="3"/>
    <x v="7"/>
    <x v="0"/>
    <x v="0"/>
    <n v="4523"/>
  </r>
  <r>
    <n v="3597"/>
    <x v="3"/>
    <x v="7"/>
    <x v="0"/>
    <x v="1"/>
    <n v="6500"/>
  </r>
  <r>
    <n v="3598"/>
    <x v="3"/>
    <x v="7"/>
    <x v="10"/>
    <x v="0"/>
    <n v="75896"/>
  </r>
  <r>
    <n v="3599"/>
    <x v="3"/>
    <x v="7"/>
    <x v="10"/>
    <x v="1"/>
    <n v="225389"/>
  </r>
  <r>
    <n v="3600"/>
    <x v="3"/>
    <x v="6"/>
    <x v="4"/>
    <x v="1"/>
    <n v="22714"/>
  </r>
  <r>
    <n v="3601"/>
    <x v="3"/>
    <x v="6"/>
    <x v="15"/>
    <x v="1"/>
    <n v="23462"/>
  </r>
  <r>
    <n v="3602"/>
    <x v="3"/>
    <x v="6"/>
    <x v="16"/>
    <x v="1"/>
    <n v="30867"/>
  </r>
  <r>
    <n v="3604"/>
    <x v="3"/>
    <x v="6"/>
    <x v="20"/>
    <x v="1"/>
    <n v="44798"/>
  </r>
  <r>
    <n v="3606"/>
    <x v="3"/>
    <x v="6"/>
    <x v="18"/>
    <x v="1"/>
    <n v="26548"/>
  </r>
  <r>
    <n v="3607"/>
    <x v="2"/>
    <x v="1"/>
    <x v="3"/>
    <x v="0"/>
    <n v="7803"/>
  </r>
  <r>
    <n v="3815"/>
    <x v="4"/>
    <x v="0"/>
    <x v="0"/>
    <x v="0"/>
    <n v="58442"/>
  </r>
  <r>
    <n v="3816"/>
    <x v="4"/>
    <x v="0"/>
    <x v="0"/>
    <x v="1"/>
    <n v="134743"/>
  </r>
  <r>
    <n v="3817"/>
    <x v="4"/>
    <x v="0"/>
    <x v="3"/>
    <x v="0"/>
    <n v="39212"/>
  </r>
  <r>
    <n v="3818"/>
    <x v="4"/>
    <x v="0"/>
    <x v="3"/>
    <x v="1"/>
    <n v="29887"/>
  </r>
  <r>
    <n v="3819"/>
    <x v="4"/>
    <x v="0"/>
    <x v="1"/>
    <x v="1"/>
    <n v="90346"/>
  </r>
  <r>
    <n v="3820"/>
    <x v="4"/>
    <x v="1"/>
    <x v="0"/>
    <x v="0"/>
    <n v="60436"/>
  </r>
  <r>
    <n v="3821"/>
    <x v="4"/>
    <x v="1"/>
    <x v="0"/>
    <x v="1"/>
    <n v="89032"/>
  </r>
  <r>
    <n v="3822"/>
    <x v="4"/>
    <x v="1"/>
    <x v="3"/>
    <x v="0"/>
    <n v="32467"/>
  </r>
  <r>
    <n v="3823"/>
    <x v="4"/>
    <x v="1"/>
    <x v="3"/>
    <x v="1"/>
    <n v="21417"/>
  </r>
  <r>
    <n v="3824"/>
    <x v="4"/>
    <x v="1"/>
    <x v="2"/>
    <x v="1"/>
    <n v="35929"/>
  </r>
  <r>
    <n v="3825"/>
    <x v="4"/>
    <x v="1"/>
    <x v="10"/>
    <x v="1"/>
    <n v="81116"/>
  </r>
  <r>
    <n v="3826"/>
    <x v="4"/>
    <x v="6"/>
    <x v="0"/>
    <x v="0"/>
    <n v="106272"/>
  </r>
  <r>
    <n v="3827"/>
    <x v="4"/>
    <x v="6"/>
    <x v="2"/>
    <x v="0"/>
    <n v="158547"/>
  </r>
  <r>
    <n v="3828"/>
    <x v="4"/>
    <x v="6"/>
    <x v="10"/>
    <x v="0"/>
    <n v="37824"/>
  </r>
  <r>
    <n v="3829"/>
    <x v="4"/>
    <x v="6"/>
    <x v="0"/>
    <x v="1"/>
    <n v="83934"/>
  </r>
  <r>
    <n v="3830"/>
    <x v="4"/>
    <x v="6"/>
    <x v="2"/>
    <x v="1"/>
    <n v="157836"/>
  </r>
  <r>
    <n v="3831"/>
    <x v="4"/>
    <x v="6"/>
    <x v="10"/>
    <x v="1"/>
    <n v="21934"/>
  </r>
  <r>
    <n v="3832"/>
    <x v="4"/>
    <x v="2"/>
    <x v="0"/>
    <x v="0"/>
    <n v="3493"/>
  </r>
  <r>
    <n v="3833"/>
    <x v="4"/>
    <x v="2"/>
    <x v="3"/>
    <x v="0"/>
    <n v="42735"/>
  </r>
  <r>
    <n v="3834"/>
    <x v="4"/>
    <x v="2"/>
    <x v="0"/>
    <x v="1"/>
    <n v="15909"/>
  </r>
  <r>
    <n v="3835"/>
    <x v="4"/>
    <x v="2"/>
    <x v="3"/>
    <x v="1"/>
    <n v="101302"/>
  </r>
  <r>
    <n v="3836"/>
    <x v="4"/>
    <x v="2"/>
    <x v="1"/>
    <x v="1"/>
    <n v="7758"/>
  </r>
  <r>
    <n v="3837"/>
    <x v="4"/>
    <x v="3"/>
    <x v="3"/>
    <x v="0"/>
    <n v="29374"/>
  </r>
  <r>
    <n v="3838"/>
    <x v="4"/>
    <x v="3"/>
    <x v="3"/>
    <x v="1"/>
    <n v="103429"/>
  </r>
  <r>
    <n v="3839"/>
    <x v="4"/>
    <x v="4"/>
    <x v="3"/>
    <x v="0"/>
    <n v="95691.4"/>
  </r>
  <r>
    <n v="3840"/>
    <x v="4"/>
    <x v="4"/>
    <x v="3"/>
    <x v="1"/>
    <n v="181008.9"/>
  </r>
  <r>
    <n v="3841"/>
    <x v="4"/>
    <x v="7"/>
    <x v="0"/>
    <x v="0"/>
    <n v="19207"/>
  </r>
  <r>
    <n v="3842"/>
    <x v="4"/>
    <x v="7"/>
    <x v="0"/>
    <x v="1"/>
    <n v="16766"/>
  </r>
  <r>
    <n v="3843"/>
    <x v="4"/>
    <x v="7"/>
    <x v="2"/>
    <x v="0"/>
    <n v="1766"/>
  </r>
  <r>
    <n v="3844"/>
    <x v="4"/>
    <x v="7"/>
    <x v="2"/>
    <x v="1"/>
    <n v="2446"/>
  </r>
  <r>
    <n v="3845"/>
    <x v="4"/>
    <x v="7"/>
    <x v="10"/>
    <x v="0"/>
    <n v="73792"/>
  </r>
  <r>
    <n v="3846"/>
    <x v="4"/>
    <x v="7"/>
    <x v="10"/>
    <x v="1"/>
    <n v="220622"/>
  </r>
  <r>
    <n v="3847"/>
    <x v="4"/>
    <x v="2"/>
    <x v="23"/>
    <x v="1"/>
    <n v="4044"/>
  </r>
  <r>
    <n v="3848"/>
    <x v="4"/>
    <x v="2"/>
    <x v="17"/>
    <x v="1"/>
    <n v="12581"/>
  </r>
  <r>
    <n v="3849"/>
    <x v="4"/>
    <x v="2"/>
    <x v="5"/>
    <x v="1"/>
    <n v="7398"/>
  </r>
  <r>
    <n v="3850"/>
    <x v="4"/>
    <x v="2"/>
    <x v="14"/>
    <x v="1"/>
    <n v="15831"/>
  </r>
  <r>
    <n v="3852"/>
    <x v="4"/>
    <x v="6"/>
    <x v="17"/>
    <x v="1"/>
    <n v="7360"/>
  </r>
  <r>
    <n v="3853"/>
    <x v="4"/>
    <x v="6"/>
    <x v="4"/>
    <x v="1"/>
    <n v="3647"/>
  </r>
  <r>
    <n v="3854"/>
    <x v="4"/>
    <x v="6"/>
    <x v="20"/>
    <x v="1"/>
    <n v="16309"/>
  </r>
  <r>
    <n v="3855"/>
    <x v="4"/>
    <x v="6"/>
    <x v="24"/>
    <x v="1"/>
    <n v="7301"/>
  </r>
  <r>
    <n v="3859"/>
    <x v="4"/>
    <x v="8"/>
    <x v="0"/>
    <x v="2"/>
    <n v="52082"/>
  </r>
  <r>
    <n v="3860"/>
    <x v="4"/>
    <x v="8"/>
    <x v="1"/>
    <x v="2"/>
    <n v="28527"/>
  </r>
  <r>
    <n v="3861"/>
    <x v="3"/>
    <x v="8"/>
    <x v="0"/>
    <x v="2"/>
    <n v="52774"/>
  </r>
  <r>
    <n v="3862"/>
    <x v="3"/>
    <x v="8"/>
    <x v="1"/>
    <x v="2"/>
    <n v="40130"/>
  </r>
  <r>
    <n v="3863"/>
    <x v="3"/>
    <x v="8"/>
    <x v="3"/>
    <x v="2"/>
    <n v="12219"/>
  </r>
  <r>
    <n v="3864"/>
    <x v="2"/>
    <x v="8"/>
    <x v="0"/>
    <x v="2"/>
    <n v="32456"/>
  </r>
  <r>
    <n v="3865"/>
    <x v="2"/>
    <x v="8"/>
    <x v="2"/>
    <x v="2"/>
    <n v="4079"/>
  </r>
  <r>
    <n v="3866"/>
    <x v="2"/>
    <x v="8"/>
    <x v="3"/>
    <x v="2"/>
    <n v="8223"/>
  </r>
  <r>
    <n v="3867"/>
    <x v="2"/>
    <x v="8"/>
    <x v="1"/>
    <x v="2"/>
    <n v="8097"/>
  </r>
  <r>
    <n v="3868"/>
    <x v="1"/>
    <x v="8"/>
    <x v="0"/>
    <x v="2"/>
    <n v="36357"/>
  </r>
  <r>
    <n v="3869"/>
    <x v="1"/>
    <x v="8"/>
    <x v="3"/>
    <x v="2"/>
    <n v="16417"/>
  </r>
  <r>
    <n v="3870"/>
    <x v="1"/>
    <x v="8"/>
    <x v="1"/>
    <x v="2"/>
    <n v="12238"/>
  </r>
  <r>
    <n v="3871"/>
    <x v="0"/>
    <x v="8"/>
    <x v="0"/>
    <x v="2"/>
    <n v="44383"/>
  </r>
  <r>
    <n v="3872"/>
    <x v="0"/>
    <x v="8"/>
    <x v="2"/>
    <x v="2"/>
    <n v="4069"/>
  </r>
  <r>
    <n v="3873"/>
    <x v="0"/>
    <x v="8"/>
    <x v="3"/>
    <x v="2"/>
    <n v="16108"/>
  </r>
  <r>
    <n v="3874"/>
    <x v="0"/>
    <x v="8"/>
    <x v="1"/>
    <x v="2"/>
    <n v="20272"/>
  </r>
  <r>
    <n v="3913"/>
    <x v="2"/>
    <x v="9"/>
    <x v="0"/>
    <x v="0"/>
    <n v="7642"/>
  </r>
  <r>
    <n v="3914"/>
    <x v="2"/>
    <x v="9"/>
    <x v="3"/>
    <x v="0"/>
    <n v="6512"/>
  </r>
  <r>
    <n v="4074"/>
    <x v="5"/>
    <x v="0"/>
    <x v="0"/>
    <x v="0"/>
    <n v="58533"/>
  </r>
  <r>
    <n v="4075"/>
    <x v="5"/>
    <x v="0"/>
    <x v="3"/>
    <x v="0"/>
    <n v="37393"/>
  </r>
  <r>
    <n v="4076"/>
    <x v="5"/>
    <x v="0"/>
    <x v="0"/>
    <x v="1"/>
    <n v="101502"/>
  </r>
  <r>
    <n v="4077"/>
    <x v="5"/>
    <x v="0"/>
    <x v="3"/>
    <x v="1"/>
    <n v="33473"/>
  </r>
  <r>
    <n v="4078"/>
    <x v="5"/>
    <x v="0"/>
    <x v="1"/>
    <x v="1"/>
    <n v="98047"/>
  </r>
  <r>
    <n v="4079"/>
    <x v="5"/>
    <x v="1"/>
    <x v="0"/>
    <x v="0"/>
    <n v="92819"/>
  </r>
  <r>
    <n v="4080"/>
    <x v="5"/>
    <x v="1"/>
    <x v="3"/>
    <x v="0"/>
    <n v="23581"/>
  </r>
  <r>
    <n v="4081"/>
    <x v="5"/>
    <x v="1"/>
    <x v="0"/>
    <x v="1"/>
    <n v="109011"/>
  </r>
  <r>
    <n v="4082"/>
    <x v="5"/>
    <x v="1"/>
    <x v="10"/>
    <x v="1"/>
    <n v="88892"/>
  </r>
  <r>
    <n v="4083"/>
    <x v="5"/>
    <x v="6"/>
    <x v="0"/>
    <x v="0"/>
    <n v="68201"/>
  </r>
  <r>
    <n v="4084"/>
    <x v="5"/>
    <x v="6"/>
    <x v="2"/>
    <x v="0"/>
    <n v="114139"/>
  </r>
  <r>
    <n v="4085"/>
    <x v="5"/>
    <x v="6"/>
    <x v="10"/>
    <x v="0"/>
    <n v="21850"/>
  </r>
  <r>
    <n v="4086"/>
    <x v="5"/>
    <x v="6"/>
    <x v="0"/>
    <x v="1"/>
    <n v="59308"/>
  </r>
  <r>
    <n v="4087"/>
    <x v="5"/>
    <x v="6"/>
    <x v="2"/>
    <x v="1"/>
    <n v="150748"/>
  </r>
  <r>
    <n v="4088"/>
    <x v="5"/>
    <x v="6"/>
    <x v="10"/>
    <x v="1"/>
    <n v="25802"/>
  </r>
  <r>
    <n v="4089"/>
    <x v="5"/>
    <x v="6"/>
    <x v="24"/>
    <x v="1"/>
    <n v="15250"/>
  </r>
  <r>
    <n v="4090"/>
    <x v="5"/>
    <x v="2"/>
    <x v="3"/>
    <x v="0"/>
    <n v="49598"/>
  </r>
  <r>
    <n v="4091"/>
    <x v="5"/>
    <x v="2"/>
    <x v="0"/>
    <x v="1"/>
    <n v="34624"/>
  </r>
  <r>
    <n v="4092"/>
    <x v="5"/>
    <x v="2"/>
    <x v="3"/>
    <x v="1"/>
    <n v="85600"/>
  </r>
  <r>
    <n v="4093"/>
    <x v="5"/>
    <x v="2"/>
    <x v="17"/>
    <x v="1"/>
    <n v="3699"/>
  </r>
  <r>
    <n v="4094"/>
    <x v="5"/>
    <x v="3"/>
    <x v="3"/>
    <x v="0"/>
    <n v="27310"/>
  </r>
  <r>
    <n v="4095"/>
    <x v="5"/>
    <x v="3"/>
    <x v="3"/>
    <x v="1"/>
    <n v="95655"/>
  </r>
  <r>
    <n v="4096"/>
    <x v="5"/>
    <x v="4"/>
    <x v="3"/>
    <x v="0"/>
    <n v="94563"/>
  </r>
  <r>
    <n v="4097"/>
    <x v="5"/>
    <x v="4"/>
    <x v="3"/>
    <x v="1"/>
    <n v="173397.2"/>
  </r>
  <r>
    <n v="4098"/>
    <x v="5"/>
    <x v="7"/>
    <x v="2"/>
    <x v="0"/>
    <n v="5070"/>
  </r>
  <r>
    <n v="4099"/>
    <x v="5"/>
    <x v="7"/>
    <x v="2"/>
    <x v="1"/>
    <n v="6493"/>
  </r>
  <r>
    <n v="4100"/>
    <x v="5"/>
    <x v="7"/>
    <x v="10"/>
    <x v="0"/>
    <n v="74018"/>
  </r>
  <r>
    <n v="4101"/>
    <x v="5"/>
    <x v="7"/>
    <x v="10"/>
    <x v="1"/>
    <n v="190347"/>
  </r>
  <r>
    <n v="4102"/>
    <x v="5"/>
    <x v="1"/>
    <x v="2"/>
    <x v="1"/>
    <n v="18739"/>
  </r>
  <r>
    <n v="4103"/>
    <x v="5"/>
    <x v="1"/>
    <x v="2"/>
    <x v="0"/>
    <n v="2771"/>
  </r>
  <r>
    <n v="4104"/>
    <x v="5"/>
    <x v="6"/>
    <x v="5"/>
    <x v="1"/>
    <n v="3793"/>
  </r>
  <r>
    <n v="4105"/>
    <x v="5"/>
    <x v="6"/>
    <x v="20"/>
    <x v="1"/>
    <n v="17596"/>
  </r>
  <r>
    <n v="4106"/>
    <x v="5"/>
    <x v="6"/>
    <x v="25"/>
    <x v="1"/>
    <n v="7573"/>
  </r>
  <r>
    <n v="4108"/>
    <x v="5"/>
    <x v="2"/>
    <x v="14"/>
    <x v="1"/>
    <n v="18306"/>
  </r>
  <r>
    <n v="4109"/>
    <x v="5"/>
    <x v="8"/>
    <x v="0"/>
    <x v="2"/>
    <n v="52284"/>
  </r>
  <r>
    <n v="4110"/>
    <x v="5"/>
    <x v="8"/>
    <x v="3"/>
    <x v="2"/>
    <n v="8153"/>
  </r>
  <r>
    <n v="4111"/>
    <x v="5"/>
    <x v="8"/>
    <x v="1"/>
    <x v="2"/>
    <n v="36293"/>
  </r>
  <r>
    <n v="4112"/>
    <x v="5"/>
    <x v="8"/>
    <x v="2"/>
    <x v="2"/>
    <n v="4152"/>
  </r>
  <r>
    <n v="201462"/>
    <x v="6"/>
    <x v="0"/>
    <x v="0"/>
    <x v="0"/>
    <n v="50327.3"/>
  </r>
  <r>
    <n v="201463"/>
    <x v="6"/>
    <x v="0"/>
    <x v="3"/>
    <x v="0"/>
    <n v="54309.8"/>
  </r>
  <r>
    <n v="201464"/>
    <x v="6"/>
    <x v="0"/>
    <x v="0"/>
    <x v="1"/>
    <n v="104439.2"/>
  </r>
  <r>
    <n v="201465"/>
    <x v="6"/>
    <x v="0"/>
    <x v="3"/>
    <x v="1"/>
    <n v="36606.699999999997"/>
  </r>
  <r>
    <n v="201466"/>
    <x v="6"/>
    <x v="0"/>
    <x v="1"/>
    <x v="1"/>
    <n v="97555.5"/>
  </r>
  <r>
    <n v="201467"/>
    <x v="6"/>
    <x v="1"/>
    <x v="0"/>
    <x v="0"/>
    <n v="85242.4"/>
  </r>
  <r>
    <n v="201468"/>
    <x v="6"/>
    <x v="1"/>
    <x v="3"/>
    <x v="0"/>
    <n v="13051.2"/>
  </r>
  <r>
    <n v="201469"/>
    <x v="6"/>
    <x v="1"/>
    <x v="0"/>
    <x v="1"/>
    <n v="153656"/>
  </r>
  <r>
    <n v="201470"/>
    <x v="6"/>
    <x v="1"/>
    <x v="3"/>
    <x v="1"/>
    <n v="7405.2"/>
  </r>
  <r>
    <n v="201471"/>
    <x v="6"/>
    <x v="1"/>
    <x v="2"/>
    <x v="1"/>
    <n v="20855.400000000001"/>
  </r>
  <r>
    <n v="201472"/>
    <x v="6"/>
    <x v="1"/>
    <x v="1"/>
    <x v="1"/>
    <n v="3506.9"/>
  </r>
  <r>
    <n v="201473"/>
    <x v="6"/>
    <x v="6"/>
    <x v="0"/>
    <x v="0"/>
    <n v="85397.69"/>
  </r>
  <r>
    <n v="201474"/>
    <x v="6"/>
    <x v="6"/>
    <x v="2"/>
    <x v="0"/>
    <n v="117834.09"/>
  </r>
  <r>
    <n v="201475"/>
    <x v="6"/>
    <x v="6"/>
    <x v="10"/>
    <x v="0"/>
    <n v="23555.03"/>
  </r>
  <r>
    <n v="201476"/>
    <x v="6"/>
    <x v="6"/>
    <x v="0"/>
    <x v="1"/>
    <n v="105419.18"/>
  </r>
  <r>
    <n v="201477"/>
    <x v="6"/>
    <x v="6"/>
    <x v="2"/>
    <x v="1"/>
    <n v="189212.65"/>
  </r>
  <r>
    <n v="201478"/>
    <x v="6"/>
    <x v="6"/>
    <x v="10"/>
    <x v="1"/>
    <n v="25017.21"/>
  </r>
  <r>
    <n v="201479"/>
    <x v="6"/>
    <x v="6"/>
    <x v="26"/>
    <x v="1"/>
    <n v="29827.8"/>
  </r>
  <r>
    <n v="201480"/>
    <x v="6"/>
    <x v="2"/>
    <x v="3"/>
    <x v="0"/>
    <n v="44550.53"/>
  </r>
  <r>
    <n v="201481"/>
    <x v="6"/>
    <x v="2"/>
    <x v="0"/>
    <x v="1"/>
    <n v="27269.38"/>
  </r>
  <r>
    <n v="201482"/>
    <x v="6"/>
    <x v="2"/>
    <x v="2"/>
    <x v="1"/>
    <n v="19790.43"/>
  </r>
  <r>
    <n v="201483"/>
    <x v="6"/>
    <x v="2"/>
    <x v="3"/>
    <x v="1"/>
    <n v="82365.710000000006"/>
  </r>
  <r>
    <n v="201484"/>
    <x v="6"/>
    <x v="2"/>
    <x v="10"/>
    <x v="1"/>
    <n v="23968.880000000001"/>
  </r>
  <r>
    <n v="201485"/>
    <x v="6"/>
    <x v="2"/>
    <x v="1"/>
    <x v="1"/>
    <n v="19604.96"/>
  </r>
  <r>
    <n v="201486"/>
    <x v="6"/>
    <x v="2"/>
    <x v="14"/>
    <x v="1"/>
    <n v="7708.3"/>
  </r>
  <r>
    <n v="201487"/>
    <x v="6"/>
    <x v="3"/>
    <x v="3"/>
    <x v="0"/>
    <n v="15062.8"/>
  </r>
  <r>
    <n v="201488"/>
    <x v="6"/>
    <x v="3"/>
    <x v="3"/>
    <x v="1"/>
    <n v="121213.8"/>
  </r>
  <r>
    <n v="201489"/>
    <x v="6"/>
    <x v="4"/>
    <x v="3"/>
    <x v="0"/>
    <n v="99961.5"/>
  </r>
  <r>
    <n v="201490"/>
    <x v="6"/>
    <x v="4"/>
    <x v="3"/>
    <x v="1"/>
    <n v="209031.1"/>
  </r>
  <r>
    <n v="201491"/>
    <x v="6"/>
    <x v="7"/>
    <x v="0"/>
    <x v="0"/>
    <n v="11069.8"/>
  </r>
  <r>
    <n v="201492"/>
    <x v="6"/>
    <x v="7"/>
    <x v="2"/>
    <x v="0"/>
    <n v="1561.2"/>
  </r>
  <r>
    <n v="201493"/>
    <x v="6"/>
    <x v="7"/>
    <x v="10"/>
    <x v="0"/>
    <n v="83966.97"/>
  </r>
  <r>
    <n v="201494"/>
    <x v="6"/>
    <x v="7"/>
    <x v="0"/>
    <x v="1"/>
    <n v="14685.8"/>
  </r>
  <r>
    <n v="201495"/>
    <x v="6"/>
    <x v="7"/>
    <x v="2"/>
    <x v="1"/>
    <n v="1945"/>
  </r>
  <r>
    <n v="201496"/>
    <x v="6"/>
    <x v="7"/>
    <x v="10"/>
    <x v="1"/>
    <n v="191668.93"/>
  </r>
  <r>
    <n v="201497"/>
    <x v="6"/>
    <x v="5"/>
    <x v="0"/>
    <x v="0"/>
    <n v="3404.2"/>
  </r>
  <r>
    <n v="201499"/>
    <x v="6"/>
    <x v="8"/>
    <x v="3"/>
    <x v="2"/>
    <n v="12195.7"/>
  </r>
  <r>
    <n v="201500"/>
    <x v="6"/>
    <x v="8"/>
    <x v="1"/>
    <x v="2"/>
    <n v="32285.599999999999"/>
  </r>
  <r>
    <n v="201501"/>
    <x v="6"/>
    <x v="8"/>
    <x v="0"/>
    <x v="2"/>
    <n v="40258.199999999997"/>
  </r>
  <r>
    <n v="201502"/>
    <x v="6"/>
    <x v="1"/>
    <x v="10"/>
    <x v="1"/>
    <n v="31653.8"/>
  </r>
  <r>
    <n v="201608"/>
    <x v="7"/>
    <x v="6"/>
    <x v="27"/>
    <x v="1"/>
    <n v="4035.7"/>
  </r>
  <r>
    <n v="201607"/>
    <x v="7"/>
    <x v="6"/>
    <x v="22"/>
    <x v="1"/>
    <n v="3796.7"/>
  </r>
  <r>
    <n v="201606"/>
    <x v="7"/>
    <x v="6"/>
    <x v="28"/>
    <x v="1"/>
    <n v="7895"/>
  </r>
  <r>
    <n v="201605"/>
    <x v="7"/>
    <x v="6"/>
    <x v="17"/>
    <x v="1"/>
    <n v="35101.599999999999"/>
  </r>
  <r>
    <n v="201604"/>
    <x v="7"/>
    <x v="6"/>
    <x v="20"/>
    <x v="1"/>
    <n v="4627.8"/>
  </r>
  <r>
    <n v="201603"/>
    <x v="7"/>
    <x v="6"/>
    <x v="29"/>
    <x v="1"/>
    <n v="14591.3"/>
  </r>
  <r>
    <n v="201602"/>
    <x v="7"/>
    <x v="6"/>
    <x v="26"/>
    <x v="1"/>
    <n v="3818.4"/>
  </r>
  <r>
    <n v="201601"/>
    <x v="7"/>
    <x v="6"/>
    <x v="30"/>
    <x v="1"/>
    <n v="7793.8"/>
  </r>
  <r>
    <n v="201600"/>
    <x v="7"/>
    <x v="2"/>
    <x v="20"/>
    <x v="1"/>
    <n v="4000.6"/>
  </r>
  <r>
    <n v="201556"/>
    <x v="6"/>
    <x v="10"/>
    <x v="3"/>
    <x v="0"/>
    <n v="20000"/>
  </r>
  <r>
    <n v="201599"/>
    <x v="7"/>
    <x v="8"/>
    <x v="0"/>
    <x v="2"/>
    <n v="56865.7"/>
  </r>
  <r>
    <n v="201598"/>
    <x v="7"/>
    <x v="8"/>
    <x v="1"/>
    <x v="2"/>
    <n v="28486.400000000001"/>
  </r>
  <r>
    <n v="201597"/>
    <x v="7"/>
    <x v="8"/>
    <x v="3"/>
    <x v="2"/>
    <n v="8144.1"/>
  </r>
  <r>
    <n v="201596"/>
    <x v="7"/>
    <x v="7"/>
    <x v="10"/>
    <x v="1"/>
    <n v="183540.67"/>
  </r>
  <r>
    <n v="201595"/>
    <x v="7"/>
    <x v="7"/>
    <x v="2"/>
    <x v="1"/>
    <n v="6883.6"/>
  </r>
  <r>
    <n v="201594"/>
    <x v="7"/>
    <x v="7"/>
    <x v="0"/>
    <x v="1"/>
    <n v="21107"/>
  </r>
  <r>
    <n v="201593"/>
    <x v="7"/>
    <x v="7"/>
    <x v="10"/>
    <x v="0"/>
    <n v="93246.43"/>
  </r>
  <r>
    <n v="201592"/>
    <x v="7"/>
    <x v="7"/>
    <x v="2"/>
    <x v="0"/>
    <n v="4508"/>
  </r>
  <r>
    <n v="201591"/>
    <x v="7"/>
    <x v="4"/>
    <x v="3"/>
    <x v="0"/>
    <n v="114924.1"/>
  </r>
  <r>
    <n v="201590"/>
    <x v="7"/>
    <x v="4"/>
    <x v="3"/>
    <x v="1"/>
    <n v="195558.2"/>
  </r>
  <r>
    <n v="201589"/>
    <x v="7"/>
    <x v="3"/>
    <x v="3"/>
    <x v="1"/>
    <n v="81590.399999999994"/>
  </r>
  <r>
    <n v="201588"/>
    <x v="7"/>
    <x v="3"/>
    <x v="3"/>
    <x v="0"/>
    <n v="37197.300000000003"/>
  </r>
  <r>
    <n v="201587"/>
    <x v="7"/>
    <x v="2"/>
    <x v="11"/>
    <x v="1"/>
    <n v="19150.8"/>
  </r>
  <r>
    <n v="201586"/>
    <x v="7"/>
    <x v="2"/>
    <x v="5"/>
    <x v="1"/>
    <n v="31534.7"/>
  </r>
  <r>
    <n v="201585"/>
    <x v="7"/>
    <x v="2"/>
    <x v="1"/>
    <x v="1"/>
    <n v="15191.9"/>
  </r>
  <r>
    <n v="201584"/>
    <x v="7"/>
    <x v="2"/>
    <x v="10"/>
    <x v="1"/>
    <n v="3514.8"/>
  </r>
  <r>
    <n v="201583"/>
    <x v="7"/>
    <x v="2"/>
    <x v="3"/>
    <x v="1"/>
    <n v="92557.9"/>
  </r>
  <r>
    <n v="201582"/>
    <x v="7"/>
    <x v="2"/>
    <x v="2"/>
    <x v="1"/>
    <n v="7675.2"/>
  </r>
  <r>
    <n v="201581"/>
    <x v="7"/>
    <x v="2"/>
    <x v="0"/>
    <x v="1"/>
    <n v="7819.9"/>
  </r>
  <r>
    <n v="201580"/>
    <x v="7"/>
    <x v="2"/>
    <x v="3"/>
    <x v="0"/>
    <n v="47276"/>
  </r>
  <r>
    <n v="201579"/>
    <x v="7"/>
    <x v="6"/>
    <x v="5"/>
    <x v="1"/>
    <n v="19549"/>
  </r>
  <r>
    <n v="201578"/>
    <x v="7"/>
    <x v="6"/>
    <x v="10"/>
    <x v="1"/>
    <n v="49254.8"/>
  </r>
  <r>
    <n v="201577"/>
    <x v="7"/>
    <x v="6"/>
    <x v="2"/>
    <x v="1"/>
    <n v="161700.70000000001"/>
  </r>
  <r>
    <n v="201576"/>
    <x v="7"/>
    <x v="6"/>
    <x v="0"/>
    <x v="1"/>
    <n v="90341.8"/>
  </r>
  <r>
    <n v="201575"/>
    <x v="7"/>
    <x v="6"/>
    <x v="10"/>
    <x v="0"/>
    <n v="47623.39"/>
  </r>
  <r>
    <n v="201574"/>
    <x v="7"/>
    <x v="6"/>
    <x v="2"/>
    <x v="0"/>
    <n v="124635.44"/>
  </r>
  <r>
    <n v="201573"/>
    <x v="7"/>
    <x v="6"/>
    <x v="0"/>
    <x v="0"/>
    <n v="30111.59"/>
  </r>
  <r>
    <n v="201572"/>
    <x v="7"/>
    <x v="1"/>
    <x v="1"/>
    <x v="1"/>
    <n v="7190.9"/>
  </r>
  <r>
    <n v="201571"/>
    <x v="7"/>
    <x v="1"/>
    <x v="10"/>
    <x v="1"/>
    <n v="40344.199999999997"/>
  </r>
  <r>
    <n v="201570"/>
    <x v="7"/>
    <x v="1"/>
    <x v="3"/>
    <x v="1"/>
    <n v="40851"/>
  </r>
  <r>
    <n v="201569"/>
    <x v="7"/>
    <x v="1"/>
    <x v="2"/>
    <x v="1"/>
    <n v="3358"/>
  </r>
  <r>
    <n v="201568"/>
    <x v="7"/>
    <x v="1"/>
    <x v="0"/>
    <x v="1"/>
    <n v="148886.70000000001"/>
  </r>
  <r>
    <n v="201567"/>
    <x v="7"/>
    <x v="1"/>
    <x v="1"/>
    <x v="0"/>
    <n v="3004.8"/>
  </r>
  <r>
    <n v="201566"/>
    <x v="7"/>
    <x v="1"/>
    <x v="3"/>
    <x v="0"/>
    <n v="15221.8"/>
  </r>
  <r>
    <n v="201565"/>
    <x v="7"/>
    <x v="1"/>
    <x v="2"/>
    <x v="0"/>
    <n v="6862.8"/>
  </r>
  <r>
    <n v="201564"/>
    <x v="7"/>
    <x v="1"/>
    <x v="0"/>
    <x v="0"/>
    <n v="102783.1"/>
  </r>
  <r>
    <n v="201563"/>
    <x v="7"/>
    <x v="0"/>
    <x v="3"/>
    <x v="0"/>
    <n v="10854.4"/>
  </r>
  <r>
    <n v="201562"/>
    <x v="7"/>
    <x v="0"/>
    <x v="0"/>
    <x v="0"/>
    <n v="75710.100000000006"/>
  </r>
  <r>
    <n v="201561"/>
    <x v="7"/>
    <x v="0"/>
    <x v="1"/>
    <x v="1"/>
    <n v="51900.3"/>
  </r>
  <r>
    <n v="201560"/>
    <x v="7"/>
    <x v="0"/>
    <x v="0"/>
    <x v="1"/>
    <n v="120169.2"/>
  </r>
  <r>
    <n v="201559"/>
    <x v="7"/>
    <x v="0"/>
    <x v="3"/>
    <x v="1"/>
    <n v="108649.3"/>
  </r>
  <r>
    <n v="201609"/>
    <x v="7"/>
    <x v="6"/>
    <x v="23"/>
    <x v="1"/>
    <n v="4012.6"/>
  </r>
  <r>
    <n v="201732"/>
    <x v="8"/>
    <x v="8"/>
    <x v="0"/>
    <x v="2"/>
    <n v="55465.2"/>
  </r>
  <r>
    <n v="201731"/>
    <x v="8"/>
    <x v="8"/>
    <x v="1"/>
    <x v="2"/>
    <n v="24426.7"/>
  </r>
  <r>
    <n v="201730"/>
    <x v="8"/>
    <x v="8"/>
    <x v="3"/>
    <x v="2"/>
    <n v="12203.7"/>
  </r>
  <r>
    <n v="201729"/>
    <x v="8"/>
    <x v="7"/>
    <x v="10"/>
    <x v="1"/>
    <n v="233534.92"/>
  </r>
  <r>
    <n v="201728"/>
    <x v="8"/>
    <x v="7"/>
    <x v="2"/>
    <x v="1"/>
    <n v="3333"/>
  </r>
  <r>
    <n v="201727"/>
    <x v="8"/>
    <x v="5"/>
    <x v="0"/>
    <x v="1"/>
    <n v="7228"/>
  </r>
  <r>
    <n v="201726"/>
    <x v="8"/>
    <x v="7"/>
    <x v="10"/>
    <x v="0"/>
    <n v="102835.98"/>
  </r>
  <r>
    <n v="201725"/>
    <x v="8"/>
    <x v="7"/>
    <x v="2"/>
    <x v="0"/>
    <n v="828.6"/>
  </r>
  <r>
    <n v="201733"/>
    <x v="8"/>
    <x v="4"/>
    <x v="3"/>
    <x v="0"/>
    <n v="128173.1"/>
  </r>
  <r>
    <n v="201722"/>
    <x v="8"/>
    <x v="3"/>
    <x v="3"/>
    <x v="1"/>
    <n v="29324"/>
  </r>
  <r>
    <n v="201721"/>
    <x v="8"/>
    <x v="3"/>
    <x v="3"/>
    <x v="0"/>
    <n v="25614.400000000001"/>
  </r>
  <r>
    <n v="201720"/>
    <x v="8"/>
    <x v="2"/>
    <x v="11"/>
    <x v="1"/>
    <n v="29928.38"/>
  </r>
  <r>
    <n v="201719"/>
    <x v="8"/>
    <x v="5"/>
    <x v="0"/>
    <x v="0"/>
    <n v="7206"/>
  </r>
  <r>
    <n v="201718"/>
    <x v="8"/>
    <x v="2"/>
    <x v="1"/>
    <x v="1"/>
    <n v="7062.76"/>
  </r>
  <r>
    <n v="201717"/>
    <x v="8"/>
    <x v="2"/>
    <x v="10"/>
    <x v="1"/>
    <n v="0"/>
  </r>
  <r>
    <n v="201716"/>
    <x v="8"/>
    <x v="2"/>
    <x v="3"/>
    <x v="1"/>
    <n v="104415"/>
  </r>
  <r>
    <n v="201715"/>
    <x v="8"/>
    <x v="2"/>
    <x v="2"/>
    <x v="1"/>
    <n v="0"/>
  </r>
  <r>
    <n v="201714"/>
    <x v="8"/>
    <x v="2"/>
    <x v="1"/>
    <x v="0"/>
    <n v="0"/>
  </r>
  <r>
    <n v="201713"/>
    <x v="8"/>
    <x v="2"/>
    <x v="3"/>
    <x v="0"/>
    <n v="70353.100000000006"/>
  </r>
  <r>
    <n v="201712"/>
    <x v="8"/>
    <x v="6"/>
    <x v="23"/>
    <x v="1"/>
    <n v="34671.1"/>
  </r>
  <r>
    <n v="201711"/>
    <x v="8"/>
    <x v="6"/>
    <x v="10"/>
    <x v="1"/>
    <n v="46874.6"/>
  </r>
  <r>
    <n v="201710"/>
    <x v="8"/>
    <x v="6"/>
    <x v="2"/>
    <x v="1"/>
    <n v="228900.3"/>
  </r>
  <r>
    <n v="201709"/>
    <x v="8"/>
    <x v="6"/>
    <x v="0"/>
    <x v="1"/>
    <n v="46933.8"/>
  </r>
  <r>
    <n v="201708"/>
    <x v="8"/>
    <x v="6"/>
    <x v="10"/>
    <x v="0"/>
    <n v="25101.919999999998"/>
  </r>
  <r>
    <n v="201707"/>
    <x v="8"/>
    <x v="6"/>
    <x v="2"/>
    <x v="0"/>
    <n v="136491.94"/>
  </r>
  <r>
    <n v="201706"/>
    <x v="8"/>
    <x v="6"/>
    <x v="0"/>
    <x v="0"/>
    <n v="43592.46"/>
  </r>
  <r>
    <n v="201705"/>
    <x v="8"/>
    <x v="1"/>
    <x v="1"/>
    <x v="1"/>
    <n v="4121.2"/>
  </r>
  <r>
    <n v="201704"/>
    <x v="8"/>
    <x v="1"/>
    <x v="10"/>
    <x v="1"/>
    <n v="47783.8"/>
  </r>
  <r>
    <n v="201703"/>
    <x v="8"/>
    <x v="1"/>
    <x v="3"/>
    <x v="1"/>
    <n v="66604.5"/>
  </r>
  <r>
    <n v="201702"/>
    <x v="8"/>
    <x v="1"/>
    <x v="2"/>
    <x v="1"/>
    <n v="3550.6"/>
  </r>
  <r>
    <n v="201701"/>
    <x v="8"/>
    <x v="1"/>
    <x v="0"/>
    <x v="1"/>
    <n v="141443.20000000001"/>
  </r>
  <r>
    <n v="201700"/>
    <x v="8"/>
    <x v="1"/>
    <x v="1"/>
    <x v="0"/>
    <n v="0"/>
  </r>
  <r>
    <n v="201699"/>
    <x v="8"/>
    <x v="1"/>
    <x v="3"/>
    <x v="0"/>
    <n v="0"/>
  </r>
  <r>
    <n v="201698"/>
    <x v="8"/>
    <x v="1"/>
    <x v="2"/>
    <x v="0"/>
    <n v="0"/>
  </r>
  <r>
    <n v="201697"/>
    <x v="8"/>
    <x v="1"/>
    <x v="0"/>
    <x v="0"/>
    <n v="96274.4"/>
  </r>
  <r>
    <n v="201696"/>
    <x v="8"/>
    <x v="0"/>
    <x v="3"/>
    <x v="0"/>
    <n v="3639.8"/>
  </r>
  <r>
    <n v="201695"/>
    <x v="8"/>
    <x v="0"/>
    <x v="0"/>
    <x v="0"/>
    <n v="74888.899999999994"/>
  </r>
  <r>
    <n v="201694"/>
    <x v="8"/>
    <x v="0"/>
    <x v="1"/>
    <x v="1"/>
    <n v="63299.4"/>
  </r>
  <r>
    <n v="201693"/>
    <x v="8"/>
    <x v="0"/>
    <x v="0"/>
    <x v="1"/>
    <n v="147760"/>
  </r>
  <r>
    <n v="201692"/>
    <x v="8"/>
    <x v="0"/>
    <x v="3"/>
    <x v="1"/>
    <n v="123481.2"/>
  </r>
  <r>
    <n v="201734"/>
    <x v="8"/>
    <x v="4"/>
    <x v="3"/>
    <x v="1"/>
    <n v="176815.3"/>
  </r>
  <r>
    <n v="201735"/>
    <x v="9"/>
    <x v="0"/>
    <x v="3"/>
    <x v="1"/>
    <n v="112696.1"/>
  </r>
  <r>
    <n v="201736"/>
    <x v="9"/>
    <x v="0"/>
    <x v="0"/>
    <x v="1"/>
    <n v="119770.1"/>
  </r>
  <r>
    <n v="201737"/>
    <x v="9"/>
    <x v="0"/>
    <x v="1"/>
    <x v="1"/>
    <n v="64251.1"/>
  </r>
  <r>
    <n v="201738"/>
    <x v="9"/>
    <x v="0"/>
    <x v="0"/>
    <x v="0"/>
    <n v="93390.9"/>
  </r>
  <r>
    <n v="201739"/>
    <x v="9"/>
    <x v="0"/>
    <x v="3"/>
    <x v="0"/>
    <n v="0"/>
  </r>
  <r>
    <n v="201740"/>
    <x v="9"/>
    <x v="1"/>
    <x v="0"/>
    <x v="0"/>
    <n v="69279.5"/>
  </r>
  <r>
    <n v="201741"/>
    <x v="9"/>
    <x v="1"/>
    <x v="2"/>
    <x v="0"/>
    <n v="0"/>
  </r>
  <r>
    <n v="201742"/>
    <x v="9"/>
    <x v="1"/>
    <x v="3"/>
    <x v="0"/>
    <n v="18140.5"/>
  </r>
  <r>
    <n v="201743"/>
    <x v="9"/>
    <x v="1"/>
    <x v="1"/>
    <x v="0"/>
    <n v="0"/>
  </r>
  <r>
    <n v="201744"/>
    <x v="9"/>
    <x v="1"/>
    <x v="0"/>
    <x v="1"/>
    <n v="176321.3"/>
  </r>
  <r>
    <n v="201745"/>
    <x v="9"/>
    <x v="1"/>
    <x v="2"/>
    <x v="1"/>
    <n v="0"/>
  </r>
  <r>
    <n v="201746"/>
    <x v="9"/>
    <x v="1"/>
    <x v="3"/>
    <x v="1"/>
    <n v="35348.800000000003"/>
  </r>
  <r>
    <n v="201747"/>
    <x v="9"/>
    <x v="1"/>
    <x v="10"/>
    <x v="1"/>
    <n v="34707"/>
  </r>
  <r>
    <n v="201748"/>
    <x v="9"/>
    <x v="1"/>
    <x v="1"/>
    <x v="1"/>
    <n v="3725.8"/>
  </r>
  <r>
    <n v="201749"/>
    <x v="9"/>
    <x v="6"/>
    <x v="0"/>
    <x v="0"/>
    <n v="63698.15"/>
  </r>
  <r>
    <n v="201750"/>
    <x v="9"/>
    <x v="6"/>
    <x v="2"/>
    <x v="0"/>
    <n v="134306.87"/>
  </r>
  <r>
    <n v="201751"/>
    <x v="9"/>
    <x v="6"/>
    <x v="10"/>
    <x v="0"/>
    <n v="27293.88"/>
  </r>
  <r>
    <n v="201752"/>
    <x v="9"/>
    <x v="6"/>
    <x v="0"/>
    <x v="1"/>
    <n v="56517.599999999999"/>
  </r>
  <r>
    <n v="201753"/>
    <x v="9"/>
    <x v="6"/>
    <x v="2"/>
    <x v="1"/>
    <n v="237278.1"/>
  </r>
  <r>
    <n v="201754"/>
    <x v="9"/>
    <x v="6"/>
    <x v="10"/>
    <x v="1"/>
    <n v="41022"/>
  </r>
  <r>
    <n v="201755"/>
    <x v="9"/>
    <x v="6"/>
    <x v="9"/>
    <x v="1"/>
    <n v="15296.4"/>
  </r>
  <r>
    <n v="201756"/>
    <x v="9"/>
    <x v="2"/>
    <x v="3"/>
    <x v="0"/>
    <n v="53757.5"/>
  </r>
  <r>
    <n v="201757"/>
    <x v="9"/>
    <x v="2"/>
    <x v="1"/>
    <x v="0"/>
    <n v="0"/>
  </r>
  <r>
    <n v="201758"/>
    <x v="9"/>
    <x v="2"/>
    <x v="2"/>
    <x v="1"/>
    <n v="0"/>
  </r>
  <r>
    <n v="201759"/>
    <x v="9"/>
    <x v="2"/>
    <x v="3"/>
    <x v="1"/>
    <n v="100240.8"/>
  </r>
  <r>
    <n v="201760"/>
    <x v="9"/>
    <x v="2"/>
    <x v="10"/>
    <x v="1"/>
    <n v="0"/>
  </r>
  <r>
    <n v="201761"/>
    <x v="9"/>
    <x v="2"/>
    <x v="1"/>
    <x v="1"/>
    <n v="3006.82"/>
  </r>
  <r>
    <n v="201762"/>
    <x v="9"/>
    <x v="5"/>
    <x v="0"/>
    <x v="0"/>
    <n v="3604"/>
  </r>
  <r>
    <n v="201763"/>
    <x v="9"/>
    <x v="2"/>
    <x v="11"/>
    <x v="1"/>
    <n v="26175.39"/>
  </r>
  <r>
    <n v="201764"/>
    <x v="9"/>
    <x v="3"/>
    <x v="3"/>
    <x v="0"/>
    <n v="22142.9"/>
  </r>
  <r>
    <n v="201765"/>
    <x v="9"/>
    <x v="3"/>
    <x v="3"/>
    <x v="1"/>
    <n v="29603.599999999999"/>
  </r>
  <r>
    <n v="201766"/>
    <x v="9"/>
    <x v="4"/>
    <x v="3"/>
    <x v="0"/>
    <n v="118652.9"/>
  </r>
  <r>
    <n v="201767"/>
    <x v="9"/>
    <x v="4"/>
    <x v="3"/>
    <x v="1"/>
    <n v="185442.5"/>
  </r>
  <r>
    <n v="201768"/>
    <x v="9"/>
    <x v="7"/>
    <x v="2"/>
    <x v="0"/>
    <n v="2760.8"/>
  </r>
  <r>
    <n v="201769"/>
    <x v="9"/>
    <x v="7"/>
    <x v="10"/>
    <x v="0"/>
    <n v="96763.199999999997"/>
  </r>
  <r>
    <n v="201770"/>
    <x v="9"/>
    <x v="5"/>
    <x v="0"/>
    <x v="1"/>
    <n v="3743.3"/>
  </r>
  <r>
    <n v="201771"/>
    <x v="9"/>
    <x v="7"/>
    <x v="2"/>
    <x v="1"/>
    <n v="5501.2"/>
  </r>
  <r>
    <n v="201772"/>
    <x v="9"/>
    <x v="7"/>
    <x v="10"/>
    <x v="1"/>
    <n v="230170.4"/>
  </r>
  <r>
    <n v="201773"/>
    <x v="9"/>
    <x v="8"/>
    <x v="3"/>
    <x v="2"/>
    <n v="12273.8"/>
  </r>
  <r>
    <n v="201774"/>
    <x v="9"/>
    <x v="8"/>
    <x v="1"/>
    <x v="2"/>
    <n v="12186.4"/>
  </r>
  <r>
    <n v="201775"/>
    <x v="9"/>
    <x v="8"/>
    <x v="0"/>
    <x v="2"/>
    <n v="52976.1"/>
  </r>
  <r>
    <n v="201776"/>
    <x v="9"/>
    <x v="6"/>
    <x v="31"/>
    <x v="1"/>
    <n v="45436.7"/>
  </r>
  <r>
    <n v="201777"/>
    <x v="9"/>
    <x v="7"/>
    <x v="0"/>
    <x v="1"/>
    <n v="3023.6"/>
  </r>
  <r>
    <n v="201778"/>
    <x v="5"/>
    <x v="9"/>
    <x v="3"/>
    <x v="0"/>
    <n v="7644.1"/>
  </r>
  <r>
    <n v="201779"/>
    <x v="8"/>
    <x v="6"/>
    <x v="27"/>
    <x v="1"/>
    <n v="19400.099999999999"/>
  </r>
  <r>
    <n v="201780"/>
    <x v="8"/>
    <x v="6"/>
    <x v="29"/>
    <x v="1"/>
    <n v="7503.5"/>
  </r>
  <r>
    <n v="201781"/>
    <x v="8"/>
    <x v="6"/>
    <x v="28"/>
    <x v="1"/>
    <n v="16055.8"/>
  </r>
  <r>
    <n v="201782"/>
    <x v="8"/>
    <x v="6"/>
    <x v="5"/>
    <x v="1"/>
    <n v="15803.3"/>
  </r>
  <r>
    <n v="201783"/>
    <x v="9"/>
    <x v="6"/>
    <x v="28"/>
    <x v="1"/>
    <n v="3999.4"/>
  </r>
  <r>
    <n v="201784"/>
    <x v="6"/>
    <x v="2"/>
    <x v="5"/>
    <x v="1"/>
    <n v="4033"/>
  </r>
  <r>
    <n v="201785"/>
    <x v="6"/>
    <x v="6"/>
    <x v="9"/>
    <x v="1"/>
    <n v="7872.9"/>
  </r>
  <r>
    <n v="201786"/>
    <x v="6"/>
    <x v="6"/>
    <x v="5"/>
    <x v="1"/>
    <n v="15896.1"/>
  </r>
  <r>
    <n v="201787"/>
    <x v="6"/>
    <x v="6"/>
    <x v="29"/>
    <x v="1"/>
    <n v="14800.3"/>
  </r>
  <r>
    <n v="201788"/>
    <x v="6"/>
    <x v="6"/>
    <x v="20"/>
    <x v="1"/>
    <n v="8548.7999999999993"/>
  </r>
  <r>
    <n v="201861"/>
    <x v="10"/>
    <x v="3"/>
    <x v="3"/>
    <x v="0"/>
    <n v="29782.6"/>
  </r>
  <r>
    <n v="201862"/>
    <x v="10"/>
    <x v="3"/>
    <x v="3"/>
    <x v="1"/>
    <n v="37044.1"/>
  </r>
  <r>
    <n v="201860"/>
    <x v="10"/>
    <x v="2"/>
    <x v="11"/>
    <x v="1"/>
    <n v="25434.400000000001"/>
  </r>
  <r>
    <n v="201859"/>
    <x v="10"/>
    <x v="7"/>
    <x v="0"/>
    <x v="0"/>
    <n v="1244"/>
  </r>
  <r>
    <n v="201858"/>
    <x v="10"/>
    <x v="2"/>
    <x v="1"/>
    <x v="1"/>
    <n v="0"/>
  </r>
  <r>
    <n v="201843"/>
    <x v="10"/>
    <x v="1"/>
    <x v="3"/>
    <x v="1"/>
    <n v="29043.9"/>
  </r>
  <r>
    <n v="201844"/>
    <x v="10"/>
    <x v="1"/>
    <x v="10"/>
    <x v="1"/>
    <n v="41347.800000000003"/>
  </r>
  <r>
    <n v="201845"/>
    <x v="10"/>
    <x v="1"/>
    <x v="1"/>
    <x v="1"/>
    <n v="0"/>
  </r>
  <r>
    <n v="201846"/>
    <x v="10"/>
    <x v="6"/>
    <x v="0"/>
    <x v="0"/>
    <n v="72153.5"/>
  </r>
  <r>
    <n v="201847"/>
    <x v="10"/>
    <x v="6"/>
    <x v="2"/>
    <x v="0"/>
    <n v="112575.1"/>
  </r>
  <r>
    <n v="201848"/>
    <x v="10"/>
    <x v="6"/>
    <x v="10"/>
    <x v="0"/>
    <n v="15903.21"/>
  </r>
  <r>
    <n v="201849"/>
    <x v="10"/>
    <x v="6"/>
    <x v="0"/>
    <x v="1"/>
    <n v="61890.9"/>
  </r>
  <r>
    <n v="201850"/>
    <x v="10"/>
    <x v="6"/>
    <x v="2"/>
    <x v="1"/>
    <n v="216193.9"/>
  </r>
  <r>
    <n v="201851"/>
    <x v="10"/>
    <x v="6"/>
    <x v="10"/>
    <x v="1"/>
    <n v="18693.099999999999"/>
  </r>
  <r>
    <n v="201852"/>
    <x v="10"/>
    <x v="6"/>
    <x v="27"/>
    <x v="1"/>
    <n v="7950.61"/>
  </r>
  <r>
    <n v="201853"/>
    <x v="10"/>
    <x v="2"/>
    <x v="3"/>
    <x v="0"/>
    <n v="66411.5"/>
  </r>
  <r>
    <n v="201854"/>
    <x v="10"/>
    <x v="2"/>
    <x v="0"/>
    <x v="0"/>
    <n v="7585"/>
  </r>
  <r>
    <n v="201855"/>
    <x v="10"/>
    <x v="2"/>
    <x v="2"/>
    <x v="1"/>
    <n v="0"/>
  </r>
  <r>
    <n v="201856"/>
    <x v="10"/>
    <x v="2"/>
    <x v="3"/>
    <x v="1"/>
    <n v="75885.100000000006"/>
  </r>
  <r>
    <n v="201857"/>
    <x v="10"/>
    <x v="2"/>
    <x v="10"/>
    <x v="1"/>
    <n v="0"/>
  </r>
  <r>
    <n v="201842"/>
    <x v="10"/>
    <x v="1"/>
    <x v="2"/>
    <x v="1"/>
    <n v="0"/>
  </r>
  <r>
    <n v="201832"/>
    <x v="10"/>
    <x v="0"/>
    <x v="3"/>
    <x v="1"/>
    <n v="114517.7"/>
  </r>
  <r>
    <n v="201833"/>
    <x v="10"/>
    <x v="0"/>
    <x v="0"/>
    <x v="1"/>
    <n v="102105.8"/>
  </r>
  <r>
    <n v="201834"/>
    <x v="10"/>
    <x v="0"/>
    <x v="1"/>
    <x v="1"/>
    <n v="57274.2"/>
  </r>
  <r>
    <n v="201835"/>
    <x v="10"/>
    <x v="0"/>
    <x v="0"/>
    <x v="0"/>
    <n v="86851.6"/>
  </r>
  <r>
    <n v="201836"/>
    <x v="10"/>
    <x v="0"/>
    <x v="3"/>
    <x v="0"/>
    <n v="0"/>
  </r>
  <r>
    <n v="201837"/>
    <x v="10"/>
    <x v="1"/>
    <x v="0"/>
    <x v="0"/>
    <n v="79132.5"/>
  </r>
  <r>
    <n v="201838"/>
    <x v="10"/>
    <x v="1"/>
    <x v="2"/>
    <x v="0"/>
    <n v="0"/>
  </r>
  <r>
    <n v="201839"/>
    <x v="10"/>
    <x v="1"/>
    <x v="3"/>
    <x v="0"/>
    <n v="0"/>
  </r>
  <r>
    <n v="201840"/>
    <x v="10"/>
    <x v="1"/>
    <x v="1"/>
    <x v="0"/>
    <n v="0"/>
  </r>
  <r>
    <n v="201841"/>
    <x v="10"/>
    <x v="1"/>
    <x v="0"/>
    <x v="1"/>
    <n v="98744.2"/>
  </r>
  <r>
    <n v="201863"/>
    <x v="10"/>
    <x v="4"/>
    <x v="3"/>
    <x v="0"/>
    <n v="118876.2"/>
  </r>
  <r>
    <n v="201864"/>
    <x v="10"/>
    <x v="4"/>
    <x v="3"/>
    <x v="1"/>
    <n v="130194.2"/>
  </r>
  <r>
    <n v="201865"/>
    <x v="10"/>
    <x v="7"/>
    <x v="2"/>
    <x v="0"/>
    <n v="1038.2"/>
  </r>
  <r>
    <n v="201866"/>
    <x v="10"/>
    <x v="7"/>
    <x v="10"/>
    <x v="0"/>
    <n v="85431.4"/>
  </r>
  <r>
    <n v="201867"/>
    <x v="10"/>
    <x v="7"/>
    <x v="0"/>
    <x v="1"/>
    <n v="12896.7"/>
  </r>
  <r>
    <n v="201868"/>
    <x v="10"/>
    <x v="7"/>
    <x v="2"/>
    <x v="1"/>
    <n v="2868.2"/>
  </r>
  <r>
    <n v="201869"/>
    <x v="10"/>
    <x v="7"/>
    <x v="10"/>
    <x v="1"/>
    <n v="212992.4"/>
  </r>
  <r>
    <n v="201870"/>
    <x v="10"/>
    <x v="8"/>
    <x v="3"/>
    <x v="2"/>
    <n v="8127.8"/>
  </r>
  <r>
    <n v="201871"/>
    <x v="10"/>
    <x v="8"/>
    <x v="1"/>
    <x v="2"/>
    <n v="4102.3"/>
  </r>
  <r>
    <n v="201872"/>
    <x v="10"/>
    <x v="8"/>
    <x v="0"/>
    <x v="2"/>
    <n v="52548.3"/>
  </r>
  <r>
    <n v="201873"/>
    <x v="10"/>
    <x v="6"/>
    <x v="31"/>
    <x v="1"/>
    <n v="42581.5"/>
  </r>
  <r>
    <n v="201874"/>
    <x v="10"/>
    <x v="6"/>
    <x v="9"/>
    <x v="1"/>
    <n v="3939"/>
  </r>
  <r>
    <n v="201875"/>
    <x v="10"/>
    <x v="6"/>
    <x v="28"/>
    <x v="1"/>
    <n v="19109.71"/>
  </r>
  <r>
    <n v="201947"/>
    <x v="11"/>
    <x v="3"/>
    <x v="3"/>
    <x v="0"/>
    <n v="40347.9"/>
  </r>
  <r>
    <n v="201948"/>
    <x v="11"/>
    <x v="3"/>
    <x v="3"/>
    <x v="1"/>
    <n v="44209.7"/>
  </r>
  <r>
    <n v="201946"/>
    <x v="11"/>
    <x v="2"/>
    <x v="11"/>
    <x v="1"/>
    <n v="19103.22"/>
  </r>
  <r>
    <n v="201945"/>
    <x v="11"/>
    <x v="7"/>
    <x v="0"/>
    <x v="0"/>
    <n v="1502.8"/>
  </r>
  <r>
    <n v="201944"/>
    <x v="11"/>
    <x v="2"/>
    <x v="1"/>
    <x v="1"/>
    <n v="0"/>
  </r>
  <r>
    <n v="201928"/>
    <x v="11"/>
    <x v="1"/>
    <x v="2"/>
    <x v="1"/>
    <n v="0"/>
  </r>
  <r>
    <n v="201929"/>
    <x v="11"/>
    <x v="1"/>
    <x v="3"/>
    <x v="1"/>
    <n v="25828.7"/>
  </r>
  <r>
    <n v="201930"/>
    <x v="11"/>
    <x v="1"/>
    <x v="10"/>
    <x v="1"/>
    <n v="29503.9"/>
  </r>
  <r>
    <n v="201931"/>
    <x v="11"/>
    <x v="1"/>
    <x v="1"/>
    <x v="1"/>
    <n v="0"/>
  </r>
  <r>
    <n v="201932"/>
    <x v="11"/>
    <x v="6"/>
    <x v="0"/>
    <x v="0"/>
    <n v="70274.399999999994"/>
  </r>
  <r>
    <n v="201933"/>
    <x v="11"/>
    <x v="6"/>
    <x v="2"/>
    <x v="0"/>
    <n v="139136.76999999999"/>
  </r>
  <r>
    <n v="201934"/>
    <x v="11"/>
    <x v="6"/>
    <x v="10"/>
    <x v="0"/>
    <n v="1927.8"/>
  </r>
  <r>
    <n v="201935"/>
    <x v="11"/>
    <x v="6"/>
    <x v="0"/>
    <x v="1"/>
    <n v="87215.4"/>
  </r>
  <r>
    <n v="201936"/>
    <x v="11"/>
    <x v="6"/>
    <x v="2"/>
    <x v="1"/>
    <n v="210179.94"/>
  </r>
  <r>
    <n v="201937"/>
    <x v="11"/>
    <x v="6"/>
    <x v="10"/>
    <x v="1"/>
    <n v="53832.6"/>
  </r>
  <r>
    <n v="201938"/>
    <x v="11"/>
    <x v="6"/>
    <x v="32"/>
    <x v="1"/>
    <n v="7885.2"/>
  </r>
  <r>
    <n v="201939"/>
    <x v="11"/>
    <x v="2"/>
    <x v="3"/>
    <x v="0"/>
    <n v="90075.3"/>
  </r>
  <r>
    <n v="201940"/>
    <x v="11"/>
    <x v="2"/>
    <x v="0"/>
    <x v="0"/>
    <n v="0"/>
  </r>
  <r>
    <n v="201941"/>
    <x v="11"/>
    <x v="2"/>
    <x v="2"/>
    <x v="1"/>
    <n v="0"/>
  </r>
  <r>
    <n v="201942"/>
    <x v="11"/>
    <x v="2"/>
    <x v="3"/>
    <x v="1"/>
    <n v="125678.39999999999"/>
  </r>
  <r>
    <n v="201943"/>
    <x v="11"/>
    <x v="2"/>
    <x v="10"/>
    <x v="1"/>
    <n v="0"/>
  </r>
  <r>
    <n v="201918"/>
    <x v="11"/>
    <x v="0"/>
    <x v="3"/>
    <x v="1"/>
    <n v="93379"/>
  </r>
  <r>
    <n v="201919"/>
    <x v="11"/>
    <x v="0"/>
    <x v="0"/>
    <x v="1"/>
    <n v="117003.6"/>
  </r>
  <r>
    <n v="201920"/>
    <x v="11"/>
    <x v="0"/>
    <x v="1"/>
    <x v="1"/>
    <n v="66889.2"/>
  </r>
  <r>
    <n v="201921"/>
    <x v="11"/>
    <x v="0"/>
    <x v="0"/>
    <x v="0"/>
    <n v="86045.4"/>
  </r>
  <r>
    <n v="201922"/>
    <x v="11"/>
    <x v="0"/>
    <x v="3"/>
    <x v="0"/>
    <n v="14250.1"/>
  </r>
  <r>
    <n v="201923"/>
    <x v="11"/>
    <x v="1"/>
    <x v="0"/>
    <x v="0"/>
    <n v="111817.3"/>
  </r>
  <r>
    <n v="201924"/>
    <x v="11"/>
    <x v="1"/>
    <x v="2"/>
    <x v="0"/>
    <n v="0"/>
  </r>
  <r>
    <n v="201925"/>
    <x v="11"/>
    <x v="1"/>
    <x v="3"/>
    <x v="0"/>
    <n v="21754.799999999999"/>
  </r>
  <r>
    <n v="201926"/>
    <x v="11"/>
    <x v="1"/>
    <x v="1"/>
    <x v="0"/>
    <n v="0"/>
  </r>
  <r>
    <n v="201927"/>
    <x v="11"/>
    <x v="1"/>
    <x v="0"/>
    <x v="1"/>
    <n v="159234.70000000001"/>
  </r>
  <r>
    <n v="201949"/>
    <x v="11"/>
    <x v="4"/>
    <x v="3"/>
    <x v="0"/>
    <n v="99106.6"/>
  </r>
  <r>
    <n v="201950"/>
    <x v="11"/>
    <x v="4"/>
    <x v="3"/>
    <x v="1"/>
    <n v="86077.6"/>
  </r>
  <r>
    <n v="201951"/>
    <x v="11"/>
    <x v="7"/>
    <x v="2"/>
    <x v="0"/>
    <n v="2341.3000000000002"/>
  </r>
  <r>
    <n v="201952"/>
    <x v="11"/>
    <x v="7"/>
    <x v="10"/>
    <x v="0"/>
    <n v="94229.6"/>
  </r>
  <r>
    <n v="201953"/>
    <x v="11"/>
    <x v="7"/>
    <x v="0"/>
    <x v="1"/>
    <n v="12259.6"/>
  </r>
  <r>
    <n v="201954"/>
    <x v="11"/>
    <x v="7"/>
    <x v="2"/>
    <x v="1"/>
    <n v="8911.7999999999993"/>
  </r>
  <r>
    <n v="201955"/>
    <x v="11"/>
    <x v="7"/>
    <x v="10"/>
    <x v="1"/>
    <n v="263264.40000000002"/>
  </r>
  <r>
    <n v="201956"/>
    <x v="11"/>
    <x v="8"/>
    <x v="3"/>
    <x v="2"/>
    <n v="8162.9"/>
  </r>
  <r>
    <n v="201957"/>
    <x v="11"/>
    <x v="8"/>
    <x v="1"/>
    <x v="2"/>
    <n v="8262.9"/>
  </r>
  <r>
    <n v="201958"/>
    <x v="11"/>
    <x v="8"/>
    <x v="0"/>
    <x v="2"/>
    <n v="56951.199999999997"/>
  </r>
  <r>
    <n v="201959"/>
    <x v="11"/>
    <x v="6"/>
    <x v="31"/>
    <x v="1"/>
    <n v="33469.81"/>
  </r>
  <r>
    <n v="201960"/>
    <x v="11"/>
    <x v="6"/>
    <x v="28"/>
    <x v="1"/>
    <n v="11284.6"/>
  </r>
  <r>
    <n v="201961"/>
    <x v="11"/>
    <x v="6"/>
    <x v="9"/>
    <x v="1"/>
    <n v="37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O15" firstHeaderRow="1" firstDataRow="3" firstDataCol="1" rowPageCount="1" colPageCount="1"/>
  <pivotFields count="6">
    <pivotField showAll="0"/>
    <pivotField axis="axisCol" showAll="0">
      <items count="25">
        <item m="1" x="18"/>
        <item m="1" x="19"/>
        <item m="1" x="20"/>
        <item m="1" x="21"/>
        <item m="1" x="22"/>
        <item m="1" x="23"/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2">
        <item x="7"/>
        <item x="2"/>
        <item x="6"/>
        <item x="4"/>
        <item x="0"/>
        <item x="1"/>
        <item x="5"/>
        <item x="3"/>
        <item x="8"/>
        <item x="9"/>
        <item x="10"/>
        <item t="default"/>
      </items>
    </pivotField>
    <pivotField axis="axisPage" showAll="0">
      <items count="49">
        <item x="0"/>
        <item x="2"/>
        <item x="3"/>
        <item x="10"/>
        <item x="1"/>
        <item x="5"/>
        <item m="1" x="45"/>
        <item m="1" x="44"/>
        <item x="4"/>
        <item x="20"/>
        <item x="13"/>
        <item m="1" x="47"/>
        <item x="16"/>
        <item x="17"/>
        <item x="6"/>
        <item m="1" x="33"/>
        <item x="7"/>
        <item m="1" x="34"/>
        <item m="1" x="37"/>
        <item m="1" x="39"/>
        <item m="1" x="41"/>
        <item x="18"/>
        <item x="9"/>
        <item x="32"/>
        <item m="1" x="42"/>
        <item m="1" x="35"/>
        <item m="1" x="38"/>
        <item x="22"/>
        <item x="14"/>
        <item x="8"/>
        <item x="24"/>
        <item x="12"/>
        <item m="1" x="46"/>
        <item m="1" x="36"/>
        <item x="27"/>
        <item m="1" x="43"/>
        <item x="15"/>
        <item x="19"/>
        <item x="21"/>
        <item x="23"/>
        <item x="25"/>
        <item m="1" x="40"/>
        <item x="11"/>
        <item x="28"/>
        <item x="29"/>
        <item x="26"/>
        <item x="30"/>
        <item x="31"/>
        <item t="default"/>
      </items>
    </pivotField>
    <pivotField axis="axisCol" showAll="0">
      <items count="4">
        <item x="1"/>
        <item x="0"/>
        <item x="2"/>
        <item t="default"/>
      </items>
    </pivotField>
    <pivotField dataField="1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rowItems>
  <colFields count="2">
    <field x="4"/>
    <field x="1"/>
  </colFields>
  <colItems count="40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/>
    </i>
    <i>
      <x v="1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1"/>
    </i>
    <i>
      <x v="2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 t="grand">
      <x/>
    </i>
  </colItems>
  <pageFields count="1">
    <pageField fld="3" item="0" hier="-1"/>
  </pageFields>
  <dataFields count="1">
    <dataField name="Sum of act_q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83:AI90" firstHeaderRow="1" firstDataRow="3" firstDataCol="1" rowPageCount="1" colPageCount="1"/>
  <pivotFields count="6">
    <pivotField showAll="0"/>
    <pivotField axis="axisCol" showAll="0">
      <items count="25">
        <item m="1" x="18"/>
        <item m="1" x="19"/>
        <item m="1" x="20"/>
        <item m="1" x="21"/>
        <item m="1" x="22"/>
        <item m="1" x="23"/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2">
        <item x="7"/>
        <item x="2"/>
        <item x="6"/>
        <item x="4"/>
        <item x="0"/>
        <item x="1"/>
        <item x="5"/>
        <item x="3"/>
        <item x="8"/>
        <item x="9"/>
        <item x="10"/>
        <item t="default"/>
      </items>
    </pivotField>
    <pivotField axis="axisPage" showAll="0">
      <items count="49">
        <item x="0"/>
        <item x="2"/>
        <item x="3"/>
        <item x="10"/>
        <item x="1"/>
        <item x="5"/>
        <item m="1" x="45"/>
        <item m="1" x="44"/>
        <item x="4"/>
        <item x="20"/>
        <item x="13"/>
        <item m="1" x="47"/>
        <item x="16"/>
        <item x="17"/>
        <item x="6"/>
        <item m="1" x="33"/>
        <item x="7"/>
        <item m="1" x="34"/>
        <item m="1" x="37"/>
        <item m="1" x="39"/>
        <item m="1" x="41"/>
        <item x="18"/>
        <item x="9"/>
        <item x="32"/>
        <item m="1" x="42"/>
        <item m="1" x="35"/>
        <item m="1" x="38"/>
        <item x="22"/>
        <item x="14"/>
        <item x="8"/>
        <item x="24"/>
        <item x="12"/>
        <item m="1" x="46"/>
        <item m="1" x="36"/>
        <item x="27"/>
        <item m="1" x="43"/>
        <item x="15"/>
        <item x="19"/>
        <item x="21"/>
        <item x="23"/>
        <item x="25"/>
        <item m="1" x="40"/>
        <item x="11"/>
        <item x="28"/>
        <item x="29"/>
        <item x="26"/>
        <item x="30"/>
        <item x="31"/>
        <item t="default"/>
      </items>
    </pivotField>
    <pivotField axis="axisCol" showAll="0">
      <items count="4">
        <item x="1"/>
        <item x="0"/>
        <item x="2"/>
        <item t="default"/>
      </items>
    </pivotField>
    <pivotField dataField="1" showAll="0"/>
  </pivotFields>
  <rowFields count="1">
    <field x="2"/>
  </rowFields>
  <rowItems count="5">
    <i>
      <x v="1"/>
    </i>
    <i>
      <x v="4"/>
    </i>
    <i>
      <x v="5"/>
    </i>
    <i>
      <x v="8"/>
    </i>
    <i t="grand">
      <x/>
    </i>
  </rowItems>
  <colFields count="2">
    <field x="4"/>
    <field x="1"/>
  </colFields>
  <colItems count="34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/>
    </i>
    <i>
      <x v="1"/>
      <x v="12"/>
    </i>
    <i r="1">
      <x v="19"/>
    </i>
    <i r="1">
      <x v="20"/>
    </i>
    <i r="1">
      <x v="21"/>
    </i>
    <i r="1">
      <x v="22"/>
    </i>
    <i r="1">
      <x v="23"/>
    </i>
    <i t="default">
      <x v="1"/>
    </i>
    <i>
      <x v="2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 t="grand">
      <x/>
    </i>
  </colItems>
  <pageFields count="1">
    <pageField fld="3" item="4" hier="-1"/>
  </pageFields>
  <dataFields count="1">
    <dataField name="Sum of act_q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63:AB70" firstHeaderRow="1" firstDataRow="3" firstDataCol="1" rowPageCount="1" colPageCount="1"/>
  <pivotFields count="6">
    <pivotField showAll="0"/>
    <pivotField axis="axisCol" showAll="0">
      <items count="25">
        <item m="1" x="18"/>
        <item m="1" x="19"/>
        <item m="1" x="20"/>
        <item m="1" x="21"/>
        <item m="1" x="22"/>
        <item m="1" x="23"/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2">
        <item x="7"/>
        <item x="2"/>
        <item x="6"/>
        <item x="4"/>
        <item x="0"/>
        <item x="1"/>
        <item x="5"/>
        <item x="3"/>
        <item x="8"/>
        <item x="9"/>
        <item x="10"/>
        <item t="default"/>
      </items>
    </pivotField>
    <pivotField axis="axisPage" showAll="0">
      <items count="49">
        <item x="0"/>
        <item x="2"/>
        <item x="3"/>
        <item x="10"/>
        <item x="1"/>
        <item x="5"/>
        <item m="1" x="45"/>
        <item m="1" x="44"/>
        <item x="4"/>
        <item x="20"/>
        <item x="13"/>
        <item m="1" x="47"/>
        <item x="16"/>
        <item x="17"/>
        <item x="6"/>
        <item m="1" x="33"/>
        <item x="7"/>
        <item m="1" x="34"/>
        <item m="1" x="37"/>
        <item m="1" x="39"/>
        <item m="1" x="41"/>
        <item x="18"/>
        <item x="9"/>
        <item x="32"/>
        <item m="1" x="42"/>
        <item m="1" x="35"/>
        <item m="1" x="38"/>
        <item x="22"/>
        <item x="14"/>
        <item x="8"/>
        <item x="24"/>
        <item x="12"/>
        <item m="1" x="46"/>
        <item m="1" x="36"/>
        <item x="27"/>
        <item m="1" x="43"/>
        <item x="15"/>
        <item x="19"/>
        <item x="21"/>
        <item x="23"/>
        <item x="25"/>
        <item m="1" x="40"/>
        <item x="11"/>
        <item x="28"/>
        <item x="29"/>
        <item x="26"/>
        <item x="30"/>
        <item x="31"/>
        <item t="default"/>
      </items>
    </pivotField>
    <pivotField axis="axisCol" showAll="0">
      <items count="4">
        <item x="1"/>
        <item x="0"/>
        <item x="2"/>
        <item t="default"/>
      </items>
    </pivotField>
    <pivotField dataField="1" showAll="0"/>
  </pivotFields>
  <rowFields count="1">
    <field x="2"/>
  </rowFields>
  <rowItems count="5">
    <i>
      <x/>
    </i>
    <i>
      <x v="1"/>
    </i>
    <i>
      <x v="2"/>
    </i>
    <i>
      <x v="5"/>
    </i>
    <i t="grand">
      <x/>
    </i>
  </rowItems>
  <colFields count="2">
    <field x="4"/>
    <field x="1"/>
  </colFields>
  <colItems count="27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/>
    </i>
    <i>
      <x v="1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1"/>
    </i>
    <i t="grand">
      <x/>
    </i>
  </colItems>
  <pageFields count="1">
    <pageField fld="3" item="3" hier="-1"/>
  </pageFields>
  <dataFields count="1">
    <dataField name="Sum of act_q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3:AN55" firstHeaderRow="1" firstDataRow="3" firstDataCol="1" rowPageCount="1" colPageCount="1"/>
  <pivotFields count="6">
    <pivotField showAll="0"/>
    <pivotField axis="axisCol" showAll="0">
      <items count="25">
        <item m="1" x="18"/>
        <item m="1" x="19"/>
        <item m="1" x="20"/>
        <item m="1" x="21"/>
        <item m="1" x="22"/>
        <item m="1" x="23"/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2">
        <item x="7"/>
        <item x="2"/>
        <item x="6"/>
        <item x="4"/>
        <item x="0"/>
        <item x="1"/>
        <item x="5"/>
        <item x="3"/>
        <item x="8"/>
        <item x="9"/>
        <item x="10"/>
        <item t="default"/>
      </items>
    </pivotField>
    <pivotField axis="axisPage" showAll="0">
      <items count="49">
        <item x="0"/>
        <item x="2"/>
        <item x="3"/>
        <item x="10"/>
        <item x="1"/>
        <item x="5"/>
        <item m="1" x="45"/>
        <item m="1" x="44"/>
        <item x="4"/>
        <item x="20"/>
        <item x="13"/>
        <item m="1" x="47"/>
        <item x="16"/>
        <item x="17"/>
        <item x="6"/>
        <item m="1" x="33"/>
        <item x="7"/>
        <item m="1" x="34"/>
        <item m="1" x="37"/>
        <item m="1" x="39"/>
        <item m="1" x="41"/>
        <item x="18"/>
        <item x="9"/>
        <item x="32"/>
        <item m="1" x="42"/>
        <item m="1" x="35"/>
        <item m="1" x="38"/>
        <item x="22"/>
        <item x="14"/>
        <item x="8"/>
        <item x="24"/>
        <item x="12"/>
        <item m="1" x="46"/>
        <item m="1" x="36"/>
        <item x="27"/>
        <item m="1" x="43"/>
        <item x="15"/>
        <item x="19"/>
        <item x="21"/>
        <item x="23"/>
        <item x="25"/>
        <item m="1" x="40"/>
        <item x="11"/>
        <item x="28"/>
        <item x="29"/>
        <item x="26"/>
        <item x="30"/>
        <item x="31"/>
        <item t="default"/>
      </items>
    </pivotField>
    <pivotField axis="axisCol" showAll="0">
      <items count="4">
        <item x="1"/>
        <item x="0"/>
        <item x="2"/>
        <item t="default"/>
      </items>
    </pivotField>
    <pivotField dataField="1" showAll="0"/>
  </pivotFields>
  <rowFields count="1">
    <field x="2"/>
  </rowFields>
  <rowItems count="10"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2">
    <field x="4"/>
    <field x="1"/>
  </colFields>
  <colItems count="3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/>
    </i>
    <i>
      <x v="1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1"/>
    </i>
    <i>
      <x v="2"/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 t="grand">
      <x/>
    </i>
  </colItems>
  <pageFields count="1">
    <pageField fld="3" item="2" hier="-1"/>
  </pageFields>
  <dataFields count="1">
    <dataField name="Sum of act_q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23:AF32" firstHeaderRow="1" firstDataRow="3" firstDataCol="1" rowPageCount="1" colPageCount="1"/>
  <pivotFields count="6">
    <pivotField showAll="0"/>
    <pivotField axis="axisCol" showAll="0">
      <items count="25">
        <item m="1" x="18"/>
        <item m="1" x="19"/>
        <item m="1" x="20"/>
        <item m="1" x="21"/>
        <item m="1" x="22"/>
        <item m="1" x="23"/>
        <item m="1" x="12"/>
        <item m="1" x="13"/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2">
        <item x="7"/>
        <item x="2"/>
        <item x="6"/>
        <item x="4"/>
        <item x="0"/>
        <item x="1"/>
        <item x="5"/>
        <item x="3"/>
        <item x="8"/>
        <item x="9"/>
        <item x="10"/>
        <item t="default"/>
      </items>
    </pivotField>
    <pivotField axis="axisPage" showAll="0">
      <items count="49">
        <item x="0"/>
        <item x="2"/>
        <item x="3"/>
        <item x="10"/>
        <item x="1"/>
        <item x="5"/>
        <item m="1" x="45"/>
        <item m="1" x="44"/>
        <item x="4"/>
        <item x="20"/>
        <item x="13"/>
        <item m="1" x="47"/>
        <item x="16"/>
        <item x="17"/>
        <item x="6"/>
        <item m="1" x="33"/>
        <item x="7"/>
        <item m="1" x="34"/>
        <item m="1" x="37"/>
        <item m="1" x="39"/>
        <item m="1" x="41"/>
        <item x="18"/>
        <item x="9"/>
        <item x="32"/>
        <item m="1" x="42"/>
        <item m="1" x="35"/>
        <item m="1" x="38"/>
        <item x="22"/>
        <item x="14"/>
        <item x="8"/>
        <item x="24"/>
        <item x="12"/>
        <item m="1" x="46"/>
        <item m="1" x="36"/>
        <item x="27"/>
        <item m="1" x="43"/>
        <item x="15"/>
        <item x="19"/>
        <item x="21"/>
        <item x="23"/>
        <item x="25"/>
        <item m="1" x="40"/>
        <item x="11"/>
        <item x="28"/>
        <item x="29"/>
        <item x="26"/>
        <item x="30"/>
        <item x="31"/>
        <item t="default"/>
      </items>
    </pivotField>
    <pivotField axis="axisCol" showAll="0">
      <items count="4">
        <item x="1"/>
        <item x="0"/>
        <item x="2"/>
        <item t="default"/>
      </items>
    </pivotField>
    <pivotField dataField="1" showAll="0"/>
  </pivotFields>
  <rowFields count="1">
    <field x="2"/>
  </rowFields>
  <rowItems count="7">
    <i>
      <x/>
    </i>
    <i>
      <x v="1"/>
    </i>
    <i>
      <x v="2"/>
    </i>
    <i>
      <x v="4"/>
    </i>
    <i>
      <x v="5"/>
    </i>
    <i>
      <x v="8"/>
    </i>
    <i t="grand">
      <x/>
    </i>
  </rowItems>
  <colFields count="2">
    <field x="4"/>
    <field x="1"/>
  </colFields>
  <colItems count="31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/>
    </i>
    <i>
      <x v="1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1"/>
    </i>
    <i>
      <x v="2"/>
      <x v="12"/>
    </i>
    <i r="1">
      <x v="14"/>
    </i>
    <i r="1">
      <x v="17"/>
    </i>
    <i t="default">
      <x v="2"/>
    </i>
    <i t="grand">
      <x/>
    </i>
  </colItems>
  <pageFields count="1">
    <pageField fld="3" item="1" hier="-1"/>
  </pageFields>
  <dataFields count="1">
    <dataField name="Sum of act_q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MySQL Local" connectionId="8" autoFormatId="16" applyNumberFormats="0" applyBorderFormats="0" applyFontFormats="0" applyPatternFormats="0" applyAlignmentFormats="0" applyWidthHeightFormats="0">
  <queryTableRefresh nextId="15">
    <queryTableFields count="9">
      <queryTableField id="1" name="cust" tableColumnId="1"/>
      <queryTableField id="2" name="unit" tableColumnId="2"/>
      <queryTableField id="3" name="yymm" tableColumnId="3"/>
      <queryTableField id="4" name="comm" tableColumnId="4"/>
      <queryTableField id="10" name="fe" tableColumnId="10"/>
      <queryTableField id="11" name="sio2" tableColumnId="11"/>
      <queryTableField id="12" name="al2o3" tableColumnId="12"/>
      <queryTableField id="13" name="os" tableColumnId="13"/>
      <queryTableField id="14" name="us" tableColumnId="14"/>
    </queryTableFields>
  </queryTableRefresh>
</queryTable>
</file>

<file path=xl/queryTables/queryTable2.xml><?xml version="1.0" encoding="utf-8"?>
<queryTable xmlns="http://schemas.openxmlformats.org/spreadsheetml/2006/main" name="Query from MySQL Local_1" connectionId="9" autoFormatId="16" applyNumberFormats="0" applyBorderFormats="0" applyFontFormats="0" applyPatternFormats="0" applyAlignmentFormats="0" applyWidthHeightFormats="0">
  <queryTableRefresh nextId="20">
    <queryTableFields count="9">
      <queryTableField id="1" name="cust" tableColumnId="1"/>
      <queryTableField id="2" name="unit" tableColumnId="2"/>
      <queryTableField id="3" name="yymm" tableColumnId="3"/>
      <queryTableField id="4" name="comm" tableColumnId="4"/>
      <queryTableField id="15" name="c_fe" tableColumnId="15"/>
      <queryTableField id="16" name="c_sio2" tableColumnId="16"/>
      <queryTableField id="17" name="c_al2o3" tableColumnId="17"/>
      <queryTableField id="18" name="c_os" tableColumnId="18"/>
      <queryTableField id="19" name="c_us" tableColumnId="19"/>
    </queryTableFields>
  </queryTableRefresh>
</queryTable>
</file>

<file path=xl/queryTables/queryTable3.xml><?xml version="1.0" encoding="utf-8"?>
<queryTable xmlns="http://schemas.openxmlformats.org/spreadsheetml/2006/main" name="Query from MySQL Local_2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yymm" tableColumnId="2"/>
      <queryTableField id="3" name="unit" tableColumnId="3"/>
      <queryTableField id="4" name="cust" tableColumnId="4"/>
      <queryTableField id="5" name="comm" tableColumnId="5"/>
      <queryTableField id="6" name="act_qty" tableColumnId="6"/>
    </queryTableFields>
  </queryTableRefresh>
</queryTable>
</file>

<file path=xl/queryTables/queryTable4.xml><?xml version="1.0" encoding="utf-8"?>
<queryTable xmlns="http://schemas.openxmlformats.org/spreadsheetml/2006/main" name="Query from MySQL Local_3" connectionId="6" autoFormatId="16" applyNumberFormats="0" applyBorderFormats="0" applyFontFormats="0" applyPatternFormats="0" applyAlignmentFormats="0" applyWidthHeightFormats="0">
  <queryTableRefresh nextId="10">
    <queryTableFields count="9">
      <queryTableField id="1" name="cust" tableColumnId="1"/>
      <queryTableField id="2" name="unit" tableColumnId="2"/>
      <queryTableField id="3" name="yymm" tableColumnId="3"/>
      <queryTableField id="4" name="comm" tableColumnId="4"/>
      <queryTableField id="5" name="cao" tableColumnId="5"/>
      <queryTableField id="6" name="mgo" tableColumnId="6"/>
      <queryTableField id="7" name="sio2" tableColumnId="7"/>
      <queryTableField id="8" name="os" tableColumnId="8"/>
      <queryTableField id="9" name="us" tableColumnId="9"/>
    </queryTableFields>
  </queryTableRefresh>
</queryTable>
</file>

<file path=xl/queryTables/queryTable5.xml><?xml version="1.0" encoding="utf-8"?>
<queryTable xmlns="http://schemas.openxmlformats.org/spreadsheetml/2006/main" name="Query from MySQL Local_4" connectionId="7" autoFormatId="16" applyNumberFormats="0" applyBorderFormats="0" applyFontFormats="0" applyPatternFormats="0" applyAlignmentFormats="0" applyWidthHeightFormats="0">
  <queryTableRefresh nextId="10">
    <queryTableFields count="9">
      <queryTableField id="1" name="cust" tableColumnId="1"/>
      <queryTableField id="2" name="unit" tableColumnId="2"/>
      <queryTableField id="3" name="yymm" tableColumnId="3"/>
      <queryTableField id="4" name="comm" tableColumnId="4"/>
      <queryTableField id="5" name="c_cao" tableColumnId="5"/>
      <queryTableField id="6" name="c_mgo" tableColumnId="6"/>
      <queryTableField id="7" name="c_sio2" tableColumnId="7"/>
      <queryTableField id="8" name="c_os" tableColumnId="8"/>
      <queryTableField id="9" name="c_us" tableColumnId="9"/>
    </queryTableFields>
  </queryTableRefresh>
</queryTable>
</file>

<file path=xl/queryTables/queryTable6.xml><?xml version="1.0" encoding="utf-8"?>
<queryTable xmlns="http://schemas.openxmlformats.org/spreadsheetml/2006/main" name="Query from MySQL Local_1" connectionId="12" autoFormatId="16" applyNumberFormats="0" applyBorderFormats="0" applyFontFormats="0" applyPatternFormats="0" applyAlignmentFormats="0" applyWidthHeightFormats="0">
  <queryTableRefresh nextId="3">
    <queryTableFields count="2">
      <queryTableField id="1" name="unit" tableColumnId="1"/>
      <queryTableField id="2" name="dragger" tableColumnId="2"/>
    </queryTableFields>
  </queryTableRefresh>
</queryTable>
</file>

<file path=xl/queryTables/queryTable7.xml><?xml version="1.0" encoding="utf-8"?>
<queryTable xmlns="http://schemas.openxmlformats.org/spreadsheetml/2006/main" name="Query from MySQL Local_2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unit" tableColumnId="1"/>
      <queryTableField id="2" name="dragger" tableColumnId="2"/>
    </queryTableFields>
  </queryTableRefresh>
</queryTable>
</file>

<file path=xl/queryTables/queryTable8.xml><?xml version="1.0" encoding="utf-8"?>
<queryTable xmlns="http://schemas.openxmlformats.org/spreadsheetml/2006/main" name="Query from MySQL Local_3" connectionId="16" autoFormatId="16" applyNumberFormats="0" applyBorderFormats="0" applyFontFormats="0" applyPatternFormats="0" applyAlignmentFormats="0" applyWidthHeightFormats="0">
  <queryTableRefresh nextId="3">
    <queryTableFields count="2">
      <queryTableField id="1" name="unit" tableColumnId="1"/>
      <queryTableField id="2" name="dragger" tableColumnId="2"/>
    </queryTableFields>
  </queryTableRefresh>
</queryTable>
</file>

<file path=xl/queryTables/queryTable9.xml><?xml version="1.0" encoding="utf-8"?>
<queryTable xmlns="http://schemas.openxmlformats.org/spreadsheetml/2006/main" name="Query from MySQL Local_4" connectionId="4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0.xml><?xml version="1.0" encoding="utf-8"?>
<queryTable xmlns="http://schemas.openxmlformats.org/spreadsheetml/2006/main" name="Query from MySQL Local_6" connectionId="14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1.xml><?xml version="1.0" encoding="utf-8"?>
<queryTable xmlns="http://schemas.openxmlformats.org/spreadsheetml/2006/main" name="Query from MySQL Local_7" connectionId="24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2.xml><?xml version="1.0" encoding="utf-8"?>
<queryTable xmlns="http://schemas.openxmlformats.org/spreadsheetml/2006/main" name="Query from MySQL Local_8" connectionId="18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3.xml><?xml version="1.0" encoding="utf-8"?>
<queryTable xmlns="http://schemas.openxmlformats.org/spreadsheetml/2006/main" name="Query from MySQL Local_9" connectionId="1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4.xml><?xml version="1.0" encoding="utf-8"?>
<queryTable xmlns="http://schemas.openxmlformats.org/spreadsheetml/2006/main" name="Query from MySQL Local_10" connectionId="3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5.xml><?xml version="1.0" encoding="utf-8"?>
<queryTable xmlns="http://schemas.openxmlformats.org/spreadsheetml/2006/main" name="Query from MySQL Local_11" connectionId="5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6.xml><?xml version="1.0" encoding="utf-8"?>
<queryTable xmlns="http://schemas.openxmlformats.org/spreadsheetml/2006/main" name="Query from MySQL Local_12" connectionId="11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7.xml><?xml version="1.0" encoding="utf-8"?>
<queryTable xmlns="http://schemas.openxmlformats.org/spreadsheetml/2006/main" name="Query from MySQL Local_13" connectionId="21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8.xml><?xml version="1.0" encoding="utf-8"?>
<queryTable xmlns="http://schemas.openxmlformats.org/spreadsheetml/2006/main" name="Query from MySQL Local_14" connectionId="20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19.xml><?xml version="1.0" encoding="utf-8"?>
<queryTable xmlns="http://schemas.openxmlformats.org/spreadsheetml/2006/main" name="Query from MySQL Local_16" connectionId="13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20.xml><?xml version="1.0" encoding="utf-8"?>
<queryTable xmlns="http://schemas.openxmlformats.org/spreadsheetml/2006/main" name="Query from MySQL Local_15" connectionId="15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21.xml><?xml version="1.0" encoding="utf-8"?>
<queryTable xmlns="http://schemas.openxmlformats.org/spreadsheetml/2006/main" name="Query from MySQL Local_18" connectionId="23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22.xml><?xml version="1.0" encoding="utf-8"?>
<queryTable xmlns="http://schemas.openxmlformats.org/spreadsheetml/2006/main" name="Query from MySQL Local_17" connectionId="25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23.xml><?xml version="1.0" encoding="utf-8"?>
<queryTable xmlns="http://schemas.openxmlformats.org/spreadsheetml/2006/main" name="Query from MySQL Local_20" connectionId="17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24.xml><?xml version="1.0" encoding="utf-8"?>
<queryTable xmlns="http://schemas.openxmlformats.org/spreadsheetml/2006/main" name="Query from MySQL Local_19" connectionId="19" autoFormatId="16" applyNumberFormats="0" applyBorderFormats="0" applyFontFormats="0" applyPatternFormats="0" applyAlignmentFormats="0" applyWidthHeightFormats="0">
  <queryTableRefresh nextId="4">
    <queryTableFields count="2">
      <queryTableField id="1" name="unit" tableColumnId="1"/>
      <queryTableField id="3" name="inc" tableColumnId="3"/>
    </queryTableFields>
  </queryTableRefresh>
</queryTable>
</file>

<file path=xl/queryTables/queryTable25.xml><?xml version="1.0" encoding="utf-8"?>
<queryTable xmlns="http://schemas.openxmlformats.org/spreadsheetml/2006/main" name="Query from MySQL Local_2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unit" tableColumnId="1"/>
      <queryTableField id="2" name="dragge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table1.xml><?xml version="1.0" encoding="utf-8"?>
<table xmlns="http://schemas.openxmlformats.org/spreadsheetml/2006/main" id="1" name="Table_Query_from_MySQL_Local" displayName="Table_Query_from_MySQL_Local" ref="I2:Q45" tableType="queryTable" totalsRowShown="0">
  <tableColumns count="9">
    <tableColumn id="1" uniqueName="1" name="cust" queryTableFieldId="1"/>
    <tableColumn id="2" uniqueName="2" name="unit" queryTableFieldId="2"/>
    <tableColumn id="3" uniqueName="3" name="yymm" queryTableFieldId="3"/>
    <tableColumn id="4" uniqueName="4" name="comm" queryTableFieldId="4"/>
    <tableColumn id="10" uniqueName="10" name="fe" queryTableFieldId="10"/>
    <tableColumn id="11" uniqueName="11" name="sio2" queryTableFieldId="11"/>
    <tableColumn id="12" uniqueName="12" name="al2o3" queryTableFieldId="12"/>
    <tableColumn id="13" uniqueName="13" name="os" queryTableFieldId="13"/>
    <tableColumn id="14" uniqueName="14" name="us" queryTableField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MySQL_Local_1" displayName="Table_Query_from_MySQL_Local_1" ref="AK2:AS45" tableType="queryTable" totalsRowShown="0">
  <tableColumns count="9">
    <tableColumn id="1" uniqueName="1" name="cust" queryTableFieldId="1"/>
    <tableColumn id="2" uniqueName="2" name="unit" queryTableFieldId="2"/>
    <tableColumn id="3" uniqueName="3" name="yymm" queryTableFieldId="3"/>
    <tableColumn id="4" uniqueName="4" name="comm" queryTableFieldId="4"/>
    <tableColumn id="15" uniqueName="15" name="c_fe" queryTableFieldId="15"/>
    <tableColumn id="16" uniqueName="16" name="c_sio2" queryTableFieldId="16"/>
    <tableColumn id="17" uniqueName="17" name="c_al2o3" queryTableFieldId="17"/>
    <tableColumn id="18" uniqueName="18" name="c_os" queryTableFieldId="18"/>
    <tableColumn id="19" uniqueName="19" name="c_us" queryTableField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Despatch_month" displayName="Despatch_month" ref="A2:F528" tableType="queryTable" totalsRowShown="0">
  <autoFilter ref="A2:F528"/>
  <tableColumns count="6">
    <tableColumn id="1" uniqueName="1" name="id" queryTableFieldId="1"/>
    <tableColumn id="2" uniqueName="2" name="yymm" queryTableFieldId="2"/>
    <tableColumn id="3" uniqueName="3" name="unit" queryTableFieldId="3"/>
    <tableColumn id="4" uniqueName="4" name="cust" queryTableFieldId="4"/>
    <tableColumn id="5" uniqueName="5" name="comm" queryTableFieldId="5"/>
    <tableColumn id="6" uniqueName="6" name="act_qt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Query_from_MySQL_Local_3" displayName="Table_Query_from_MySQL_Local_3" ref="AU2:BC3" tableType="queryTable" insertRow="1" totalsRowShown="0">
  <tableColumns count="9">
    <tableColumn id="1" uniqueName="1" name="cust" queryTableFieldId="1"/>
    <tableColumn id="2" uniqueName="2" name="unit" queryTableFieldId="2"/>
    <tableColumn id="3" uniqueName="3" name="yymm" queryTableFieldId="3"/>
    <tableColumn id="4" uniqueName="4" name="comm" queryTableFieldId="4"/>
    <tableColumn id="5" uniqueName="5" name="cao" queryTableFieldId="5"/>
    <tableColumn id="6" uniqueName="6" name="mgo" queryTableFieldId="6"/>
    <tableColumn id="7" uniqueName="7" name="sio2" queryTableFieldId="7"/>
    <tableColumn id="8" uniqueName="8" name="os" queryTableFieldId="8"/>
    <tableColumn id="9" uniqueName="9" name="us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_Query_from_MySQL_Local_4" displayName="Table_Query_from_MySQL_Local_4" ref="BO2:BW3" tableType="queryTable" insertRow="1" totalsRowShown="0">
  <tableColumns count="9">
    <tableColumn id="1" uniqueName="1" name="cust" queryTableFieldId="1"/>
    <tableColumn id="2" uniqueName="2" name="unit" queryTableFieldId="2"/>
    <tableColumn id="3" uniqueName="3" name="yymm" queryTableFieldId="3"/>
    <tableColumn id="4" uniqueName="4" name="comm" queryTableFieldId="4"/>
    <tableColumn id="5" uniqueName="5" name="c_cao" queryTableFieldId="5"/>
    <tableColumn id="6" uniqueName="6" name="c_mgo" queryTableFieldId="6"/>
    <tableColumn id="7" uniqueName="7" name="c_sio2" queryTableFieldId="7"/>
    <tableColumn id="8" uniqueName="8" name="c_os" queryTableFieldId="8"/>
    <tableColumn id="9" uniqueName="9" name="c_us" queryTableField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_Query_from_MySQL_Local89" displayName="Table_Query_from_MySQL_Local89" ref="BA49:BB51" tableType="queryTable" totalsRowShown="0">
  <autoFilter ref="BA49:BB51"/>
  <tableColumns count="2">
    <tableColumn id="1" uniqueName="1" name="unit" queryTableFieldId="1"/>
    <tableColumn id="2" uniqueName="2" name="dragger" queryTableFieldId="2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_Query_from_MySQL_Local8910" displayName="Table_Query_from_MySQL_Local8910" ref="BD49:BE51" tableType="queryTable" totalsRowShown="0">
  <autoFilter ref="BD49:BE51"/>
  <tableColumns count="2">
    <tableColumn id="1" uniqueName="1" name="unit" queryTableFieldId="1"/>
    <tableColumn id="2" uniqueName="2" name="dragger" queryTableFieldId="2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e_Query_from_MySQL_Local8911" displayName="Table_Query_from_MySQL_Local8911" ref="BG49:BH51" tableType="queryTable" totalsRowShown="0">
  <autoFilter ref="BG49:BH51"/>
  <tableColumns count="2">
    <tableColumn id="1" uniqueName="1" name="unit" queryTableFieldId="1"/>
    <tableColumn id="2" uniqueName="2" name="dragger" queryTableFieldId="2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_Query_from_MySQL_Local812" displayName="Table_Query_from_MySQL_Local812" ref="AX52:AY54" tableType="queryTable" totalsRowShown="0">
  <autoFilter ref="AX52:AY54"/>
  <tableColumns count="2">
    <tableColumn id="1" uniqueName="1" name="unit" queryTableFieldId="1"/>
    <tableColumn id="3" uniqueName="3" name="inc" queryTableFieldId="3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Table_Query_from_MySQL_Local81214" displayName="Table_Query_from_MySQL_Local81214" ref="BA52:BB54" tableType="queryTable" totalsRowShown="0">
  <autoFilter ref="BA52:BB54"/>
  <tableColumns count="2">
    <tableColumn id="1" uniqueName="1" name="unit" queryTableFieldId="1"/>
    <tableColumn id="3" uniqueName="3" name="inc" queryTableFieldId="3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Table_Query_from_MySQL_Local81215" displayName="Table_Query_from_MySQL_Local81215" ref="BD52:BE54" tableType="queryTable" totalsRowShown="0">
  <autoFilter ref="BD52:BE54"/>
  <tableColumns count="2">
    <tableColumn id="1" uniqueName="1" name="unit" queryTableFieldId="1"/>
    <tableColumn id="3" uniqueName="3" name="inc" queryTableFieldId="3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le_Query_from_MySQL_Local81216" displayName="Table_Query_from_MySQL_Local81216" ref="BG52:BH54" tableType="queryTable" totalsRowShown="0">
  <autoFilter ref="BG52:BH54"/>
  <tableColumns count="2">
    <tableColumn id="1" uniqueName="1" name="unit" queryTableFieldId="1"/>
    <tableColumn id="3" uniqueName="3" name="inc" queryTableFieldId="3" dataDxfId="1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Table_Query_from_MySQL_Local81217" displayName="Table_Query_from_MySQL_Local81217" ref="AX55:AY57" tableType="queryTable" totalsRowShown="0">
  <autoFilter ref="AX55:AY57"/>
  <tableColumns count="2">
    <tableColumn id="1" uniqueName="1" name="unit" queryTableFieldId="1"/>
    <tableColumn id="3" uniqueName="3" name="inc" queryTableFieldId="3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Table_Query_from_MySQL_Local81218" displayName="Table_Query_from_MySQL_Local81218" ref="AX59:AY60" tableType="queryTable" insertRow="1" totalsRowShown="0">
  <autoFilter ref="AX59:AY60"/>
  <tableColumns count="2">
    <tableColumn id="1" uniqueName="1" name="unit" queryTableFieldId="1"/>
    <tableColumn id="3" uniqueName="3" name="inc" queryTableFieldId="3" dataDxf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Table_Query_from_MySQL_Local81219" displayName="Table_Query_from_MySQL_Local81219" ref="AX62:AY64" tableType="queryTable" totalsRowShown="0">
  <autoFilter ref="AX62:AY64"/>
  <tableColumns count="2">
    <tableColumn id="1" uniqueName="1" name="unit" queryTableFieldId="1"/>
    <tableColumn id="3" uniqueName="3" name="inc" queryTableFieldId="3" dataDxfId="1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9" name="Table_Query_from_MySQL_Local8121720" displayName="Table_Query_from_MySQL_Local8121720" ref="BA55:BB56" tableType="queryTable" totalsRowShown="0">
  <autoFilter ref="BA55:BB56"/>
  <tableColumns count="2">
    <tableColumn id="1" uniqueName="1" name="unit" queryTableFieldId="1"/>
    <tableColumn id="3" uniqueName="3" name="inc" queryTableFieldId="3" dataDxfId="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0" name="Table_Query_from_MySQL_Local8121721" displayName="Table_Query_from_MySQL_Local8121721" ref="BD55:BE56" tableType="queryTable" insertRow="1" totalsRowShown="0">
  <autoFilter ref="BD55:BE56"/>
  <tableColumns count="2">
    <tableColumn id="1" uniqueName="1" name="unit" queryTableFieldId="1"/>
    <tableColumn id="3" uniqueName="3" name="inc" queryTableFieldId="3" dataDxf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1" name="Table_Query_from_MySQL_Local8121722" displayName="Table_Query_from_MySQL_Local8121722" ref="BG55:BH56" tableType="queryTable" insertRow="1" totalsRowShown="0">
  <autoFilter ref="BG55:BH56"/>
  <tableColumns count="2">
    <tableColumn id="1" uniqueName="1" name="unit" queryTableFieldId="1"/>
    <tableColumn id="3" uniqueName="3" name="inc" queryTableFieldId="3" dataDxfId="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_Query_from_MySQL_Local8121823" displayName="Table_Query_from_MySQL_Local8121823" ref="BA58:BB60" tableType="queryTable" totalsRowShown="0">
  <autoFilter ref="BA58:BB60"/>
  <tableColumns count="2">
    <tableColumn id="1" uniqueName="1" name="unit" queryTableFieldId="1"/>
    <tableColumn id="3" uniqueName="3" name="inc" queryTableFieldId="3" dataDxfId="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Table_Query_from_MySQL_Local8121924" displayName="Table_Query_from_MySQL_Local8121924" ref="BA61:BB62" tableType="queryTable" insertRow="1" totalsRowShown="0">
  <autoFilter ref="BA61:BB62"/>
  <tableColumns count="2">
    <tableColumn id="1" uniqueName="1" name="unit" queryTableFieldId="1"/>
    <tableColumn id="3" uniqueName="3" name="inc" queryTableFieldId="3" dataDxfId="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4" name="Table_Query_from_MySQL_Local8121825" displayName="Table_Query_from_MySQL_Local8121825" ref="BD57:BE58" tableType="queryTable" insertRow="1" totalsRowShown="0">
  <autoFilter ref="BD57:BE58"/>
  <tableColumns count="2">
    <tableColumn id="1" uniqueName="1" name="unit" queryTableFieldId="1"/>
    <tableColumn id="3" uniqueName="3" name="inc" queryTableFieldId="3" dataDxfId="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5" name="Table_Query_from_MySQL_Local8121926" displayName="Table_Query_from_MySQL_Local8121926" ref="BD60:BE61" tableType="queryTable" insertRow="1" totalsRowShown="0">
  <autoFilter ref="BD60:BE61"/>
  <tableColumns count="2">
    <tableColumn id="1" uniqueName="1" name="unit" queryTableFieldId="1"/>
    <tableColumn id="3" uniqueName="3" name="inc" queryTableFieldId="3" dataDxfId="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6" name="Table_Query_from_MySQL_Local8121827" displayName="Table_Query_from_MySQL_Local8121827" ref="BG58:BH60" tableType="queryTable" totalsRowShown="0">
  <autoFilter ref="BG58:BH60"/>
  <tableColumns count="2">
    <tableColumn id="1" uniqueName="1" name="unit" queryTableFieldId="1"/>
    <tableColumn id="3" uniqueName="3" name="inc" queryTableFieldId="3" dataDxfId="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Table_Query_from_MySQL_Local8121928" displayName="Table_Query_from_MySQL_Local8121928" ref="BG61:BH63" tableType="queryTable" totalsRowShown="0">
  <autoFilter ref="BG61:BH63"/>
  <tableColumns count="2">
    <tableColumn id="1" uniqueName="1" name="unit" queryTableFieldId="1"/>
    <tableColumn id="3" uniqueName="3" name="inc" queryTableFieldId="3" dataDxfId="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68" name="BSL_FE" displayName="BSL_FE" ref="AX49:AY51" tableType="queryTable" totalsRowShown="0">
  <autoFilter ref="AX49:AY51"/>
  <tableColumns count="2">
    <tableColumn id="1" uniqueName="1" name="unit" queryTableFieldId="1"/>
    <tableColumn id="2" uniqueName="2" name="dragger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5.xml"/><Relationship Id="rId2" Type="http://schemas.openxmlformats.org/officeDocument/2006/relationships/drawing" Target="../drawings/drawing1.xml"/><Relationship Id="rId16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>
    <pageSetUpPr fitToPage="1"/>
  </sheetPr>
  <dimension ref="A1:DQ306"/>
  <sheetViews>
    <sheetView showGridLines="0" showZeros="0" topLeftCell="X43" zoomScale="60" zoomScaleNormal="60" workbookViewId="0">
      <selection activeCell="N23" sqref="N23:P23"/>
    </sheetView>
  </sheetViews>
  <sheetFormatPr defaultColWidth="8.7265625" defaultRowHeight="27" customHeight="1" x14ac:dyDescent="0.35"/>
  <cols>
    <col min="1" max="1" width="13.90625" style="104" bestFit="1" customWidth="1"/>
    <col min="2" max="2" width="8.08984375" style="104" bestFit="1" customWidth="1"/>
    <col min="3" max="3" width="6.6328125" style="104" bestFit="1" customWidth="1"/>
    <col min="4" max="4" width="8" style="104" bestFit="1" customWidth="1"/>
    <col min="5" max="6" width="8.08984375" style="104" bestFit="1" customWidth="1"/>
    <col min="7" max="7" width="7.36328125" style="104" bestFit="1" customWidth="1"/>
    <col min="8" max="8" width="7.1796875" style="104" bestFit="1" customWidth="1"/>
    <col min="9" max="9" width="14.453125" style="104" bestFit="1" customWidth="1"/>
    <col min="10" max="10" width="8.6328125" style="104" customWidth="1"/>
    <col min="11" max="11" width="13.90625" style="104" bestFit="1" customWidth="1"/>
    <col min="12" max="12" width="8.08984375" style="104" bestFit="1" customWidth="1"/>
    <col min="13" max="13" width="6.6328125" style="104" bestFit="1" customWidth="1"/>
    <col min="14" max="14" width="8" style="104" bestFit="1" customWidth="1"/>
    <col min="15" max="15" width="6.6328125" style="104" bestFit="1" customWidth="1"/>
    <col min="16" max="16" width="8.08984375" style="104" bestFit="1" customWidth="1"/>
    <col min="17" max="17" width="7.36328125" style="104" bestFit="1" customWidth="1"/>
    <col min="18" max="18" width="7.1796875" style="104" bestFit="1" customWidth="1"/>
    <col min="19" max="19" width="14.453125" style="104" bestFit="1" customWidth="1"/>
    <col min="20" max="20" width="8.54296875" style="104" customWidth="1"/>
    <col min="21" max="21" width="15.08984375" style="104" bestFit="1" customWidth="1"/>
    <col min="22" max="22" width="8.08984375" style="104" bestFit="1" customWidth="1"/>
    <col min="23" max="23" width="6.6328125" style="104" bestFit="1" customWidth="1"/>
    <col min="24" max="24" width="8" style="104" bestFit="1" customWidth="1"/>
    <col min="25" max="25" width="8.08984375" style="104" customWidth="1"/>
    <col min="26" max="26" width="8.08984375" style="104" bestFit="1" customWidth="1"/>
    <col min="27" max="27" width="7.36328125" style="104" bestFit="1" customWidth="1"/>
    <col min="28" max="28" width="7.1796875" style="104" bestFit="1" customWidth="1"/>
    <col min="29" max="29" width="14.453125" style="104" bestFit="1" customWidth="1"/>
    <col min="30" max="30" width="2.1796875" style="104" customWidth="1"/>
    <col min="31" max="31" width="15.08984375" style="104" bestFit="1" customWidth="1"/>
    <col min="32" max="32" width="8.08984375" style="104" bestFit="1" customWidth="1"/>
    <col min="33" max="33" width="6.6328125" style="104" bestFit="1" customWidth="1"/>
    <col min="34" max="34" width="8" style="104" bestFit="1" customWidth="1"/>
    <col min="35" max="36" width="8.08984375" style="104" bestFit="1" customWidth="1"/>
    <col min="37" max="37" width="7.36328125" style="104" bestFit="1" customWidth="1"/>
    <col min="38" max="38" width="7.1796875" style="104" bestFit="1" customWidth="1"/>
    <col min="39" max="39" width="14.453125" style="104" bestFit="1" customWidth="1"/>
    <col min="40" max="40" width="2.6328125" style="104" customWidth="1"/>
    <col min="41" max="41" width="13.90625" style="104" bestFit="1" customWidth="1"/>
    <col min="42" max="42" width="8.08984375" style="104" bestFit="1" customWidth="1"/>
    <col min="43" max="43" width="6.6328125" style="104" bestFit="1" customWidth="1"/>
    <col min="44" max="44" width="8" style="104" bestFit="1" customWidth="1"/>
    <col min="45" max="45" width="8.08984375" style="104" customWidth="1"/>
    <col min="46" max="47" width="8.08984375" style="104" bestFit="1" customWidth="1"/>
    <col min="48" max="48" width="7.1796875" style="104" bestFit="1" customWidth="1"/>
    <col min="49" max="49" width="14.453125" style="104" customWidth="1"/>
    <col min="50" max="50" width="3.453125" style="104" customWidth="1"/>
    <col min="51" max="51" width="13.90625" style="104" bestFit="1" customWidth="1"/>
    <col min="52" max="52" width="8.08984375" style="104" bestFit="1" customWidth="1"/>
    <col min="53" max="53" width="6.6328125" style="104" bestFit="1" customWidth="1"/>
    <col min="54" max="54" width="8" style="104" bestFit="1" customWidth="1"/>
    <col min="55" max="55" width="6.6328125" style="104" bestFit="1" customWidth="1"/>
    <col min="56" max="56" width="8.08984375" style="104" customWidth="1"/>
    <col min="57" max="57" width="8.08984375" style="104" bestFit="1" customWidth="1"/>
    <col min="58" max="58" width="7.1796875" style="104" bestFit="1" customWidth="1"/>
    <col min="59" max="59" width="14.453125" style="104" bestFit="1" customWidth="1"/>
    <col min="60" max="60" width="11.54296875" style="104" customWidth="1"/>
    <col min="61" max="61" width="8.81640625" style="115" bestFit="1" customWidth="1"/>
    <col min="62" max="62" width="8.81640625" style="104" bestFit="1" customWidth="1"/>
    <col min="63" max="63" width="21.7265625" style="247" bestFit="1" customWidth="1"/>
    <col min="64" max="64" width="10.54296875" style="104" bestFit="1" customWidth="1"/>
    <col min="65" max="65" width="9" style="104" bestFit="1" customWidth="1"/>
    <col min="66" max="66" width="11.6328125" style="104" bestFit="1" customWidth="1"/>
    <col min="67" max="68" width="10.54296875" style="104" bestFit="1" customWidth="1"/>
    <col min="69" max="69" width="9.7265625" style="104" bestFit="1" customWidth="1"/>
    <col min="70" max="70" width="9.453125" style="104" bestFit="1" customWidth="1"/>
    <col min="71" max="71" width="19.90625" style="104" bestFit="1" customWidth="1"/>
    <col min="72" max="72" width="5.1796875" style="104" customWidth="1"/>
    <col min="73" max="73" width="21.7265625" style="247" bestFit="1" customWidth="1"/>
    <col min="74" max="74" width="10.54296875" style="104" bestFit="1" customWidth="1"/>
    <col min="75" max="75" width="9" style="104" bestFit="1" customWidth="1"/>
    <col min="76" max="76" width="13.54296875" style="104" bestFit="1" customWidth="1"/>
    <col min="77" max="77" width="8.54296875" style="104" bestFit="1" customWidth="1"/>
    <col min="78" max="78" width="10.54296875" style="104" bestFit="1" customWidth="1"/>
    <col min="79" max="79" width="9.7265625" style="104" bestFit="1" customWidth="1"/>
    <col min="80" max="80" width="9.453125" style="104" bestFit="1" customWidth="1"/>
    <col min="81" max="81" width="19.90625" style="104" bestFit="1" customWidth="1"/>
    <col min="82" max="82" width="3.1796875" style="104" customWidth="1"/>
    <col min="83" max="83" width="18.54296875" style="247" bestFit="1" customWidth="1"/>
    <col min="84" max="84" width="21.7265625" style="104" bestFit="1" customWidth="1"/>
    <col min="85" max="90" width="23.7265625" style="104" bestFit="1" customWidth="1"/>
    <col min="91" max="91" width="19.90625" style="104" bestFit="1" customWidth="1"/>
    <col min="92" max="92" width="8.7265625" style="104"/>
    <col min="93" max="93" width="18.54296875" style="247" bestFit="1" customWidth="1"/>
    <col min="94" max="95" width="23.7265625" style="104" bestFit="1" customWidth="1"/>
    <col min="96" max="96" width="21.7265625" style="104" bestFit="1" customWidth="1"/>
    <col min="97" max="100" width="23.7265625" style="104" bestFit="1" customWidth="1"/>
    <col min="101" max="101" width="19.90625" style="104" bestFit="1" customWidth="1"/>
    <col min="102" max="102" width="8.7265625" style="104"/>
    <col min="103" max="103" width="18.54296875" style="247" bestFit="1" customWidth="1"/>
    <col min="104" max="104" width="10.54296875" style="104" bestFit="1" customWidth="1"/>
    <col min="105" max="105" width="9" style="104" bestFit="1" customWidth="1"/>
    <col min="106" max="106" width="11.6328125" style="104" bestFit="1" customWidth="1"/>
    <col min="107" max="108" width="10.54296875" style="104" bestFit="1" customWidth="1"/>
    <col min="109" max="109" width="9.7265625" style="104" bestFit="1" customWidth="1"/>
    <col min="110" max="110" width="9.453125" style="104" bestFit="1" customWidth="1"/>
    <col min="111" max="111" width="19.90625" style="104" bestFit="1" customWidth="1"/>
    <col min="112" max="112" width="8.7265625" style="104"/>
    <col min="113" max="113" width="18.54296875" style="247" bestFit="1" customWidth="1"/>
    <col min="114" max="114" width="10.54296875" style="104" bestFit="1" customWidth="1"/>
    <col min="115" max="115" width="9" style="104" bestFit="1" customWidth="1"/>
    <col min="116" max="116" width="13.54296875" style="104" bestFit="1" customWidth="1"/>
    <col min="117" max="117" width="8.54296875" style="104" bestFit="1" customWidth="1"/>
    <col min="118" max="118" width="10.54296875" style="104" bestFit="1" customWidth="1"/>
    <col min="119" max="119" width="9.7265625" style="104" bestFit="1" customWidth="1"/>
    <col min="120" max="120" width="9.453125" style="104" bestFit="1" customWidth="1"/>
    <col min="121" max="121" width="19.90625" style="104" bestFit="1" customWidth="1"/>
    <col min="122" max="16384" width="8.7265625" style="104"/>
  </cols>
  <sheetData>
    <row r="1" spans="1:121" ht="0.5" customHeight="1" x14ac:dyDescent="0.35">
      <c r="A1" s="587"/>
      <c r="B1" s="587"/>
      <c r="C1" s="587"/>
      <c r="D1" s="587"/>
      <c r="E1" s="587"/>
      <c r="F1" s="587"/>
      <c r="G1" s="587"/>
      <c r="H1" s="587"/>
      <c r="I1" s="587"/>
      <c r="J1" s="103"/>
      <c r="K1" s="587"/>
      <c r="L1" s="587"/>
      <c r="M1" s="587"/>
      <c r="N1" s="587"/>
      <c r="O1" s="587"/>
      <c r="P1" s="587"/>
      <c r="Q1" s="587"/>
      <c r="R1" s="587"/>
      <c r="S1" s="587"/>
      <c r="U1" s="587"/>
      <c r="V1" s="587"/>
      <c r="W1" s="587"/>
      <c r="X1" s="587"/>
      <c r="Y1" s="587"/>
      <c r="Z1" s="587"/>
      <c r="AA1" s="587"/>
      <c r="AB1" s="587"/>
      <c r="AC1" s="587"/>
      <c r="AE1" s="587"/>
      <c r="AF1" s="587"/>
      <c r="AG1" s="587"/>
      <c r="AH1" s="587"/>
      <c r="AI1" s="587"/>
      <c r="AJ1" s="587"/>
      <c r="AK1" s="587"/>
      <c r="AL1" s="587"/>
      <c r="AM1" s="587"/>
      <c r="AO1" s="587"/>
      <c r="AP1" s="587"/>
      <c r="AQ1" s="587"/>
      <c r="AR1" s="587"/>
      <c r="AS1" s="587"/>
      <c r="AT1" s="587"/>
      <c r="AU1" s="587"/>
      <c r="AV1" s="587"/>
      <c r="AW1" s="587"/>
      <c r="AY1" s="587"/>
      <c r="AZ1" s="587"/>
      <c r="BA1" s="587"/>
      <c r="BB1" s="587"/>
      <c r="BC1" s="587"/>
      <c r="BD1" s="587"/>
      <c r="BE1" s="587"/>
      <c r="BF1" s="587"/>
      <c r="BG1" s="587"/>
      <c r="BI1" s="105"/>
      <c r="BK1" s="587"/>
      <c r="BL1" s="587"/>
      <c r="BM1" s="587"/>
      <c r="BN1" s="587"/>
      <c r="BO1" s="587"/>
      <c r="BP1" s="587"/>
      <c r="BQ1" s="587"/>
      <c r="BR1" s="587"/>
      <c r="BS1" s="587"/>
      <c r="BT1" s="103"/>
      <c r="BU1" s="587"/>
      <c r="BV1" s="587"/>
      <c r="BW1" s="587"/>
      <c r="BX1" s="587"/>
      <c r="BY1" s="587"/>
      <c r="BZ1" s="587"/>
      <c r="CA1" s="587"/>
      <c r="CB1" s="587"/>
      <c r="CC1" s="587"/>
      <c r="CE1" s="587"/>
      <c r="CF1" s="587"/>
      <c r="CG1" s="587"/>
      <c r="CH1" s="587"/>
      <c r="CI1" s="587"/>
      <c r="CJ1" s="587"/>
      <c r="CK1" s="587"/>
      <c r="CL1" s="587"/>
      <c r="CM1" s="587"/>
      <c r="CO1" s="587"/>
      <c r="CP1" s="587"/>
      <c r="CQ1" s="587"/>
      <c r="CR1" s="587"/>
      <c r="CS1" s="587"/>
      <c r="CT1" s="587"/>
      <c r="CU1" s="587"/>
      <c r="CV1" s="587"/>
      <c r="CW1" s="587"/>
      <c r="CY1" s="587"/>
      <c r="CZ1" s="587"/>
      <c r="DA1" s="587"/>
      <c r="DB1" s="587"/>
      <c r="DC1" s="587"/>
      <c r="DD1" s="587"/>
      <c r="DE1" s="587"/>
      <c r="DF1" s="587"/>
      <c r="DG1" s="587"/>
      <c r="DI1" s="587"/>
      <c r="DJ1" s="587"/>
      <c r="DK1" s="587"/>
      <c r="DL1" s="587"/>
      <c r="DM1" s="587"/>
      <c r="DN1" s="587"/>
      <c r="DO1" s="587"/>
      <c r="DP1" s="587"/>
      <c r="DQ1" s="587"/>
    </row>
    <row r="2" spans="1:121" s="111" customFormat="1" ht="29" customHeight="1" x14ac:dyDescent="0.6">
      <c r="A2" s="586" t="s">
        <v>29</v>
      </c>
      <c r="B2" s="586"/>
      <c r="C2" s="586"/>
      <c r="D2" s="585" t="s">
        <v>30</v>
      </c>
      <c r="E2" s="585"/>
      <c r="F2" s="585"/>
      <c r="G2" s="110"/>
      <c r="H2" s="110"/>
      <c r="I2" s="110"/>
      <c r="J2" s="109"/>
      <c r="K2" s="586" t="s">
        <v>29</v>
      </c>
      <c r="L2" s="586"/>
      <c r="M2" s="586"/>
      <c r="N2" s="585" t="s">
        <v>31</v>
      </c>
      <c r="O2" s="585"/>
      <c r="P2" s="585"/>
      <c r="Q2" s="110"/>
      <c r="R2" s="110"/>
      <c r="S2" s="110"/>
      <c r="U2" s="586" t="s">
        <v>32</v>
      </c>
      <c r="V2" s="586"/>
      <c r="W2" s="586"/>
      <c r="X2" s="585" t="s">
        <v>30</v>
      </c>
      <c r="Y2" s="585"/>
      <c r="Z2" s="585"/>
      <c r="AA2" s="110"/>
      <c r="AB2" s="110"/>
      <c r="AC2" s="110"/>
      <c r="AE2" s="586" t="s">
        <v>32</v>
      </c>
      <c r="AF2" s="586"/>
      <c r="AG2" s="586"/>
      <c r="AH2" s="585" t="s">
        <v>31</v>
      </c>
      <c r="AI2" s="585"/>
      <c r="AJ2" s="585"/>
      <c r="AK2" s="110"/>
      <c r="AL2" s="110"/>
      <c r="AM2" s="110"/>
      <c r="AO2" s="586" t="s">
        <v>33</v>
      </c>
      <c r="AP2" s="586"/>
      <c r="AQ2" s="586"/>
      <c r="AR2" s="585" t="s">
        <v>30</v>
      </c>
      <c r="AS2" s="585"/>
      <c r="AT2" s="585"/>
      <c r="AU2" s="110"/>
      <c r="AV2" s="110"/>
      <c r="AW2" s="110"/>
      <c r="AY2" s="586" t="s">
        <v>33</v>
      </c>
      <c r="AZ2" s="586"/>
      <c r="BA2" s="586"/>
      <c r="BB2" s="585" t="s">
        <v>31</v>
      </c>
      <c r="BC2" s="585"/>
      <c r="BD2" s="585"/>
      <c r="BE2" s="110"/>
      <c r="BF2" s="110"/>
      <c r="BI2" s="112"/>
      <c r="BK2" s="113" t="str">
        <f>A2</f>
        <v xml:space="preserve">किरीबुरू </v>
      </c>
      <c r="BL2" s="106">
        <f t="shared" ref="BL2:CA22" si="0">B2</f>
        <v>0</v>
      </c>
      <c r="BM2" s="106">
        <f t="shared" si="0"/>
        <v>0</v>
      </c>
      <c r="BN2" s="107" t="str">
        <f t="shared" si="0"/>
        <v>लम्प</v>
      </c>
      <c r="BO2" s="108">
        <f t="shared" si="0"/>
        <v>0</v>
      </c>
      <c r="BP2" s="109">
        <f t="shared" si="0"/>
        <v>0</v>
      </c>
      <c r="BQ2" s="110">
        <f t="shared" si="0"/>
        <v>0</v>
      </c>
      <c r="BR2" s="110">
        <f t="shared" si="0"/>
        <v>0</v>
      </c>
      <c r="BS2" s="110">
        <f t="shared" si="0"/>
        <v>0</v>
      </c>
      <c r="BT2" s="109">
        <f t="shared" si="0"/>
        <v>0</v>
      </c>
      <c r="BU2" s="113" t="str">
        <f t="shared" si="0"/>
        <v xml:space="preserve">किरीबुरू </v>
      </c>
      <c r="BV2" s="106">
        <f t="shared" si="0"/>
        <v>0</v>
      </c>
      <c r="BW2" s="106">
        <f t="shared" si="0"/>
        <v>0</v>
      </c>
      <c r="BX2" s="107" t="str">
        <f t="shared" si="0"/>
        <v>फाईन्स</v>
      </c>
      <c r="BY2" s="108">
        <f t="shared" si="0"/>
        <v>0</v>
      </c>
      <c r="BZ2" s="109">
        <f t="shared" si="0"/>
        <v>0</v>
      </c>
      <c r="CA2" s="110">
        <f t="shared" si="0"/>
        <v>0</v>
      </c>
      <c r="CB2" s="110">
        <f t="shared" ref="CB2:CQ20" si="1">R2</f>
        <v>0</v>
      </c>
      <c r="CC2" s="110">
        <f t="shared" si="1"/>
        <v>0</v>
      </c>
      <c r="CD2" s="111">
        <f t="shared" si="1"/>
        <v>0</v>
      </c>
      <c r="CE2" s="114" t="str">
        <f t="shared" si="1"/>
        <v>बोलानी</v>
      </c>
      <c r="CF2" s="106">
        <f t="shared" si="1"/>
        <v>0</v>
      </c>
      <c r="CG2" s="106">
        <f t="shared" si="1"/>
        <v>0</v>
      </c>
      <c r="CH2" s="107" t="str">
        <f t="shared" si="1"/>
        <v>लम्प</v>
      </c>
      <c r="CI2" s="108">
        <f t="shared" si="1"/>
        <v>0</v>
      </c>
      <c r="CJ2" s="109">
        <f t="shared" si="1"/>
        <v>0</v>
      </c>
      <c r="CK2" s="110">
        <f t="shared" si="1"/>
        <v>0</v>
      </c>
      <c r="CL2" s="110">
        <f t="shared" si="1"/>
        <v>0</v>
      </c>
      <c r="CM2" s="110">
        <f t="shared" si="1"/>
        <v>0</v>
      </c>
      <c r="CN2" s="111">
        <f t="shared" si="1"/>
        <v>0</v>
      </c>
      <c r="CO2" s="114" t="str">
        <f t="shared" si="1"/>
        <v>बोलानी</v>
      </c>
      <c r="CP2" s="109">
        <f t="shared" si="1"/>
        <v>0</v>
      </c>
      <c r="CQ2" s="109">
        <f t="shared" si="1"/>
        <v>0</v>
      </c>
      <c r="CR2" s="107" t="str">
        <f t="shared" ref="CR2:DG58" si="2">AH2</f>
        <v>फाईन्स</v>
      </c>
      <c r="CS2" s="109">
        <f t="shared" si="2"/>
        <v>0</v>
      </c>
      <c r="CT2" s="109">
        <f t="shared" si="2"/>
        <v>0</v>
      </c>
      <c r="CU2" s="110">
        <f t="shared" si="2"/>
        <v>0</v>
      </c>
      <c r="CV2" s="110">
        <f t="shared" si="2"/>
        <v>0</v>
      </c>
      <c r="CW2" s="110">
        <f t="shared" si="2"/>
        <v>0</v>
      </c>
      <c r="CX2" s="111">
        <f t="shared" si="2"/>
        <v>0</v>
      </c>
      <c r="CY2" s="114" t="str">
        <f t="shared" ref="CY2:DN18" si="3">U23</f>
        <v>बरसुआ</v>
      </c>
      <c r="CZ2" s="109">
        <f t="shared" si="3"/>
        <v>0</v>
      </c>
      <c r="DA2" s="109">
        <f t="shared" si="3"/>
        <v>0</v>
      </c>
      <c r="DB2" s="107" t="str">
        <f t="shared" si="3"/>
        <v>लम्प</v>
      </c>
      <c r="DC2" s="109">
        <f t="shared" si="3"/>
        <v>0</v>
      </c>
      <c r="DD2" s="109">
        <f t="shared" si="3"/>
        <v>0</v>
      </c>
      <c r="DE2" s="110">
        <f t="shared" si="3"/>
        <v>0</v>
      </c>
      <c r="DF2" s="110">
        <f t="shared" si="3"/>
        <v>0</v>
      </c>
      <c r="DG2" s="110">
        <f t="shared" si="3"/>
        <v>0</v>
      </c>
      <c r="DH2" s="111">
        <f t="shared" si="3"/>
        <v>0</v>
      </c>
      <c r="DI2" s="114" t="str">
        <f t="shared" si="3"/>
        <v>बरसुआ</v>
      </c>
      <c r="DJ2" s="109">
        <f t="shared" si="3"/>
        <v>0</v>
      </c>
      <c r="DK2" s="109">
        <f t="shared" si="3"/>
        <v>0</v>
      </c>
      <c r="DL2" s="107" t="str">
        <f t="shared" si="3"/>
        <v>फाईन्स</v>
      </c>
      <c r="DM2" s="109">
        <f t="shared" si="3"/>
        <v>0</v>
      </c>
      <c r="DN2" s="109">
        <f t="shared" si="3"/>
        <v>0</v>
      </c>
      <c r="DO2" s="110">
        <f t="shared" ref="DO2:DQ4" si="4">AK23</f>
        <v>0</v>
      </c>
      <c r="DP2" s="110">
        <f t="shared" si="4"/>
        <v>0</v>
      </c>
      <c r="DQ2" s="110">
        <f t="shared" si="4"/>
        <v>0</v>
      </c>
    </row>
    <row r="3" spans="1:121" ht="15" customHeight="1" thickBot="1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U3" s="103"/>
      <c r="V3" s="103"/>
      <c r="W3" s="103"/>
      <c r="X3" s="103"/>
      <c r="Y3" s="103"/>
      <c r="Z3" s="103"/>
      <c r="AA3" s="103"/>
      <c r="AB3" s="103"/>
      <c r="AC3" s="103"/>
      <c r="AE3" s="103"/>
      <c r="AF3" s="103"/>
      <c r="AG3" s="103"/>
      <c r="AH3" s="103"/>
      <c r="AI3" s="103"/>
      <c r="AJ3" s="103"/>
      <c r="AK3" s="103"/>
      <c r="AL3" s="103"/>
      <c r="AM3" s="103"/>
      <c r="AO3" s="103"/>
      <c r="AP3" s="103"/>
      <c r="AQ3" s="103"/>
      <c r="AR3" s="103"/>
      <c r="AS3" s="103"/>
      <c r="AT3" s="103"/>
      <c r="AU3" s="103"/>
      <c r="AV3" s="103"/>
      <c r="AW3" s="103"/>
      <c r="AY3" s="103"/>
      <c r="AZ3" s="103"/>
      <c r="BA3" s="103"/>
      <c r="BB3" s="103"/>
      <c r="BC3" s="103"/>
      <c r="BD3" s="103"/>
      <c r="BE3" s="103"/>
      <c r="BF3" s="103"/>
      <c r="BK3" s="116">
        <f t="shared" ref="BK3:BS22" si="5">A3</f>
        <v>0</v>
      </c>
      <c r="BL3" s="117">
        <f t="shared" si="0"/>
        <v>0</v>
      </c>
      <c r="BM3" s="117">
        <f t="shared" si="0"/>
        <v>0</v>
      </c>
      <c r="BN3" s="117">
        <f t="shared" si="0"/>
        <v>0</v>
      </c>
      <c r="BO3" s="117">
        <f t="shared" si="0"/>
        <v>0</v>
      </c>
      <c r="BP3" s="117">
        <f t="shared" si="0"/>
        <v>0</v>
      </c>
      <c r="BQ3" s="117">
        <f t="shared" si="0"/>
        <v>0</v>
      </c>
      <c r="BR3" s="117">
        <f t="shared" si="0"/>
        <v>0</v>
      </c>
      <c r="BS3" s="117">
        <f t="shared" si="0"/>
        <v>0</v>
      </c>
      <c r="BT3" s="117">
        <f t="shared" si="0"/>
        <v>0</v>
      </c>
      <c r="BU3" s="116">
        <f t="shared" si="0"/>
        <v>0</v>
      </c>
      <c r="BV3" s="117">
        <f t="shared" si="0"/>
        <v>0</v>
      </c>
      <c r="BW3" s="117">
        <f t="shared" si="0"/>
        <v>0</v>
      </c>
      <c r="BX3" s="117">
        <f t="shared" si="0"/>
        <v>0</v>
      </c>
      <c r="BY3" s="117">
        <f t="shared" si="0"/>
        <v>0</v>
      </c>
      <c r="BZ3" s="117">
        <f t="shared" si="0"/>
        <v>0</v>
      </c>
      <c r="CA3" s="117">
        <f t="shared" si="0"/>
        <v>0</v>
      </c>
      <c r="CB3" s="117">
        <f t="shared" si="1"/>
        <v>0</v>
      </c>
      <c r="CC3" s="117">
        <f t="shared" si="1"/>
        <v>0</v>
      </c>
      <c r="CD3" s="104">
        <f t="shared" si="1"/>
        <v>0</v>
      </c>
      <c r="CE3" s="118">
        <f t="shared" si="1"/>
        <v>0</v>
      </c>
      <c r="CF3" s="109">
        <f t="shared" si="1"/>
        <v>0</v>
      </c>
      <c r="CG3" s="109">
        <f t="shared" si="1"/>
        <v>0</v>
      </c>
      <c r="CH3" s="109">
        <f t="shared" si="1"/>
        <v>0</v>
      </c>
      <c r="CI3" s="109">
        <f t="shared" si="1"/>
        <v>0</v>
      </c>
      <c r="CJ3" s="109">
        <f t="shared" si="1"/>
        <v>0</v>
      </c>
      <c r="CK3" s="109">
        <f t="shared" si="1"/>
        <v>0</v>
      </c>
      <c r="CL3" s="109">
        <f t="shared" si="1"/>
        <v>0</v>
      </c>
      <c r="CM3" s="109">
        <f t="shared" si="1"/>
        <v>0</v>
      </c>
      <c r="CN3" s="111">
        <f t="shared" si="1"/>
        <v>0</v>
      </c>
      <c r="CO3" s="118">
        <f t="shared" si="1"/>
        <v>0</v>
      </c>
      <c r="CP3" s="109">
        <f t="shared" si="1"/>
        <v>0</v>
      </c>
      <c r="CQ3" s="109">
        <f t="shared" si="1"/>
        <v>0</v>
      </c>
      <c r="CR3" s="109">
        <f t="shared" si="2"/>
        <v>0</v>
      </c>
      <c r="CS3" s="109">
        <f t="shared" si="2"/>
        <v>0</v>
      </c>
      <c r="CT3" s="109">
        <f t="shared" si="2"/>
        <v>0</v>
      </c>
      <c r="CU3" s="109">
        <f t="shared" si="2"/>
        <v>0</v>
      </c>
      <c r="CV3" s="109">
        <f t="shared" si="2"/>
        <v>0</v>
      </c>
      <c r="CW3" s="109">
        <f t="shared" si="2"/>
        <v>0</v>
      </c>
      <c r="CX3" s="111">
        <f t="shared" si="2"/>
        <v>0</v>
      </c>
      <c r="CY3" s="118">
        <f t="shared" si="3"/>
        <v>0</v>
      </c>
      <c r="CZ3" s="109">
        <f t="shared" si="3"/>
        <v>0</v>
      </c>
      <c r="DA3" s="109">
        <f t="shared" si="3"/>
        <v>0</v>
      </c>
      <c r="DB3" s="109">
        <f t="shared" si="3"/>
        <v>0</v>
      </c>
      <c r="DC3" s="109">
        <f t="shared" si="3"/>
        <v>0</v>
      </c>
      <c r="DD3" s="109">
        <f t="shared" si="3"/>
        <v>0</v>
      </c>
      <c r="DE3" s="109">
        <f t="shared" si="3"/>
        <v>0</v>
      </c>
      <c r="DF3" s="109">
        <f t="shared" si="3"/>
        <v>0</v>
      </c>
      <c r="DG3" s="109">
        <f t="shared" si="3"/>
        <v>0</v>
      </c>
      <c r="DH3" s="111">
        <f t="shared" si="3"/>
        <v>0</v>
      </c>
      <c r="DI3" s="118">
        <f t="shared" si="3"/>
        <v>0</v>
      </c>
      <c r="DJ3" s="109">
        <f t="shared" si="3"/>
        <v>0</v>
      </c>
      <c r="DK3" s="109">
        <f t="shared" si="3"/>
        <v>0</v>
      </c>
      <c r="DL3" s="109">
        <f t="shared" si="3"/>
        <v>0</v>
      </c>
      <c r="DM3" s="109">
        <f t="shared" si="3"/>
        <v>0</v>
      </c>
      <c r="DN3" s="109">
        <f t="shared" si="3"/>
        <v>0</v>
      </c>
      <c r="DO3" s="109">
        <f t="shared" si="4"/>
        <v>0</v>
      </c>
      <c r="DP3" s="109">
        <f t="shared" si="4"/>
        <v>0</v>
      </c>
      <c r="DQ3" s="109">
        <f t="shared" si="4"/>
        <v>0</v>
      </c>
    </row>
    <row r="4" spans="1:121" ht="29" thickBot="1" x14ac:dyDescent="0.4">
      <c r="A4" s="119"/>
      <c r="B4" s="120" t="s">
        <v>34</v>
      </c>
      <c r="C4" s="121" t="s">
        <v>56</v>
      </c>
      <c r="D4" s="121" t="s">
        <v>57</v>
      </c>
      <c r="E4" s="121" t="s">
        <v>37</v>
      </c>
      <c r="F4" s="121" t="s">
        <v>38</v>
      </c>
      <c r="G4" s="121" t="s">
        <v>39</v>
      </c>
      <c r="H4" s="122" t="s">
        <v>40</v>
      </c>
      <c r="I4" s="123" t="s">
        <v>58</v>
      </c>
      <c r="J4" s="103"/>
      <c r="K4" s="119"/>
      <c r="L4" s="120" t="s">
        <v>34</v>
      </c>
      <c r="M4" s="121" t="s">
        <v>56</v>
      </c>
      <c r="N4" s="121" t="s">
        <v>57</v>
      </c>
      <c r="O4" s="121" t="s">
        <v>37</v>
      </c>
      <c r="P4" s="121" t="s">
        <v>38</v>
      </c>
      <c r="Q4" s="124" t="s">
        <v>39</v>
      </c>
      <c r="R4" s="125" t="s">
        <v>40</v>
      </c>
      <c r="S4" s="123" t="s">
        <v>58</v>
      </c>
      <c r="U4" s="119"/>
      <c r="V4" s="120" t="s">
        <v>34</v>
      </c>
      <c r="W4" s="121" t="s">
        <v>56</v>
      </c>
      <c r="X4" s="121" t="s">
        <v>57</v>
      </c>
      <c r="Y4" s="121" t="s">
        <v>37</v>
      </c>
      <c r="Z4" s="121" t="s">
        <v>38</v>
      </c>
      <c r="AA4" s="124" t="s">
        <v>39</v>
      </c>
      <c r="AB4" s="121" t="s">
        <v>40</v>
      </c>
      <c r="AC4" s="123" t="s">
        <v>58</v>
      </c>
      <c r="AE4" s="126"/>
      <c r="AF4" s="120" t="s">
        <v>34</v>
      </c>
      <c r="AG4" s="121" t="s">
        <v>56</v>
      </c>
      <c r="AH4" s="121" t="s">
        <v>57</v>
      </c>
      <c r="AI4" s="121" t="s">
        <v>37</v>
      </c>
      <c r="AJ4" s="125" t="s">
        <v>38</v>
      </c>
      <c r="AK4" s="121" t="s">
        <v>39</v>
      </c>
      <c r="AL4" s="121" t="s">
        <v>40</v>
      </c>
      <c r="AM4" s="123" t="s">
        <v>58</v>
      </c>
      <c r="AO4" s="126"/>
      <c r="AP4" s="120" t="s">
        <v>34</v>
      </c>
      <c r="AQ4" s="121" t="s">
        <v>56</v>
      </c>
      <c r="AR4" s="121" t="s">
        <v>57</v>
      </c>
      <c r="AS4" s="121" t="s">
        <v>37</v>
      </c>
      <c r="AT4" s="125" t="s">
        <v>38</v>
      </c>
      <c r="AU4" s="121" t="s">
        <v>39</v>
      </c>
      <c r="AV4" s="121" t="s">
        <v>40</v>
      </c>
      <c r="AW4" s="123" t="s">
        <v>58</v>
      </c>
      <c r="AY4" s="126"/>
      <c r="AZ4" s="120" t="s">
        <v>34</v>
      </c>
      <c r="BA4" s="121" t="s">
        <v>56</v>
      </c>
      <c r="BB4" s="121" t="s">
        <v>57</v>
      </c>
      <c r="BC4" s="121" t="s">
        <v>37</v>
      </c>
      <c r="BD4" s="125" t="s">
        <v>38</v>
      </c>
      <c r="BE4" s="121" t="s">
        <v>39</v>
      </c>
      <c r="BF4" s="121" t="s">
        <v>40</v>
      </c>
      <c r="BG4" s="123" t="s">
        <v>58</v>
      </c>
      <c r="BK4" s="127">
        <f t="shared" si="5"/>
        <v>0</v>
      </c>
      <c r="BL4" s="128" t="str">
        <f t="shared" si="0"/>
        <v>Fe</v>
      </c>
      <c r="BM4" s="129" t="str">
        <f t="shared" si="0"/>
        <v>SiO2</v>
      </c>
      <c r="BN4" s="129" t="str">
        <f t="shared" si="0"/>
        <v>Al2O3</v>
      </c>
      <c r="BO4" s="129" t="str">
        <f t="shared" si="0"/>
        <v>OS</v>
      </c>
      <c r="BP4" s="129" t="str">
        <f t="shared" si="0"/>
        <v>US</v>
      </c>
      <c r="BQ4" s="129" t="str">
        <f t="shared" si="0"/>
        <v>Al+Si</v>
      </c>
      <c r="BR4" s="130" t="str">
        <f t="shared" si="0"/>
        <v>Al/Si</v>
      </c>
      <c r="BS4" s="131" t="str">
        <f t="shared" si="0"/>
        <v>PLANT RCT</v>
      </c>
      <c r="BT4" s="117">
        <f t="shared" si="0"/>
        <v>0</v>
      </c>
      <c r="BU4" s="127">
        <f t="shared" si="0"/>
        <v>0</v>
      </c>
      <c r="BV4" s="128" t="str">
        <f t="shared" si="0"/>
        <v>Fe</v>
      </c>
      <c r="BW4" s="129" t="str">
        <f t="shared" si="0"/>
        <v>SiO2</v>
      </c>
      <c r="BX4" s="129" t="str">
        <f t="shared" si="0"/>
        <v>Al2O3</v>
      </c>
      <c r="BY4" s="129" t="str">
        <f t="shared" si="0"/>
        <v>OS</v>
      </c>
      <c r="BZ4" s="129" t="str">
        <f t="shared" si="0"/>
        <v>US</v>
      </c>
      <c r="CA4" s="129" t="str">
        <f t="shared" si="0"/>
        <v>Al+Si</v>
      </c>
      <c r="CB4" s="130" t="str">
        <f t="shared" si="1"/>
        <v>Al/Si</v>
      </c>
      <c r="CC4" s="131" t="str">
        <f t="shared" si="1"/>
        <v>PLANT RCT</v>
      </c>
      <c r="CD4" s="104">
        <f t="shared" si="1"/>
        <v>0</v>
      </c>
      <c r="CE4" s="127">
        <f t="shared" si="1"/>
        <v>0</v>
      </c>
      <c r="CF4" s="128" t="str">
        <f t="shared" si="1"/>
        <v>Fe</v>
      </c>
      <c r="CG4" s="129" t="str">
        <f t="shared" si="1"/>
        <v>SiO2</v>
      </c>
      <c r="CH4" s="129" t="str">
        <f t="shared" si="1"/>
        <v>Al2O3</v>
      </c>
      <c r="CI4" s="129" t="str">
        <f t="shared" si="1"/>
        <v>OS</v>
      </c>
      <c r="CJ4" s="129" t="str">
        <f t="shared" si="1"/>
        <v>US</v>
      </c>
      <c r="CK4" s="129" t="str">
        <f t="shared" si="1"/>
        <v>Al+Si</v>
      </c>
      <c r="CL4" s="130" t="str">
        <f t="shared" si="1"/>
        <v>Al/Si</v>
      </c>
      <c r="CM4" s="131" t="str">
        <f t="shared" si="1"/>
        <v>PLANT RCT</v>
      </c>
      <c r="CN4" s="111">
        <f t="shared" si="1"/>
        <v>0</v>
      </c>
      <c r="CO4" s="127">
        <f t="shared" si="1"/>
        <v>0</v>
      </c>
      <c r="CP4" s="128" t="str">
        <f t="shared" si="1"/>
        <v>Fe</v>
      </c>
      <c r="CQ4" s="129" t="str">
        <f t="shared" si="1"/>
        <v>SiO2</v>
      </c>
      <c r="CR4" s="129" t="str">
        <f t="shared" si="2"/>
        <v>Al2O3</v>
      </c>
      <c r="CS4" s="129" t="str">
        <f t="shared" si="2"/>
        <v>OS</v>
      </c>
      <c r="CT4" s="129" t="str">
        <f t="shared" si="2"/>
        <v>US</v>
      </c>
      <c r="CU4" s="129" t="str">
        <f t="shared" si="2"/>
        <v>Al+Si</v>
      </c>
      <c r="CV4" s="130" t="str">
        <f t="shared" si="2"/>
        <v>Al/Si</v>
      </c>
      <c r="CW4" s="131" t="str">
        <f t="shared" si="2"/>
        <v>PLANT RCT</v>
      </c>
      <c r="CX4" s="111">
        <f t="shared" si="2"/>
        <v>0</v>
      </c>
      <c r="CY4" s="127">
        <f t="shared" si="3"/>
        <v>0</v>
      </c>
      <c r="CZ4" s="128" t="str">
        <f t="shared" si="3"/>
        <v>Fe</v>
      </c>
      <c r="DA4" s="129" t="str">
        <f t="shared" si="3"/>
        <v>SiO2</v>
      </c>
      <c r="DB4" s="129" t="str">
        <f t="shared" si="3"/>
        <v>Al2O3</v>
      </c>
      <c r="DC4" s="129" t="str">
        <f t="shared" si="3"/>
        <v>OS</v>
      </c>
      <c r="DD4" s="129" t="str">
        <f t="shared" si="3"/>
        <v>US</v>
      </c>
      <c r="DE4" s="129" t="str">
        <f t="shared" si="3"/>
        <v>Al+Si</v>
      </c>
      <c r="DF4" s="130" t="str">
        <f t="shared" si="3"/>
        <v>Al/Si</v>
      </c>
      <c r="DG4" s="131" t="str">
        <f t="shared" si="3"/>
        <v>PLANT RCT</v>
      </c>
      <c r="DH4" s="111">
        <f t="shared" si="3"/>
        <v>0</v>
      </c>
      <c r="DI4" s="127">
        <f t="shared" si="3"/>
        <v>0</v>
      </c>
      <c r="DJ4" s="128" t="str">
        <f t="shared" si="3"/>
        <v>Fe</v>
      </c>
      <c r="DK4" s="129" t="str">
        <f t="shared" si="3"/>
        <v>SiO2</v>
      </c>
      <c r="DL4" s="129" t="str">
        <f t="shared" si="3"/>
        <v>Al2O3</v>
      </c>
      <c r="DM4" s="129" t="str">
        <f t="shared" si="3"/>
        <v>OS</v>
      </c>
      <c r="DN4" s="129" t="str">
        <f t="shared" si="3"/>
        <v>US</v>
      </c>
      <c r="DO4" s="129" t="str">
        <f t="shared" si="4"/>
        <v>Al+Si</v>
      </c>
      <c r="DP4" s="130" t="str">
        <f t="shared" si="4"/>
        <v>Al/Si</v>
      </c>
      <c r="DQ4" s="131" t="str">
        <f t="shared" si="4"/>
        <v>PLANT RCT</v>
      </c>
    </row>
    <row r="5" spans="1:121" ht="29" thickBot="1" x14ac:dyDescent="0.4">
      <c r="A5" s="132" t="str">
        <f>BSP!A5</f>
        <v>Act 20-21</v>
      </c>
      <c r="B5" s="133">
        <v>62.250206741070201</v>
      </c>
      <c r="C5" s="133">
        <v>3.8919172362021235</v>
      </c>
      <c r="D5" s="133">
        <v>2.2204098008620932</v>
      </c>
      <c r="E5" s="133">
        <v>18.454901922806243</v>
      </c>
      <c r="F5" s="133">
        <v>20.756354932973064</v>
      </c>
      <c r="G5" s="134">
        <v>6.1123270370642171</v>
      </c>
      <c r="H5" s="134">
        <v>0.57051824746120527</v>
      </c>
      <c r="I5" s="135">
        <f>(BSP!I5+BSL!I5+DSP!I5+RSP!I5+ISP!I5)</f>
        <v>0</v>
      </c>
      <c r="J5" s="119"/>
      <c r="K5" s="136" t="str">
        <f>BSP!K5</f>
        <v>Act 20-21</v>
      </c>
      <c r="L5" s="133">
        <v>61.366465491595328</v>
      </c>
      <c r="M5" s="133">
        <v>4.6451840184398376</v>
      </c>
      <c r="N5" s="133">
        <v>2.6371091566489167</v>
      </c>
      <c r="O5" s="133">
        <v>6.9887520954378139</v>
      </c>
      <c r="P5" s="133">
        <v>41.534246637854856</v>
      </c>
      <c r="Q5" s="134">
        <v>7.2822931750887543</v>
      </c>
      <c r="R5" s="134">
        <v>0.56770822128476917</v>
      </c>
      <c r="S5" s="137">
        <f>(BSP!S5+BSL!S5+DSP!S5+RSP!S5+ISP!S5)</f>
        <v>0</v>
      </c>
      <c r="T5" s="138"/>
      <c r="U5" s="136" t="str">
        <f>BSP!U5</f>
        <v>Act 20-21</v>
      </c>
      <c r="V5" s="133">
        <v>62.358252776917638</v>
      </c>
      <c r="W5" s="133">
        <v>3.0144426933854644</v>
      </c>
      <c r="X5" s="133">
        <v>2.0519514345589207</v>
      </c>
      <c r="Y5" s="133">
        <v>26.102556664217236</v>
      </c>
      <c r="Z5" s="133">
        <v>12.949668402833941</v>
      </c>
      <c r="AA5" s="134">
        <v>5.0663941279443847</v>
      </c>
      <c r="AB5" s="134">
        <v>0.68070673198116505</v>
      </c>
      <c r="AC5" s="135">
        <f>(BSP!AC5+BSL!AC5+DSP!AC5+RSP!AC5+ISP!AC5)</f>
        <v>0</v>
      </c>
      <c r="AE5" s="136" t="str">
        <f>BSP!AE5</f>
        <v>Act 20-21</v>
      </c>
      <c r="AF5" s="139">
        <v>62.006949492060961</v>
      </c>
      <c r="AG5" s="134">
        <v>3.605157205174208</v>
      </c>
      <c r="AH5" s="134">
        <v>2.6306687468799437</v>
      </c>
      <c r="AI5" s="134">
        <v>8.9706648508714029</v>
      </c>
      <c r="AJ5" s="134">
        <v>39.352463998808361</v>
      </c>
      <c r="AK5" s="134">
        <v>6.2358259520541512</v>
      </c>
      <c r="AL5" s="134">
        <v>0.72969598748824183</v>
      </c>
      <c r="AM5" s="140">
        <f>(BSP!AM5+BSL!AM5+DSP!AM5+RSP!AM5+ISP!AM5)</f>
        <v>0</v>
      </c>
      <c r="AO5" s="136" t="str">
        <f t="shared" ref="AO5:AO18" si="6">A5</f>
        <v>Act 20-21</v>
      </c>
      <c r="AP5" s="133">
        <v>61.845905404289084</v>
      </c>
      <c r="AQ5" s="133">
        <v>4.2817322938126914</v>
      </c>
      <c r="AR5" s="133">
        <v>2.4308935763832387</v>
      </c>
      <c r="AS5" s="133">
        <v>15.953649303217441</v>
      </c>
      <c r="AT5" s="133">
        <v>23.638393908065254</v>
      </c>
      <c r="AU5" s="134">
        <v>6.7126258701959305</v>
      </c>
      <c r="AV5" s="134">
        <v>0.56773600252776113</v>
      </c>
      <c r="AW5" s="140">
        <f>(BSP!AW5+BSL!AW5+DSP!AW5+RSP!AW5+ISP!AW5)</f>
        <v>0</v>
      </c>
      <c r="AY5" s="136" t="str">
        <f t="shared" ref="AY5:AY19" si="7">K26</f>
        <v>Act 20-21</v>
      </c>
      <c r="AZ5" s="133">
        <v>61.00378732237192</v>
      </c>
      <c r="BA5" s="133">
        <v>4.9732959106548416</v>
      </c>
      <c r="BB5" s="133">
        <v>3.003424086113617</v>
      </c>
      <c r="BC5" s="133">
        <v>7.0609934038874851</v>
      </c>
      <c r="BD5" s="133">
        <v>39.658383479671492</v>
      </c>
      <c r="BE5" s="134">
        <v>7.976719996768459</v>
      </c>
      <c r="BF5" s="134">
        <v>0.60391019156512482</v>
      </c>
      <c r="BG5" s="140">
        <f>(BSP!BG5+BSL!BG5+DSP!BG5+RSP!BG5+ISP!BG5)</f>
        <v>0</v>
      </c>
      <c r="BK5" s="141" t="str">
        <f t="shared" si="5"/>
        <v>Act 20-21</v>
      </c>
      <c r="BL5" s="142">
        <v>62.34</v>
      </c>
      <c r="BM5" s="143">
        <v>3.76</v>
      </c>
      <c r="BN5" s="143">
        <v>2.37</v>
      </c>
      <c r="BO5" s="143">
        <v>17.649999999999999</v>
      </c>
      <c r="BP5" s="143">
        <v>20.27</v>
      </c>
      <c r="BQ5" s="143">
        <v>6.13</v>
      </c>
      <c r="BR5" s="143">
        <v>0.63</v>
      </c>
      <c r="BS5" s="144">
        <v>1047714</v>
      </c>
      <c r="BT5" s="117">
        <f t="shared" si="0"/>
        <v>0</v>
      </c>
      <c r="BU5" s="141" t="str">
        <f t="shared" si="0"/>
        <v>Act 20-21</v>
      </c>
      <c r="BV5" s="142">
        <v>61.63</v>
      </c>
      <c r="BW5" s="143">
        <v>4.38</v>
      </c>
      <c r="BX5" s="143">
        <v>2.6</v>
      </c>
      <c r="BY5" s="143">
        <v>8.17</v>
      </c>
      <c r="BZ5" s="143">
        <v>36.950000000000003</v>
      </c>
      <c r="CA5" s="143">
        <v>6.98</v>
      </c>
      <c r="CB5" s="143">
        <v>0.59</v>
      </c>
      <c r="CC5" s="144">
        <v>2937149</v>
      </c>
      <c r="CD5" s="138">
        <f t="shared" si="1"/>
        <v>0</v>
      </c>
      <c r="CE5" s="141" t="str">
        <f t="shared" si="1"/>
        <v>Act 20-21</v>
      </c>
      <c r="CF5" s="142">
        <v>62.47</v>
      </c>
      <c r="CG5" s="143">
        <v>3.05</v>
      </c>
      <c r="CH5" s="143">
        <v>2.06</v>
      </c>
      <c r="CI5" s="143">
        <v>23.92</v>
      </c>
      <c r="CJ5" s="143">
        <v>12.38</v>
      </c>
      <c r="CK5" s="143">
        <v>5.1100000000000003</v>
      </c>
      <c r="CL5" s="143">
        <v>0.68</v>
      </c>
      <c r="CM5" s="144">
        <v>2050355</v>
      </c>
      <c r="CN5" s="111">
        <f t="shared" si="1"/>
        <v>0</v>
      </c>
      <c r="CO5" s="141" t="str">
        <f t="shared" si="1"/>
        <v>Act 20-21</v>
      </c>
      <c r="CP5" s="142">
        <v>62.31</v>
      </c>
      <c r="CQ5" s="143">
        <v>3.42</v>
      </c>
      <c r="CR5" s="143">
        <v>2.6</v>
      </c>
      <c r="CS5" s="143">
        <v>7.72</v>
      </c>
      <c r="CT5" s="143">
        <v>40.54</v>
      </c>
      <c r="CU5" s="143">
        <v>6.02</v>
      </c>
      <c r="CV5" s="143">
        <v>0.76</v>
      </c>
      <c r="CW5" s="144">
        <v>3640773</v>
      </c>
      <c r="CX5" s="111">
        <f t="shared" si="2"/>
        <v>0</v>
      </c>
      <c r="CY5" s="141" t="str">
        <f t="shared" si="3"/>
        <v>Act 20-21</v>
      </c>
      <c r="CZ5" s="142">
        <v>62.43</v>
      </c>
      <c r="DA5" s="143">
        <v>2.74</v>
      </c>
      <c r="DB5" s="143">
        <v>3.02</v>
      </c>
      <c r="DC5" s="143">
        <v>14.7</v>
      </c>
      <c r="DD5" s="143">
        <v>19.149999999999999</v>
      </c>
      <c r="DE5" s="143">
        <v>5.75</v>
      </c>
      <c r="DF5" s="143">
        <v>1.1000000000000001</v>
      </c>
      <c r="DG5" s="144">
        <v>764040</v>
      </c>
      <c r="DH5" s="111">
        <f t="shared" si="3"/>
        <v>0</v>
      </c>
      <c r="DI5" s="141" t="str">
        <f t="shared" si="3"/>
        <v>Act 20-21</v>
      </c>
      <c r="DJ5" s="142">
        <v>61.27</v>
      </c>
      <c r="DK5" s="143">
        <v>3.85</v>
      </c>
      <c r="DL5" s="143">
        <v>3.49</v>
      </c>
      <c r="DM5" s="143">
        <v>6.87</v>
      </c>
      <c r="DN5" s="143">
        <v>36.26</v>
      </c>
      <c r="DO5" s="143">
        <v>7.35</v>
      </c>
      <c r="DP5" s="143">
        <v>0.91</v>
      </c>
      <c r="DQ5" s="144">
        <v>1102998</v>
      </c>
    </row>
    <row r="6" spans="1:121" s="152" customFormat="1" ht="29.5" thickTop="1" thickBot="1" x14ac:dyDescent="0.4">
      <c r="A6" s="145" t="str">
        <f>BSP!A6</f>
        <v>APP 21-22</v>
      </c>
      <c r="B6" s="146">
        <f t="array" ref="B6:F6">BSP!B6:F6</f>
        <v>62.3</v>
      </c>
      <c r="C6" s="147">
        <v>3.9</v>
      </c>
      <c r="D6" s="147">
        <v>2.2000000000000002</v>
      </c>
      <c r="E6" s="147">
        <v>10</v>
      </c>
      <c r="F6" s="147">
        <v>10</v>
      </c>
      <c r="G6" s="147">
        <f t="shared" ref="G6:G19" si="8">IF(C6&lt;&gt;"",+D6+C6,"")</f>
        <v>6.1</v>
      </c>
      <c r="H6" s="148">
        <f t="shared" ref="H6:H19" si="9">IF(C6&gt;0,+D6/C6,"")</f>
        <v>0.56410256410256421</v>
      </c>
      <c r="I6" s="149">
        <f>(BSP!I6+BSL!I6+DSP!I6+RSP!I6+ISP!I6)</f>
        <v>0</v>
      </c>
      <c r="J6" s="150"/>
      <c r="K6" s="151" t="str">
        <f>BSP!K6</f>
        <v>APP 21-22</v>
      </c>
      <c r="L6" s="146">
        <f t="array" ref="L6:P6">BSP!L6:P6</f>
        <v>61.5</v>
      </c>
      <c r="M6" s="147">
        <v>4.8</v>
      </c>
      <c r="N6" s="147">
        <v>3</v>
      </c>
      <c r="O6" s="147">
        <v>7</v>
      </c>
      <c r="P6" s="147">
        <v>40</v>
      </c>
      <c r="Q6" s="147">
        <f t="shared" ref="Q6:Q19" si="10">IF(M6&lt;&gt;"",+N6+M6,"")</f>
        <v>7.8</v>
      </c>
      <c r="R6" s="148">
        <f t="shared" ref="R6:R19" si="11">IF(M6&gt;0,+N6/M6,"")</f>
        <v>0.625</v>
      </c>
      <c r="S6" s="149">
        <f>(BSP!S6+BSL!S6+DSP!S6+RSP!S6+ISP!S6)</f>
        <v>0</v>
      </c>
      <c r="U6" s="151" t="str">
        <f>BSP!U6</f>
        <v>APP 21-22</v>
      </c>
      <c r="V6" s="146">
        <f t="array" ref="V6:Z6">BSP!V6:Z6</f>
        <v>62.5</v>
      </c>
      <c r="W6" s="147">
        <v>3</v>
      </c>
      <c r="X6" s="147">
        <v>2.2000000000000002</v>
      </c>
      <c r="Y6" s="147">
        <v>10</v>
      </c>
      <c r="Z6" s="147">
        <v>10</v>
      </c>
      <c r="AA6" s="147">
        <f t="shared" ref="AA6:AA19" si="12">IF(W6&lt;&gt;"",+X6+W6,"")</f>
        <v>5.2</v>
      </c>
      <c r="AB6" s="148">
        <f t="shared" ref="AB6:AB19" si="13">IF(W6&gt;0,+X6/W6,"")</f>
        <v>0.73333333333333339</v>
      </c>
      <c r="AC6" s="149">
        <f>(BSP!AC6+BSL!AC6+DSP!AC6+RSP!AC6+ISP!AC6)</f>
        <v>0</v>
      </c>
      <c r="AD6" s="153"/>
      <c r="AE6" s="151" t="str">
        <f>BSP!AE6</f>
        <v>APP 21-22</v>
      </c>
      <c r="AF6" s="147">
        <f t="array" ref="AF6:AJ6">BSP!AF6:AJ6</f>
        <v>62.1</v>
      </c>
      <c r="AG6" s="147">
        <v>3.5</v>
      </c>
      <c r="AH6" s="147">
        <v>2.5</v>
      </c>
      <c r="AI6" s="147">
        <v>7</v>
      </c>
      <c r="AJ6" s="147">
        <v>40</v>
      </c>
      <c r="AK6" s="147">
        <f t="shared" ref="AK6:AK19" si="14">IF(AG6&lt;&gt;"",+AH6+AG6,"")</f>
        <v>6</v>
      </c>
      <c r="AL6" s="154">
        <f t="shared" ref="AL6:AL19" si="15">IF(AG6&gt;0,+AH6/AG6,"")</f>
        <v>0.7142857142857143</v>
      </c>
      <c r="AM6" s="155">
        <f>(BSP!AM6+BSL!AM6+DSP!AM6+RSP!AM6+ISP!AM6)</f>
        <v>0</v>
      </c>
      <c r="AO6" s="151" t="str">
        <f t="shared" si="6"/>
        <v>APP 21-22</v>
      </c>
      <c r="AP6" s="146">
        <f t="array" ref="AP6:AT6">BSP!AP6:AT6</f>
        <v>62</v>
      </c>
      <c r="AQ6" s="147">
        <v>4.2</v>
      </c>
      <c r="AR6" s="147">
        <v>2.4</v>
      </c>
      <c r="AS6" s="147">
        <v>10</v>
      </c>
      <c r="AT6" s="147">
        <v>10</v>
      </c>
      <c r="AU6" s="147">
        <f t="shared" ref="AU6:AU19" si="16">IF(AQ6&lt;&gt;"",+AR6+AQ6,"")</f>
        <v>6.6</v>
      </c>
      <c r="AV6" s="148">
        <f t="shared" ref="AV6:AV19" si="17">IF(AQ6&gt;0,+AR6/AQ6,"")</f>
        <v>0.5714285714285714</v>
      </c>
      <c r="AW6" s="155">
        <f>(BSP!AW6+BSL!AW6+DSP!AW6+RSP!AW6+ISP!AW6)</f>
        <v>0</v>
      </c>
      <c r="AY6" s="156" t="str">
        <f t="shared" si="7"/>
        <v>APP 21-22</v>
      </c>
      <c r="AZ6" s="146">
        <f t="array" ref="AZ6:BD6">BSP!AZ6:BD6</f>
        <v>61</v>
      </c>
      <c r="BA6" s="147">
        <v>5</v>
      </c>
      <c r="BB6" s="147">
        <v>3</v>
      </c>
      <c r="BC6" s="147">
        <v>7</v>
      </c>
      <c r="BD6" s="147">
        <v>40</v>
      </c>
      <c r="BE6" s="147">
        <f t="shared" ref="BE6:BE19" si="18">IF(BA6&lt;&gt;"",+BB6+BA6,"")</f>
        <v>8</v>
      </c>
      <c r="BF6" s="148">
        <f t="shared" ref="BF6:BF19" si="19">IF(BA6&gt;0,+BB6/BA6,"")</f>
        <v>0.6</v>
      </c>
      <c r="BG6" s="157">
        <f>(BSP!BG6+BSL!BG6+DSP!BG6+RSP!BG6+ISP!BG6)</f>
        <v>0</v>
      </c>
      <c r="BI6" s="158"/>
      <c r="BK6" s="159" t="str">
        <f t="shared" si="5"/>
        <v>APP 21-22</v>
      </c>
      <c r="BL6" s="160">
        <f t="shared" si="5"/>
        <v>62.3</v>
      </c>
      <c r="BM6" s="161">
        <f t="shared" si="5"/>
        <v>3.9</v>
      </c>
      <c r="BN6" s="161">
        <f t="shared" si="5"/>
        <v>2.2000000000000002</v>
      </c>
      <c r="BO6" s="161">
        <f t="shared" si="5"/>
        <v>10</v>
      </c>
      <c r="BP6" s="161">
        <f t="shared" si="5"/>
        <v>10</v>
      </c>
      <c r="BQ6" s="161">
        <f t="shared" si="5"/>
        <v>6.1</v>
      </c>
      <c r="BR6" s="162">
        <f t="shared" si="5"/>
        <v>0.56410256410256421</v>
      </c>
      <c r="BS6" s="163">
        <f t="shared" si="5"/>
        <v>0</v>
      </c>
      <c r="BT6" s="164">
        <f t="shared" si="0"/>
        <v>0</v>
      </c>
      <c r="BU6" s="159" t="str">
        <f t="shared" si="0"/>
        <v>APP 21-22</v>
      </c>
      <c r="BV6" s="160">
        <f t="shared" si="0"/>
        <v>61.5</v>
      </c>
      <c r="BW6" s="161">
        <f t="shared" si="0"/>
        <v>4.8</v>
      </c>
      <c r="BX6" s="161">
        <f t="shared" si="0"/>
        <v>3</v>
      </c>
      <c r="BY6" s="161">
        <f t="shared" si="0"/>
        <v>7</v>
      </c>
      <c r="BZ6" s="161">
        <f t="shared" si="0"/>
        <v>40</v>
      </c>
      <c r="CA6" s="161">
        <f t="shared" si="0"/>
        <v>7.8</v>
      </c>
      <c r="CB6" s="162">
        <f t="shared" ref="CB6:CO47" si="20">R6</f>
        <v>0.625</v>
      </c>
      <c r="CC6" s="163">
        <f t="shared" si="20"/>
        <v>0</v>
      </c>
      <c r="CD6" s="152">
        <f t="shared" si="1"/>
        <v>0</v>
      </c>
      <c r="CE6" s="159" t="str">
        <f t="shared" si="1"/>
        <v>APP 21-22</v>
      </c>
      <c r="CF6" s="160">
        <f t="shared" si="1"/>
        <v>62.5</v>
      </c>
      <c r="CG6" s="161">
        <f t="shared" si="1"/>
        <v>3</v>
      </c>
      <c r="CH6" s="161">
        <f t="shared" si="1"/>
        <v>2.2000000000000002</v>
      </c>
      <c r="CI6" s="161">
        <f t="shared" si="1"/>
        <v>10</v>
      </c>
      <c r="CJ6" s="161">
        <f t="shared" si="1"/>
        <v>10</v>
      </c>
      <c r="CK6" s="161">
        <f t="shared" si="1"/>
        <v>5.2</v>
      </c>
      <c r="CL6" s="162">
        <f t="shared" si="1"/>
        <v>0.73333333333333339</v>
      </c>
      <c r="CM6" s="163">
        <f t="shared" si="1"/>
        <v>0</v>
      </c>
      <c r="CN6" s="165">
        <f t="shared" si="1"/>
        <v>0</v>
      </c>
      <c r="CO6" s="159" t="str">
        <f t="shared" si="1"/>
        <v>APP 21-22</v>
      </c>
      <c r="CP6" s="160">
        <f t="shared" si="1"/>
        <v>62.1</v>
      </c>
      <c r="CQ6" s="161">
        <f t="shared" si="1"/>
        <v>3.5</v>
      </c>
      <c r="CR6" s="161">
        <f t="shared" ref="CR6:CW22" si="21">AH6</f>
        <v>2.5</v>
      </c>
      <c r="CS6" s="161">
        <f t="shared" si="21"/>
        <v>7</v>
      </c>
      <c r="CT6" s="161">
        <f t="shared" si="21"/>
        <v>40</v>
      </c>
      <c r="CU6" s="161">
        <f t="shared" si="21"/>
        <v>6</v>
      </c>
      <c r="CV6" s="162">
        <f t="shared" si="21"/>
        <v>0.7142857142857143</v>
      </c>
      <c r="CW6" s="163">
        <f t="shared" si="21"/>
        <v>0</v>
      </c>
      <c r="CX6" s="165">
        <f t="shared" si="2"/>
        <v>0</v>
      </c>
      <c r="CY6" s="159" t="str">
        <f t="shared" si="3"/>
        <v>APP 21-22</v>
      </c>
      <c r="CZ6" s="160">
        <f t="shared" si="3"/>
        <v>62.3</v>
      </c>
      <c r="DA6" s="161">
        <f t="shared" si="3"/>
        <v>3</v>
      </c>
      <c r="DB6" s="161">
        <f t="shared" si="3"/>
        <v>2.95</v>
      </c>
      <c r="DC6" s="161">
        <f t="shared" si="3"/>
        <v>10</v>
      </c>
      <c r="DD6" s="161">
        <f t="shared" si="3"/>
        <v>10</v>
      </c>
      <c r="DE6" s="161">
        <f t="shared" si="3"/>
        <v>5.95</v>
      </c>
      <c r="DF6" s="162">
        <f t="shared" si="3"/>
        <v>0.98333333333333339</v>
      </c>
      <c r="DG6" s="163">
        <f t="shared" si="3"/>
        <v>0</v>
      </c>
      <c r="DH6" s="111">
        <f t="shared" si="3"/>
        <v>0</v>
      </c>
      <c r="DI6" s="159" t="str">
        <f t="shared" si="3"/>
        <v>APP 21-22</v>
      </c>
      <c r="DJ6" s="160">
        <f t="shared" si="3"/>
        <v>61.3</v>
      </c>
      <c r="DK6" s="161">
        <f t="shared" si="3"/>
        <v>3.6</v>
      </c>
      <c r="DL6" s="161">
        <f t="shared" si="3"/>
        <v>3.6</v>
      </c>
      <c r="DM6" s="161">
        <f t="shared" si="3"/>
        <v>7</v>
      </c>
      <c r="DN6" s="161">
        <f t="shared" si="3"/>
        <v>40</v>
      </c>
      <c r="DO6" s="161">
        <f t="shared" ref="DO6:DQ19" si="22">AK27</f>
        <v>7.2</v>
      </c>
      <c r="DP6" s="162">
        <f t="shared" si="22"/>
        <v>1</v>
      </c>
      <c r="DQ6" s="163">
        <f t="shared" si="22"/>
        <v>0</v>
      </c>
    </row>
    <row r="7" spans="1:121" ht="19" customHeight="1" x14ac:dyDescent="0.35">
      <c r="A7" s="166">
        <f>BSP!A7</f>
        <v>44287</v>
      </c>
      <c r="B7" s="167">
        <f>IFERROR((BSP!B7*BSP!I7+BSL!B7*BSL!I7+DSP!B7*DSP!I7+RSP!B7*RSP!I7+ISP!B7*ISP!I7)/(BSP!I7+BSL!I7+DSP!I7+RSP!I7+ISP!I7),)</f>
        <v>62.16</v>
      </c>
      <c r="C7" s="168">
        <f>IFERROR((BSP!C7*BSP!I7+BSL!C7*BSL!I7+DSP!C7*DSP!I7+RSP!C7*RSP!I7+ISP!C7*ISP!I7)/(BSP!I7+BSL!I7+DSP!I7+RSP!I7+ISP!I7),)</f>
        <v>3.75</v>
      </c>
      <c r="D7" s="168">
        <f>IFERROR((BSP!D7*BSP!I7+BSL!D7*BSL!I7+DSP!D7*DSP!I7+RSP!D7*RSP!I7+ISP!D7*ISP!I7)/(BSP!I7+BSL!I7+DSP!I7+RSP!I7+ISP!I7),)</f>
        <v>2.4300000000000002</v>
      </c>
      <c r="E7" s="168">
        <f>IFERROR((BSP!E7*BSP!I7+BSL!E7*BSL!I7+DSP!E7*DSP!I7+RSP!E7*RSP!I7+ISP!E7*ISP!I7)/(IF(BSP!F7&gt;0,BSP!I7,0)+IF(BSL!F7&gt;0,BSL!I7,0)+IF(DSP!F7&gt;0,DSP!I7,0)+IF(RSP!F7&gt;0,RSP!I7,0)+IF(ISP!F7&gt;0,ISP!I7,0)),)</f>
        <v>14.51</v>
      </c>
      <c r="F7" s="168">
        <f>IFERROR((BSP!F7*BSP!I7+BSL!F7*BSL!I7+DSP!F7*DSP!I7+RSP!F7*RSP!I7+ISP!F7*ISP!I7)/(IF(BSP!F7&gt;0,BSP!I7,0)+IF(BSL!F7&gt;0,BSL!I7,0)+IF(DSP!F7&gt;0,DSP!I7,0)+IF(RSP!F7&gt;0,RSP!I7,0)+IF(ISP!F7&gt;0,ISP!I7,0)),)</f>
        <v>29.19</v>
      </c>
      <c r="G7" s="168">
        <f t="shared" si="8"/>
        <v>6.18</v>
      </c>
      <c r="H7" s="169">
        <f t="shared" si="9"/>
        <v>0.64800000000000002</v>
      </c>
      <c r="I7" s="170">
        <f>(BSP!I7+BSL!I7+DSP!I7+RSP!I7+ISP!I7)</f>
        <v>56045</v>
      </c>
      <c r="J7" s="119"/>
      <c r="K7" s="166">
        <f>BSP!K7</f>
        <v>44287</v>
      </c>
      <c r="L7" s="167">
        <f>IFERROR((BSP!L7*BSP!S7+BSL!L7*BSL!S7+DSP!L7*DSP!S7+RSP!L7*RSP!S7+ISP!L7*ISP!S7)/(BSP!S7+BSL!S7+DSP!S7+RSP!S7+ISP!S7),)</f>
        <v>60.960765738293695</v>
      </c>
      <c r="M7" s="168">
        <f>IFERROR((BSP!M7*BSP!S7+BSL!M7*BSL!S7+DSP!M7*DSP!S7+RSP!M7*RSP!S7+ISP!M7*ISP!S7)/(BSP!S7+BSL!S7+DSP!S7+RSP!S7+ISP!S7),)</f>
        <v>4.6900146540624785</v>
      </c>
      <c r="N7" s="168">
        <f>IFERROR((BSP!N7*BSP!S7+BSL!N7*BSL!S7+DSP!N7*DSP!S7+RSP!N7*RSP!S7+ISP!N7*ISP!S7)/(BSP!S7+BSL!S7+DSP!S7+RSP!S7+ISP!S7),)</f>
        <v>3.0960882547265709</v>
      </c>
      <c r="O7" s="168">
        <f>IFERROR((BSP!O7*BSP!S7+BSL!O7*BSL!S7+DSP!O7*DSP!S7+RSP!O7*RSP!S7+ISP!O7*ISP!S7)/(IF(BSP!P7&gt;0,BSP!S7,0)+IF(BSL!P7&gt;0,BSL!S7,0)+IF(DSP!P7&gt;0,DSP!S7,0)+IF(RSP!P7&gt;0,RSP!S7,0)+IF(ISP!P7&gt;0,ISP!S7,0)),)</f>
        <v>7.8006510046079827</v>
      </c>
      <c r="P7" s="168">
        <f>IFERROR((BSP!P7*BSP!S7+BSL!P7*BSL!S7+DSP!P7*DSP!S7+RSP!P7*RSP!S7+ISP!P7*ISP!S7)/(IF(BSP!P7&gt;0,BSP!S7,0)+IF(BSL!P7&gt;0,BSL!S7,0)+IF(DSP!P7&gt;0,DSP!S7,0)+IF(RSP!P7&gt;0,RSP!S7,0)+IF(ISP!P7&gt;0,ISP!S7,0)),)</f>
        <v>47.469633987260281</v>
      </c>
      <c r="Q7" s="168">
        <f t="shared" si="10"/>
        <v>7.786102908789049</v>
      </c>
      <c r="R7" s="169">
        <f t="shared" si="11"/>
        <v>0.66014468676441074</v>
      </c>
      <c r="S7" s="170">
        <f>(BSP!S7+BSL!S7+DSP!S7+RSP!S7+ISP!S7)</f>
        <v>236112</v>
      </c>
      <c r="U7" s="166">
        <f>BSP!U7</f>
        <v>44287</v>
      </c>
      <c r="V7" s="167">
        <f>IFERROR((BSP!V7*BSP!AC7+BSL!V7*BSL!AC7+DSP!V7*DSP!AC7+RSP!V7*RSP!AC7+ISP!V7*ISP!AC7)/(BSP!AC7+BSL!AC7+DSP!AC7+RSP!AC7+ISP!AC7),)</f>
        <v>61.462783485218409</v>
      </c>
      <c r="W7" s="168">
        <f>IFERROR((BSP!W7*BSP!AC7+BSL!W7*BSL!AC7+DSP!W7*DSP!AC7+RSP!W7*RSP!AC7+ISP!W7*ISP!AC7)/(BSP!AC7+BSL!AC7+DSP!AC7+RSP!AC7+ISP!AC7),)</f>
        <v>3.7528465759385048</v>
      </c>
      <c r="X7" s="168">
        <f>IFERROR((BSP!X7*BSP!AC7+BSL!X7*BSL!AC7+DSP!X7*DSP!AC7+RSP!X7*RSP!AC7+ISP!X7*ISP!AC7)/(BSP!AC7+BSL!AC7+DSP!AC7+RSP!AC7+ISP!AC7),)</f>
        <v>3.0481003488924876</v>
      </c>
      <c r="Y7" s="168">
        <f>IFERROR((BSP!Y7*BSP!AC7+BSL!Y7*BSL!AC7+DSP!Y7*DSP!AC7+RSP!Y7*RSP!AC7+ISP!Y7*ISP!AC7)/(IF(BSP!Z7&gt;0,BSP!AC7,0)+IF(BSL!Z7&gt;0,BSL!AC7,0)+IF(DSP!Z7&gt;0,DSP!AC7,0)+IF(RSP!Z7&gt;0,RSP!AC7,0)+IF(ISP!Z7&gt;0,ISP!AC7,0)),)</f>
        <v>28.208171658327089</v>
      </c>
      <c r="Z7" s="168">
        <f>IFERROR((BSP!Z7*BSP!AC7+BSL!Z7*BSL!AC7+DSP!Z7*DSP!AC7+RSP!Z7*RSP!AC7+ISP!Z7*ISP!AC7)/(IF(BSP!Z7&gt;0,BSP!AC7,0)+IF(BSL!Z7&gt;0,BSL!AC7,0)+IF(DSP!Z7&gt;0,DSP!AC7,0)+IF(RSP!Z7&gt;0,RSP!AC7,0)+IF(ISP!Z7&gt;0,ISP!AC7,0)),)</f>
        <v>16.817139887355268</v>
      </c>
      <c r="AA7" s="168">
        <f t="shared" si="12"/>
        <v>6.8009469248309919</v>
      </c>
      <c r="AB7" s="169">
        <f t="shared" si="13"/>
        <v>0.81221022155168288</v>
      </c>
      <c r="AC7" s="170">
        <f>(BSP!AC7+BSL!AC7+DSP!AC7+RSP!AC7+ISP!AC7)</f>
        <v>124107</v>
      </c>
      <c r="AD7" s="171"/>
      <c r="AE7" s="172">
        <f>BSP!AE7</f>
        <v>44287</v>
      </c>
      <c r="AF7" s="167">
        <f>IFERROR((BSP!AF7*BSP!AM7+BSL!AF7*BSL!AM7+DSP!AF7*DSP!AM7+RSP!AF7*RSP!AM7+ISP!AF7*ISP!AM7)/(BSP!AM7+BSL!AM7+DSP!AM7+RSP!AM7+ISP!AM7),)</f>
        <v>61.14016251364842</v>
      </c>
      <c r="AG7" s="168">
        <f>IFERROR((BSP!AG7*BSP!AM7+BSL!AG7*BSL!AM7+DSP!AG7*DSP!AM7+RSP!AG7*RSP!AM7+ISP!AG7*ISP!AM7)/(BSP!AM7+BSL!AM7+DSP!AM7+RSP!AM7+ISP!AM7),)</f>
        <v>4.1243891846045866</v>
      </c>
      <c r="AH7" s="168">
        <f>IFERROR((BSP!AH7*BSP!AM7+BSL!AH7*BSL!AM7+DSP!AH7*DSP!AM7+RSP!AH7*RSP!AM7+ISP!AH7*ISP!AM7)/(BSP!AM7+BSL!AM7+DSP!AM7+RSP!AM7+ISP!AM7),)</f>
        <v>3.3251646583996259</v>
      </c>
      <c r="AI7" s="168">
        <f>IFERROR((BSP!AI7*BSP!AM7+BSL!AI7*BSL!AM7+DSP!AI7*DSP!AM7+RSP!AI7*RSP!AM7+ISP!AI7*ISP!AM7)/(IF(BSP!AJ7&gt;0,BSP!AM7,0)+IF(BSL!AJ7&gt;0,BSL!AM7,0)+IF(DSP!AJ7&gt;0,DSP!AM7,0)+IF(RSP!AJ7&gt;0,RSP!AM7,0)+IF(ISP!AJ7&gt;0,ISP!AM7,0)),)</f>
        <v>7.2894388063484632</v>
      </c>
      <c r="AJ7" s="168">
        <f>IFERROR((BSP!AJ7*BSP!AM7+BSL!AJ7*BSL!AM7+DSP!AJ7*DSP!AM7+RSP!AJ7*RSP!AM7+ISP!AJ7*ISP!AM7)/(IF(BSP!AJ7&gt;0,BSP!AM7,0)+IF(BSL!AJ7&gt;0,BSL!AM7,0)+IF(DSP!AJ7&gt;0,DSP!AM7,0)+IF(RSP!AJ7&gt;0,RSP!AM7,0)+IF(ISP!AJ7&gt;0,ISP!AM7,0)),)</f>
        <v>38.328710322102644</v>
      </c>
      <c r="AK7" s="168">
        <f t="shared" si="14"/>
        <v>7.4495538430042121</v>
      </c>
      <c r="AL7" s="169">
        <f t="shared" si="15"/>
        <v>0.80621990543756505</v>
      </c>
      <c r="AM7" s="170">
        <f>(BSP!AM7+BSL!AM7+DSP!AM7+RSP!AM7+ISP!AM7)</f>
        <v>205152</v>
      </c>
      <c r="AO7" s="172">
        <f t="shared" si="6"/>
        <v>44287</v>
      </c>
      <c r="AP7" s="167">
        <f>IFERROR((BSP!AP7*BSP!AW7+BSL!AP7*BSL!AW7+DSP!AP7*DSP!AW7+RSP!AP7*RSP!AW7+ISP!AP7*ISP!AW7)/(BSP!AW7+BSL!AW7+DSP!AW7+RSP!AW7+ISP!AW7),)</f>
        <v>61.30623317029557</v>
      </c>
      <c r="AQ7" s="168">
        <f>IFERROR((BSP!AQ7*BSP!AW7+BSL!AQ7*BSL!AW7+DSP!AQ7*DSP!AW7+RSP!AQ7*RSP!AW7+ISP!AQ7*ISP!AW7)/(BSP!AW7+BSL!AW7+DSP!AW7+RSP!AW7+ISP!AW7),)</f>
        <v>5.1683255758914486</v>
      </c>
      <c r="AR7" s="168">
        <f>IFERROR((BSP!AR7*BSP!AW7+BSL!AR7*BSL!AW7+DSP!AR7*DSP!AW7+RSP!AR7*RSP!AW7+ISP!AR7*ISP!AW7)/(BSP!AW7+BSL!AW7+DSP!AW7+RSP!AW7+ISP!AW7),)</f>
        <v>2.3283074313663614</v>
      </c>
      <c r="AS7" s="168">
        <f>IFERROR((BSP!AS7*BSP!AW7+BSL!AS7*BSL!AW7+DSP!AS7*DSP!AW7+RSP!AS7*RSP!AW7+ISP!AS7*ISP!AW7)/(IF(BSP!AT7&gt;0,BSP!AW7,0)+IF(BSL!AT7&gt;0,BSL!AW7,0)+IF(DSP!AT7&gt;0,DSP!AW7,0)+IF(RSP!AT7&gt;0,RSP!AW7,0)+IF(ISP!AT7&gt;0,ISP!AW7,0)),)</f>
        <v>19.125171321131798</v>
      </c>
      <c r="AT7" s="168">
        <f>IFERROR((BSP!AT7*BSP!AW7+BSL!AT7*BSL!AW7+DSP!AT7*DSP!AW7+RSP!AT7*RSP!AW7+ISP!AT7*ISP!AW7)/(IF(BSP!AT7&gt;0,BSP!AW7,0)+IF(BSL!AT7&gt;0,BSL!AW7,0)+IF(DSP!AT7&gt;0,DSP!AW7,0)+IF(RSP!AT7&gt;0,RSP!AW7,0)+IF(ISP!AT7&gt;0,ISP!AW7,0)),)</f>
        <v>22.68415207215736</v>
      </c>
      <c r="AU7" s="168">
        <f t="shared" si="16"/>
        <v>7.4966330072578096</v>
      </c>
      <c r="AV7" s="169">
        <f t="shared" si="17"/>
        <v>0.45049550326843868</v>
      </c>
      <c r="AW7" s="170">
        <f>(BSP!AW7+BSL!AW7+DSP!AW7+RSP!AW7+ISP!AW7)</f>
        <v>76056</v>
      </c>
      <c r="AY7" s="172">
        <f t="shared" si="7"/>
        <v>44287</v>
      </c>
      <c r="AZ7" s="167">
        <f>IFERROR((BSP!AZ7*BSP!BG7+BSL!AZ7*BSL!BG7+DSP!AZ7*DSP!BG7+RSP!AZ7*RSP!BG7+ISP!AZ7*ISP!BG7)/(BSP!BG7+BSL!BG7+DSP!BG7+RSP!BG7+ISP!BG7),)</f>
        <v>60.320070437743993</v>
      </c>
      <c r="BA7" s="168">
        <f>IFERROR((BSP!BA7*BSP!BG7+BSL!BA7*BSL!BG7+DSP!BA7*DSP!BG7+RSP!BA7*RSP!BG7+ISP!BA7*ISP!BG7)/(BSP!BG7+BSL!BG7+DSP!BG7+RSP!BG7+ISP!BG7),)</f>
        <v>6.4326298695904978</v>
      </c>
      <c r="BB7" s="168">
        <f>IFERROR((BSP!BB7*BSP!BG7+BSL!BB7*BSL!BG7+DSP!BB7*DSP!BG7+RSP!BB7*RSP!BG7+ISP!BB7*ISP!BG7)/(BSP!BG7+BSL!BG7+DSP!BG7+RSP!BG7+ISP!BG7),)</f>
        <v>2.5773525209735029</v>
      </c>
      <c r="BC7" s="168">
        <f>IFERROR((BSP!BC7*BSP!BG7+BSL!BC7*BSL!BG7+DSP!BC7*DSP!BG7+RSP!BC7*RSP!BG7+ISP!BC7*ISP!BG7)/(IF(BSP!BD7&gt;0,BSP!BG7,0)+IF(BSL!BD7&gt;0,BSL!BG7,0)+IF(DSP!BD7&gt;0,DSP!BG7,0)+IF(RSP!BD7&gt;0,RSP!BG7,0)+IF(ISP!BD7&gt;0,ISP!BG7,0)),)</f>
        <v>6.6120927817925077</v>
      </c>
      <c r="BD7" s="168">
        <f>IFERROR((BSP!BD7*BSP!BG7+BSL!BD7*BSL!BG7+DSP!BD7*DSP!BG7+RSP!BD7*RSP!BG7+ISP!BD7*ISP!BG7)/(IF(BSP!BD7&gt;0,BSP!BG7,0)+IF(BSL!BD7&gt;0,BSL!BG7,0)+IF(DSP!BD7&gt;0,DSP!BG7,0)+IF(RSP!BD7&gt;0,RSP!BG7,0)+IF(ISP!BD7&gt;0,ISP!BG7,0)),)</f>
        <v>42.155435833540992</v>
      </c>
      <c r="BE7" s="168">
        <f t="shared" si="18"/>
        <v>9.0099823905640015</v>
      </c>
      <c r="BF7" s="169">
        <f t="shared" si="19"/>
        <v>0.40066855597547035</v>
      </c>
      <c r="BG7" s="170">
        <f>(BSP!BG7+BSL!BG7+DSP!BG7+RSP!BG7+ISP!BG7)</f>
        <v>240780</v>
      </c>
      <c r="BK7" s="173">
        <f t="shared" si="5"/>
        <v>44287</v>
      </c>
      <c r="BL7" s="174">
        <f t="shared" si="5"/>
        <v>62.16</v>
      </c>
      <c r="BM7" s="175">
        <f t="shared" si="5"/>
        <v>3.75</v>
      </c>
      <c r="BN7" s="175">
        <f t="shared" si="5"/>
        <v>2.4300000000000002</v>
      </c>
      <c r="BO7" s="175">
        <f t="shared" si="5"/>
        <v>14.51</v>
      </c>
      <c r="BP7" s="175">
        <f t="shared" si="5"/>
        <v>29.19</v>
      </c>
      <c r="BQ7" s="175">
        <f t="shared" si="5"/>
        <v>6.18</v>
      </c>
      <c r="BR7" s="176">
        <f t="shared" si="5"/>
        <v>0.64800000000000002</v>
      </c>
      <c r="BS7" s="177">
        <f t="shared" si="5"/>
        <v>56045</v>
      </c>
      <c r="BT7" s="117">
        <f t="shared" si="0"/>
        <v>0</v>
      </c>
      <c r="BU7" s="173">
        <f t="shared" si="0"/>
        <v>44287</v>
      </c>
      <c r="BV7" s="174">
        <f t="shared" si="0"/>
        <v>60.960765738293695</v>
      </c>
      <c r="BW7" s="175">
        <f t="shared" si="0"/>
        <v>4.6900146540624785</v>
      </c>
      <c r="BX7" s="175">
        <f t="shared" si="0"/>
        <v>3.0960882547265709</v>
      </c>
      <c r="BY7" s="175">
        <f t="shared" si="0"/>
        <v>7.8006510046079827</v>
      </c>
      <c r="BZ7" s="175">
        <f t="shared" si="0"/>
        <v>47.469633987260281</v>
      </c>
      <c r="CA7" s="175">
        <f t="shared" si="0"/>
        <v>7.786102908789049</v>
      </c>
      <c r="CB7" s="176">
        <f t="shared" si="20"/>
        <v>0.66014468676441074</v>
      </c>
      <c r="CC7" s="177">
        <f t="shared" si="20"/>
        <v>236112</v>
      </c>
      <c r="CD7" s="104">
        <f t="shared" si="1"/>
        <v>0</v>
      </c>
      <c r="CE7" s="173">
        <f t="shared" si="1"/>
        <v>44287</v>
      </c>
      <c r="CF7" s="174">
        <f t="shared" si="1"/>
        <v>61.462783485218409</v>
      </c>
      <c r="CG7" s="175">
        <f t="shared" si="1"/>
        <v>3.7528465759385048</v>
      </c>
      <c r="CH7" s="175">
        <f t="shared" si="1"/>
        <v>3.0481003488924876</v>
      </c>
      <c r="CI7" s="175">
        <f t="shared" si="1"/>
        <v>28.208171658327089</v>
      </c>
      <c r="CJ7" s="175">
        <f t="shared" si="1"/>
        <v>16.817139887355268</v>
      </c>
      <c r="CK7" s="175">
        <f t="shared" si="1"/>
        <v>6.8009469248309919</v>
      </c>
      <c r="CL7" s="176">
        <f t="shared" si="1"/>
        <v>0.81221022155168288</v>
      </c>
      <c r="CM7" s="177">
        <f t="shared" si="1"/>
        <v>124107</v>
      </c>
      <c r="CN7" s="111">
        <f t="shared" si="1"/>
        <v>0</v>
      </c>
      <c r="CO7" s="173">
        <f t="shared" si="1"/>
        <v>44287</v>
      </c>
      <c r="CP7" s="174">
        <f t="shared" si="1"/>
        <v>61.14016251364842</v>
      </c>
      <c r="CQ7" s="175">
        <f t="shared" si="1"/>
        <v>4.1243891846045866</v>
      </c>
      <c r="CR7" s="175">
        <f t="shared" si="21"/>
        <v>3.3251646583996259</v>
      </c>
      <c r="CS7" s="175">
        <f t="shared" si="21"/>
        <v>7.2894388063484632</v>
      </c>
      <c r="CT7" s="175">
        <f t="shared" si="21"/>
        <v>38.328710322102644</v>
      </c>
      <c r="CU7" s="175">
        <f t="shared" si="21"/>
        <v>7.4495538430042121</v>
      </c>
      <c r="CV7" s="176">
        <f t="shared" si="21"/>
        <v>0.80621990543756505</v>
      </c>
      <c r="CW7" s="177">
        <f t="shared" si="21"/>
        <v>205152</v>
      </c>
      <c r="CX7" s="111">
        <f t="shared" si="2"/>
        <v>0</v>
      </c>
      <c r="CY7" s="173">
        <f t="shared" si="3"/>
        <v>44287</v>
      </c>
      <c r="CZ7" s="174">
        <f t="shared" si="3"/>
        <v>62.028460249236346</v>
      </c>
      <c r="DA7" s="175">
        <f t="shared" si="3"/>
        <v>3.4108146135755408</v>
      </c>
      <c r="DB7" s="175">
        <f t="shared" si="3"/>
        <v>3.04217541156435</v>
      </c>
      <c r="DC7" s="175">
        <f t="shared" si="3"/>
        <v>20.683230476036005</v>
      </c>
      <c r="DD7" s="175">
        <f t="shared" si="3"/>
        <v>17.505622144730083</v>
      </c>
      <c r="DE7" s="175">
        <f t="shared" si="3"/>
        <v>6.4529900251398908</v>
      </c>
      <c r="DF7" s="176">
        <f t="shared" si="3"/>
        <v>0.89192048124106393</v>
      </c>
      <c r="DG7" s="177">
        <f t="shared" si="3"/>
        <v>73986</v>
      </c>
      <c r="DH7" s="111">
        <f t="shared" si="3"/>
        <v>0</v>
      </c>
      <c r="DI7" s="173">
        <f t="shared" si="3"/>
        <v>44287</v>
      </c>
      <c r="DJ7" s="174">
        <f t="shared" si="3"/>
        <v>61.909999999999989</v>
      </c>
      <c r="DK7" s="175">
        <f t="shared" si="3"/>
        <v>3.43</v>
      </c>
      <c r="DL7" s="175">
        <f t="shared" si="3"/>
        <v>2.94</v>
      </c>
      <c r="DM7" s="175">
        <f t="shared" si="3"/>
        <v>6.21</v>
      </c>
      <c r="DN7" s="175">
        <f t="shared" si="3"/>
        <v>38.71</v>
      </c>
      <c r="DO7" s="175">
        <f t="shared" si="22"/>
        <v>6.37</v>
      </c>
      <c r="DP7" s="176">
        <f t="shared" si="22"/>
        <v>0.8571428571428571</v>
      </c>
      <c r="DQ7" s="177">
        <f t="shared" si="22"/>
        <v>68383</v>
      </c>
    </row>
    <row r="8" spans="1:121" ht="19" customHeight="1" x14ac:dyDescent="0.35">
      <c r="A8" s="166">
        <f>BSP!A8</f>
        <v>44317</v>
      </c>
      <c r="B8" s="167">
        <f>IFERROR((BSP!B8*BSP!I8+BSL!B8*BSL!I8+DSP!B8*DSP!I8+RSP!B8*RSP!I8+ISP!B8*ISP!I8)/(BSP!I8+BSL!I8+DSP!I8+RSP!I8+ISP!I8),)</f>
        <v>62.08539513593999</v>
      </c>
      <c r="C8" s="168">
        <f>IFERROR((BSP!C8*BSP!I8+BSL!C8*BSL!I8+DSP!C8*DSP!I8+RSP!C8*RSP!I8+ISP!C8*ISP!I8)/(BSP!I8+BSL!I8+DSP!I8+RSP!I8+ISP!I8),)</f>
        <v>3.8286121068401995</v>
      </c>
      <c r="D8" s="168">
        <f>IFERROR((BSP!D8*BSP!I8+BSL!D8*BSL!I8+DSP!D8*DSP!I8+RSP!D8*RSP!I8+ISP!D8*ISP!I8)/(BSP!I8+BSL!I8+DSP!I8+RSP!I8+ISP!I8),)</f>
        <v>2.5120505891652423</v>
      </c>
      <c r="E8" s="168">
        <f>IFERROR((BSP!E8*BSP!I8+BSL!E8*BSL!I8+DSP!E8*DSP!I8+RSP!E8*RSP!I8+ISP!E8*ISP!I8)/(IF(BSP!F8&gt;0,BSP!I8,0)+IF(BSL!F8&gt;0,BSL!I8,0)+IF(DSP!F8&gt;0,DSP!I8,0)+IF(RSP!F8&gt;0,RSP!I8,0)+IF(ISP!F8&gt;0,ISP!I8,0)),)</f>
        <v>13.178609349436572</v>
      </c>
      <c r="F8" s="168">
        <f>IFERROR((BSP!F8*BSP!I8+BSL!F8*BSL!I8+DSP!F8*DSP!I8+RSP!F8*RSP!I8+ISP!F8*ISP!I8)/(IF(BSP!F8&gt;0,BSP!I8,0)+IF(BSL!F8&gt;0,BSL!I8,0)+IF(DSP!F8&gt;0,DSP!I8,0)+IF(RSP!F8&gt;0,RSP!I8,0)+IF(ISP!F8&gt;0,ISP!I8,0)),)</f>
        <v>24.405034283718454</v>
      </c>
      <c r="G8" s="168">
        <f t="shared" si="8"/>
        <v>6.3406626960054417</v>
      </c>
      <c r="H8" s="169">
        <f t="shared" si="9"/>
        <v>0.65612564528989814</v>
      </c>
      <c r="I8" s="170">
        <f>(BSP!I8+BSL!I8+DSP!I8+RSP!I8+ISP!I8)</f>
        <v>54399</v>
      </c>
      <c r="J8" s="119"/>
      <c r="K8" s="166">
        <f>BSP!K8</f>
        <v>44317</v>
      </c>
      <c r="L8" s="167">
        <f>IFERROR((BSP!L8*BSP!S8+BSL!L8*BSL!S8+DSP!L8*DSP!S8+RSP!L8*RSP!S8+ISP!L8*ISP!S8)/(BSP!S8+BSL!S8+DSP!S8+RSP!S8+ISP!S8),)</f>
        <v>61.727431171321427</v>
      </c>
      <c r="M8" s="168">
        <f>IFERROR((BSP!M8*BSP!S8+BSL!M8*BSL!S8+DSP!M8*DSP!S8+RSP!M8*RSP!S8+ISP!M8*ISP!S8)/(BSP!S8+BSL!S8+DSP!S8+RSP!S8+ISP!S8),)</f>
        <v>4.4096162726710579</v>
      </c>
      <c r="N8" s="168">
        <f>IFERROR((BSP!N8*BSP!S8+BSL!N8*BSL!S8+DSP!N8*DSP!S8+RSP!N8*RSP!S8+ISP!N8*ISP!S8)/(BSP!S8+BSL!S8+DSP!S8+RSP!S8+ISP!S8),)</f>
        <v>2.6259682534279607</v>
      </c>
      <c r="O8" s="168">
        <f>IFERROR((BSP!O8*BSP!S8+BSL!O8*BSL!S8+DSP!O8*DSP!S8+RSP!O8*RSP!S8+ISP!O8*ISP!S8)/(IF(BSP!P8&gt;0,BSP!S8,0)+IF(BSL!P8&gt;0,BSL!S8,0)+IF(DSP!P8&gt;0,DSP!S8,0)+IF(RSP!P8&gt;0,RSP!S8,0)+IF(ISP!P8&gt;0,ISP!S8,0)),)</f>
        <v>6.6332418832366065</v>
      </c>
      <c r="P8" s="168">
        <f>IFERROR((BSP!P8*BSP!S8+BSL!P8*BSL!S8+DSP!P8*DSP!S8+RSP!P8*RSP!S8+ISP!P8*ISP!S8)/(IF(BSP!P8&gt;0,BSP!S8,0)+IF(BSL!P8&gt;0,BSL!S8,0)+IF(DSP!P8&gt;0,DSP!S8,0)+IF(RSP!P8&gt;0,RSP!S8,0)+IF(ISP!P8&gt;0,ISP!S8,0)),)</f>
        <v>44.361900482779362</v>
      </c>
      <c r="Q8" s="168">
        <f t="shared" si="10"/>
        <v>7.0355845260990186</v>
      </c>
      <c r="R8" s="169">
        <f t="shared" si="11"/>
        <v>0.59550947090398876</v>
      </c>
      <c r="S8" s="170">
        <f>(BSP!S8+BSL!S8+DSP!S8+RSP!S8+ISP!S8)</f>
        <v>176271</v>
      </c>
      <c r="U8" s="166">
        <f>BSP!U8</f>
        <v>44317</v>
      </c>
      <c r="V8" s="167">
        <f>IFERROR((BSP!V8*BSP!AC8+BSL!V8*BSL!AC8+DSP!V8*DSP!AC8+RSP!V8*RSP!AC8+ISP!V8*ISP!AC8)/(BSP!AC8+BSL!AC8+DSP!AC8+RSP!AC8+ISP!AC8),)</f>
        <v>62.393721953943697</v>
      </c>
      <c r="W8" s="168">
        <f>IFERROR((BSP!W8*BSP!AC8+BSL!W8*BSL!AC8+DSP!W8*DSP!AC8+RSP!W8*RSP!AC8+ISP!W8*ISP!AC8)/(BSP!AC8+BSL!AC8+DSP!AC8+RSP!AC8+ISP!AC8),)</f>
        <v>2.456587168621267</v>
      </c>
      <c r="X8" s="168">
        <f>IFERROR((BSP!X8*BSP!AC8+BSL!X8*BSL!AC8+DSP!X8*DSP!AC8+RSP!X8*RSP!AC8+ISP!X8*ISP!AC8)/(BSP!AC8+BSL!AC8+DSP!AC8+RSP!AC8+ISP!AC8),)</f>
        <v>2.3323688446503072</v>
      </c>
      <c r="Y8" s="168">
        <f>IFERROR((BSP!Y8*BSP!AC8+BSL!Y8*BSL!AC8+DSP!Y8*DSP!AC8+RSP!Y8*RSP!AC8+ISP!Y8*ISP!AC8)/(IF(BSP!Z8&gt;0,BSP!AC8,0)+IF(BSL!Z8&gt;0,BSL!AC8,0)+IF(DSP!Z8&gt;0,DSP!AC8,0)+IF(RSP!Z8&gt;0,RSP!AC8,0)+IF(ISP!Z8&gt;0,ISP!AC8,0)),)</f>
        <v>23.266591986684624</v>
      </c>
      <c r="Z8" s="168">
        <f>IFERROR((BSP!Z8*BSP!AC8+BSL!Z8*BSL!AC8+DSP!Z8*DSP!AC8+RSP!Z8*RSP!AC8+ISP!Z8*ISP!AC8)/(IF(BSP!Z8&gt;0,BSP!AC8,0)+IF(BSL!Z8&gt;0,BSL!AC8,0)+IF(DSP!Z8&gt;0,DSP!AC8,0)+IF(RSP!Z8&gt;0,RSP!AC8,0)+IF(ISP!Z8&gt;0,ISP!AC8,0)),)</f>
        <v>15.73753862663294</v>
      </c>
      <c r="AA8" s="168">
        <f t="shared" si="12"/>
        <v>4.7889560132715747</v>
      </c>
      <c r="AB8" s="169">
        <f t="shared" si="13"/>
        <v>0.94943459545924602</v>
      </c>
      <c r="AC8" s="170">
        <f>(BSP!AC8+BSL!AC8+DSP!AC8+RSP!AC8+ISP!AC8)</f>
        <v>182646</v>
      </c>
      <c r="AD8" s="171"/>
      <c r="AE8" s="172">
        <f>BSP!AE8</f>
        <v>44317</v>
      </c>
      <c r="AF8" s="167">
        <f>IFERROR((BSP!AF8*BSP!AM8+BSL!AF8*BSL!AM8+DSP!AF8*DSP!AM8+RSP!AF8*RSP!AM8+ISP!AF8*ISP!AM8)/(BSP!AM8+BSL!AM8+DSP!AM8+RSP!AM8+ISP!AM8),)</f>
        <v>62.003604871119485</v>
      </c>
      <c r="AG8" s="168">
        <f>IFERROR((BSP!AG8*BSP!AM8+BSL!AG8*BSL!AM8+DSP!AG8*DSP!AM8+RSP!AG8*RSP!AM8+ISP!AG8*ISP!AM8)/(BSP!AM8+BSL!AM8+DSP!AM8+RSP!AM8+ISP!AM8),)</f>
        <v>3.3991430570129415</v>
      </c>
      <c r="AH8" s="168">
        <f>IFERROR((BSP!AH8*BSP!AM8+BSL!AH8*BSL!AM8+DSP!AH8*DSP!AM8+RSP!AH8*RSP!AM8+ISP!AH8*ISP!AM8)/(BSP!AM8+BSL!AM8+DSP!AM8+RSP!AM8+ISP!AM8),)</f>
        <v>2.8023051802042955</v>
      </c>
      <c r="AI8" s="168">
        <f>IFERROR((BSP!AI8*BSP!AM8+BSL!AI8*BSL!AM8+DSP!AI8*DSP!AM8+RSP!AI8*RSP!AM8+ISP!AI8*ISP!AM8)/(IF(BSP!AJ8&gt;0,BSP!AM8,0)+IF(BSL!AJ8&gt;0,BSL!AM8,0)+IF(DSP!AJ8&gt;0,DSP!AM8,0)+IF(RSP!AJ8&gt;0,RSP!AM8,0)+IF(ISP!AJ8&gt;0,ISP!AM8,0)),)</f>
        <v>6.6904537764738645</v>
      </c>
      <c r="AJ8" s="168">
        <f>IFERROR((BSP!AJ8*BSP!AM8+BSL!AJ8*BSL!AM8+DSP!AJ8*DSP!AM8+RSP!AJ8*RSP!AM8+ISP!AJ8*ISP!AM8)/(IF(BSP!AJ8&gt;0,BSP!AM8,0)+IF(BSL!AJ8&gt;0,BSL!AM8,0)+IF(DSP!AJ8&gt;0,DSP!AM8,0)+IF(RSP!AJ8&gt;0,RSP!AM8,0)+IF(ISP!AJ8&gt;0,ISP!AM8,0)),)</f>
        <v>42.01146850975438</v>
      </c>
      <c r="AK8" s="168">
        <f t="shared" si="14"/>
        <v>6.201448237217237</v>
      </c>
      <c r="AL8" s="169">
        <f t="shared" si="15"/>
        <v>0.82441519324193191</v>
      </c>
      <c r="AM8" s="170">
        <f>(BSP!AM8+BSL!AM8+DSP!AM8+RSP!AM8+ISP!AM8)</f>
        <v>280182</v>
      </c>
      <c r="AO8" s="172">
        <f t="shared" si="6"/>
        <v>44317</v>
      </c>
      <c r="AP8" s="167">
        <f>IFERROR((BSP!AP8*BSP!AW8+BSL!AP8*BSL!AW8+DSP!AP8*DSP!AW8+RSP!AP8*RSP!AW8+ISP!AP8*ISP!AW8)/(BSP!AW8+BSL!AW8+DSP!AW8+RSP!AW8+ISP!AW8),)</f>
        <v>61.97</v>
      </c>
      <c r="AQ8" s="168">
        <f>IFERROR((BSP!AQ8*BSP!AW8+BSL!AQ8*BSL!AW8+DSP!AQ8*DSP!AW8+RSP!AQ8*RSP!AW8+ISP!AQ8*ISP!AW8)/(BSP!AW8+BSL!AW8+DSP!AW8+RSP!AW8+ISP!AW8),)</f>
        <v>3.93</v>
      </c>
      <c r="AR8" s="168">
        <f>IFERROR((BSP!AR8*BSP!AW8+BSL!AR8*BSL!AW8+DSP!AR8*DSP!AW8+RSP!AR8*RSP!AW8+ISP!AR8*ISP!AW8)/(BSP!AW8+BSL!AW8+DSP!AW8+RSP!AW8+ISP!AW8),)</f>
        <v>2.57</v>
      </c>
      <c r="AS8" s="168">
        <f>IFERROR((BSP!AS8*BSP!AW8+BSL!AS8*BSL!AW8+DSP!AS8*DSP!AW8+RSP!AS8*RSP!AW8+ISP!AS8*ISP!AW8)/(IF(BSP!AT8&gt;0,BSP!AW8,0)+IF(BSL!AT8&gt;0,BSL!AW8,0)+IF(DSP!AT8&gt;0,DSP!AW8,0)+IF(RSP!AT8&gt;0,RSP!AW8,0)+IF(ISP!AT8&gt;0,ISP!AW8,0)),)</f>
        <v>15.56</v>
      </c>
      <c r="AT8" s="168">
        <f>IFERROR((BSP!AT8*BSP!AW8+BSL!AT8*BSL!AW8+DSP!AT8*DSP!AW8+RSP!AT8*RSP!AW8+ISP!AT8*ISP!AW8)/(IF(BSP!AT8&gt;0,BSP!AW8,0)+IF(BSL!AT8&gt;0,BSL!AW8,0)+IF(DSP!AT8&gt;0,DSP!AW8,0)+IF(RSP!AT8&gt;0,RSP!AW8,0)+IF(ISP!AT8&gt;0,ISP!AW8,0)),)</f>
        <v>25.04</v>
      </c>
      <c r="AU8" s="168">
        <f t="shared" si="16"/>
        <v>6.5</v>
      </c>
      <c r="AV8" s="169">
        <f t="shared" si="17"/>
        <v>0.653944020356234</v>
      </c>
      <c r="AW8" s="170">
        <f>(BSP!AW8+BSL!AW8+DSP!AW8+RSP!AW8+ISP!AW8)</f>
        <v>59821</v>
      </c>
      <c r="AY8" s="172">
        <f t="shared" si="7"/>
        <v>44317</v>
      </c>
      <c r="AZ8" s="167">
        <f>IFERROR((BSP!AZ8*BSP!BG8+BSL!AZ8*BSL!BG8+DSP!AZ8*DSP!BG8+RSP!AZ8*RSP!BG8+ISP!AZ8*ISP!BG8)/(BSP!BG8+BSL!BG8+DSP!BG8+RSP!BG8+ISP!BG8),)</f>
        <v>60.514247062875512</v>
      </c>
      <c r="BA8" s="168">
        <f>IFERROR((BSP!BA8*BSP!BG8+BSL!BA8*BSL!BG8+DSP!BA8*DSP!BG8+RSP!BA8*RSP!BG8+ISP!BA8*ISP!BG8)/(BSP!BG8+BSL!BG8+DSP!BG8+RSP!BG8+ISP!BG8),)</f>
        <v>5.9608017297462794</v>
      </c>
      <c r="BB8" s="168">
        <f>IFERROR((BSP!BB8*BSP!BG8+BSL!BB8*BSL!BG8+DSP!BB8*DSP!BG8+RSP!BB8*RSP!BG8+ISP!BB8*ISP!BG8)/(BSP!BG8+BSL!BG8+DSP!BG8+RSP!BG8+ISP!BG8),)</f>
        <v>2.7237486127587922</v>
      </c>
      <c r="BC8" s="168">
        <f>IFERROR((BSP!BC8*BSP!BG8+BSL!BC8*BSL!BG8+DSP!BC8*DSP!BG8+RSP!BC8*RSP!BG8+ISP!BC8*ISP!BG8)/(IF(BSP!BD8&gt;0,BSP!BG8,0)+IF(BSL!BD8&gt;0,BSL!BG8,0)+IF(DSP!BD8&gt;0,DSP!BG8,0)+IF(RSP!BD8&gt;0,RSP!BG8,0)+IF(ISP!BD8&gt;0,ISP!BG8,0)),)</f>
        <v>6.2596856224407791</v>
      </c>
      <c r="BD8" s="168">
        <f>IFERROR((BSP!BD8*BSP!BG8+BSL!BD8*BSL!BG8+DSP!BD8*DSP!BG8+RSP!BD8*RSP!BG8+ISP!BD8*ISP!BG8)/(IF(BSP!BD8&gt;0,BSP!BG8,0)+IF(BSL!BD8&gt;0,BSL!BG8,0)+IF(DSP!BD8&gt;0,DSP!BG8,0)+IF(RSP!BD8&gt;0,RSP!BG8,0)+IF(ISP!BD8&gt;0,ISP!BG8,0)),)</f>
        <v>41.695547242738506</v>
      </c>
      <c r="BE8" s="168">
        <f t="shared" si="18"/>
        <v>8.6845503425050712</v>
      </c>
      <c r="BF8" s="169">
        <f t="shared" si="19"/>
        <v>0.45694333350603294</v>
      </c>
      <c r="BG8" s="170">
        <f>(BSP!BG8+BSL!BG8+DSP!BG8+RSP!BG8+ISP!BG8)</f>
        <v>104524</v>
      </c>
      <c r="BK8" s="178">
        <f t="shared" si="5"/>
        <v>44317</v>
      </c>
      <c r="BL8" s="179">
        <f t="shared" si="5"/>
        <v>62.08539513593999</v>
      </c>
      <c r="BM8" s="180">
        <f t="shared" si="5"/>
        <v>3.8286121068401995</v>
      </c>
      <c r="BN8" s="180">
        <f t="shared" si="5"/>
        <v>2.5120505891652423</v>
      </c>
      <c r="BO8" s="180">
        <f t="shared" si="5"/>
        <v>13.178609349436572</v>
      </c>
      <c r="BP8" s="180">
        <f t="shared" si="5"/>
        <v>24.405034283718454</v>
      </c>
      <c r="BQ8" s="180">
        <f t="shared" si="5"/>
        <v>6.3406626960054417</v>
      </c>
      <c r="BR8" s="181">
        <f t="shared" si="5"/>
        <v>0.65612564528989814</v>
      </c>
      <c r="BS8" s="182">
        <f t="shared" si="5"/>
        <v>54399</v>
      </c>
      <c r="BT8" s="117">
        <f t="shared" si="0"/>
        <v>0</v>
      </c>
      <c r="BU8" s="178">
        <f t="shared" si="0"/>
        <v>44317</v>
      </c>
      <c r="BV8" s="179">
        <f t="shared" si="0"/>
        <v>61.727431171321427</v>
      </c>
      <c r="BW8" s="180">
        <f t="shared" si="0"/>
        <v>4.4096162726710579</v>
      </c>
      <c r="BX8" s="180">
        <f t="shared" si="0"/>
        <v>2.6259682534279607</v>
      </c>
      <c r="BY8" s="180">
        <f t="shared" si="0"/>
        <v>6.6332418832366065</v>
      </c>
      <c r="BZ8" s="180">
        <f t="shared" si="0"/>
        <v>44.361900482779362</v>
      </c>
      <c r="CA8" s="180">
        <f t="shared" si="0"/>
        <v>7.0355845260990186</v>
      </c>
      <c r="CB8" s="181">
        <f t="shared" si="20"/>
        <v>0.59550947090398876</v>
      </c>
      <c r="CC8" s="182">
        <f t="shared" si="20"/>
        <v>176271</v>
      </c>
      <c r="CD8" s="104">
        <f t="shared" si="1"/>
        <v>0</v>
      </c>
      <c r="CE8" s="178">
        <f t="shared" si="1"/>
        <v>44317</v>
      </c>
      <c r="CF8" s="179">
        <f t="shared" si="1"/>
        <v>62.393721953943697</v>
      </c>
      <c r="CG8" s="180">
        <f t="shared" si="1"/>
        <v>2.456587168621267</v>
      </c>
      <c r="CH8" s="180">
        <f t="shared" si="1"/>
        <v>2.3323688446503072</v>
      </c>
      <c r="CI8" s="180">
        <f t="shared" si="1"/>
        <v>23.266591986684624</v>
      </c>
      <c r="CJ8" s="180">
        <f t="shared" si="1"/>
        <v>15.73753862663294</v>
      </c>
      <c r="CK8" s="180">
        <f t="shared" si="1"/>
        <v>4.7889560132715747</v>
      </c>
      <c r="CL8" s="181">
        <f t="shared" si="1"/>
        <v>0.94943459545924602</v>
      </c>
      <c r="CM8" s="182">
        <f t="shared" si="1"/>
        <v>182646</v>
      </c>
      <c r="CN8" s="111">
        <f t="shared" si="1"/>
        <v>0</v>
      </c>
      <c r="CO8" s="178">
        <f t="shared" si="1"/>
        <v>44317</v>
      </c>
      <c r="CP8" s="179">
        <f t="shared" si="1"/>
        <v>62.003604871119485</v>
      </c>
      <c r="CQ8" s="180">
        <f t="shared" si="1"/>
        <v>3.3991430570129415</v>
      </c>
      <c r="CR8" s="180">
        <f t="shared" si="21"/>
        <v>2.8023051802042955</v>
      </c>
      <c r="CS8" s="180">
        <f t="shared" si="21"/>
        <v>6.6904537764738645</v>
      </c>
      <c r="CT8" s="180">
        <f t="shared" si="21"/>
        <v>42.01146850975438</v>
      </c>
      <c r="CU8" s="180">
        <f t="shared" si="21"/>
        <v>6.201448237217237</v>
      </c>
      <c r="CV8" s="181">
        <f t="shared" si="21"/>
        <v>0.82441519324193191</v>
      </c>
      <c r="CW8" s="182">
        <f t="shared" si="21"/>
        <v>280182</v>
      </c>
      <c r="CX8" s="111">
        <f t="shared" si="2"/>
        <v>0</v>
      </c>
      <c r="CY8" s="178">
        <f t="shared" si="3"/>
        <v>44317</v>
      </c>
      <c r="CZ8" s="179">
        <f t="shared" si="3"/>
        <v>62.155518793058341</v>
      </c>
      <c r="DA8" s="180">
        <f t="shared" si="3"/>
        <v>3.1405031830470045</v>
      </c>
      <c r="DB8" s="180">
        <f t="shared" si="3"/>
        <v>3.1114308886369586</v>
      </c>
      <c r="DC8" s="180">
        <f t="shared" si="3"/>
        <v>16.745598674457138</v>
      </c>
      <c r="DD8" s="180">
        <f t="shared" si="3"/>
        <v>17.524607307927095</v>
      </c>
      <c r="DE8" s="180">
        <f t="shared" si="3"/>
        <v>6.2519340716839631</v>
      </c>
      <c r="DF8" s="181">
        <f t="shared" si="3"/>
        <v>0.99074279097471285</v>
      </c>
      <c r="DG8" s="182">
        <f t="shared" si="3"/>
        <v>57335</v>
      </c>
      <c r="DH8" s="111">
        <f t="shared" si="3"/>
        <v>0</v>
      </c>
      <c r="DI8" s="178">
        <f t="shared" si="3"/>
        <v>44317</v>
      </c>
      <c r="DJ8" s="179">
        <f t="shared" si="3"/>
        <v>61.05</v>
      </c>
      <c r="DK8" s="180">
        <f t="shared" si="3"/>
        <v>4.08</v>
      </c>
      <c r="DL8" s="180">
        <f t="shared" si="3"/>
        <v>3.52</v>
      </c>
      <c r="DM8" s="180">
        <f t="shared" si="3"/>
        <v>6.4</v>
      </c>
      <c r="DN8" s="180">
        <f t="shared" si="3"/>
        <v>39.4</v>
      </c>
      <c r="DO8" s="180">
        <f t="shared" si="22"/>
        <v>7.6</v>
      </c>
      <c r="DP8" s="181">
        <f t="shared" si="22"/>
        <v>0.86274509803921573</v>
      </c>
      <c r="DQ8" s="182">
        <f t="shared" si="22"/>
        <v>115806</v>
      </c>
    </row>
    <row r="9" spans="1:121" ht="19" customHeight="1" x14ac:dyDescent="0.35">
      <c r="A9" s="166">
        <f>BSP!A9</f>
        <v>44348</v>
      </c>
      <c r="B9" s="167">
        <f>IFERROR((BSP!B9*BSP!I9+BSL!B9*BSL!I9+DSP!B9*DSP!I9+RSP!B9*RSP!I9+ISP!B9*ISP!I9)/(BSP!I9+BSL!I9+DSP!I9+RSP!I9+ISP!I9),)</f>
        <v>61.783841536121059</v>
      </c>
      <c r="C9" s="168">
        <f>IFERROR((BSP!C9*BSP!I9+BSL!C9*BSL!I9+DSP!C9*DSP!I9+RSP!C9*RSP!I9+ISP!C9*ISP!I9)/(BSP!I9+BSL!I9+DSP!I9+RSP!I9+ISP!I9),)</f>
        <v>4.3950324136891297</v>
      </c>
      <c r="D9" s="168">
        <f>IFERROR((BSP!D9*BSP!I9+BSL!D9*BSL!I9+DSP!D9*DSP!I9+RSP!D9*RSP!I9+ISP!D9*ISP!I9)/(BSP!I9+BSL!I9+DSP!I9+RSP!I9+ISP!I9),)</f>
        <v>2.4673408439894198</v>
      </c>
      <c r="E9" s="168">
        <f>IFERROR((BSP!E9*BSP!I9+BSL!E9*BSL!I9+DSP!E9*DSP!I9+RSP!E9*RSP!I9+ISP!E9*ISP!I9)/(IF(BSP!F9&gt;0,BSP!I9,0)+IF(BSL!F9&gt;0,BSL!I9,0)+IF(DSP!F9&gt;0,DSP!I9,0)+IF(RSP!F9&gt;0,RSP!I9,0)+IF(ISP!F9&gt;0,ISP!I9,0)),)</f>
        <v>11.266583062648191</v>
      </c>
      <c r="F9" s="168">
        <f>IFERROR((BSP!F9*BSP!I9+BSL!F9*BSL!I9+DSP!F9*DSP!I9+RSP!F9*RSP!I9+ISP!F9*ISP!I9)/(IF(BSP!F9&gt;0,BSP!I9,0)+IF(BSL!F9&gt;0,BSL!I9,0)+IF(DSP!F9&gt;0,DSP!I9,0)+IF(RSP!F9&gt;0,RSP!I9,0)+IF(ISP!F9&gt;0,ISP!I9,0)),)</f>
        <v>25.245136576072806</v>
      </c>
      <c r="G9" s="168">
        <f t="shared" si="8"/>
        <v>6.8623732576785494</v>
      </c>
      <c r="H9" s="169">
        <f t="shared" si="9"/>
        <v>0.56139309378116009</v>
      </c>
      <c r="I9" s="170">
        <f>(BSP!I9+BSL!I9+DSP!I9+RSP!I9+ISP!I9)</f>
        <v>72963</v>
      </c>
      <c r="J9" s="119"/>
      <c r="K9" s="166">
        <f>BSP!K9</f>
        <v>44348</v>
      </c>
      <c r="L9" s="167">
        <f>IFERROR((BSP!L9*BSP!S9+BSL!L9*BSL!S9+DSP!L9*DSP!S9+RSP!L9*RSP!S9+ISP!L9*ISP!S9)/(BSP!S9+BSL!S9+DSP!S9+RSP!S9+ISP!S9),)</f>
        <v>60.704260328457792</v>
      </c>
      <c r="M9" s="168">
        <f>IFERROR((BSP!M9*BSP!S9+BSL!M9*BSL!S9+DSP!M9*DSP!S9+RSP!M9*RSP!S9+ISP!M9*ISP!S9)/(BSP!S9+BSL!S9+DSP!S9+RSP!S9+ISP!S9),)</f>
        <v>6.2979553181934822</v>
      </c>
      <c r="N9" s="168">
        <f>IFERROR((BSP!N9*BSP!S9+BSL!N9*BSL!S9+DSP!N9*DSP!S9+RSP!N9*RSP!S9+ISP!N9*ISP!S9)/(BSP!S9+BSL!S9+DSP!S9+RSP!S9+ISP!S9),)</f>
        <v>2.5314209648447523</v>
      </c>
      <c r="O9" s="168">
        <f>IFERROR((BSP!O9*BSP!S9+BSL!O9*BSL!S9+DSP!O9*DSP!S9+RSP!O9*RSP!S9+ISP!O9*ISP!S9)/(IF(BSP!P9&gt;0,BSP!S9,0)+IF(BSL!P9&gt;0,BSL!S9,0)+IF(DSP!P9&gt;0,DSP!S9,0)+IF(RSP!P9&gt;0,RSP!S9,0)+IF(ISP!P9&gt;0,ISP!S9,0)),)</f>
        <v>6.3901087374903778</v>
      </c>
      <c r="P9" s="168">
        <f>IFERROR((BSP!P9*BSP!S9+BSL!P9*BSL!S9+DSP!P9*DSP!S9+RSP!P9*RSP!S9+ISP!P9*ISP!S9)/(IF(BSP!P9&gt;0,BSP!S9,0)+IF(BSL!P9&gt;0,BSL!S9,0)+IF(DSP!P9&gt;0,DSP!S9,0)+IF(RSP!P9&gt;0,RSP!S9,0)+IF(ISP!P9&gt;0,ISP!S9,0)),)</f>
        <v>43.592300808314093</v>
      </c>
      <c r="Q9" s="168">
        <f t="shared" si="10"/>
        <v>8.8293762830382345</v>
      </c>
      <c r="R9" s="169">
        <f t="shared" si="11"/>
        <v>0.40194330333402079</v>
      </c>
      <c r="S9" s="170">
        <f>(BSP!S9+BSL!S9+DSP!S9+RSP!S9+ISP!S9)</f>
        <v>249408</v>
      </c>
      <c r="U9" s="166">
        <f>BSP!U9</f>
        <v>44348</v>
      </c>
      <c r="V9" s="167">
        <f>IFERROR((BSP!V9*BSP!AC9+BSL!V9*BSL!AC9+DSP!V9*DSP!AC9+RSP!V9*RSP!AC9+ISP!V9*ISP!AC9)/(BSP!AC9+BSL!AC9+DSP!AC9+RSP!AC9+ISP!AC9),)</f>
        <v>61.597318360300413</v>
      </c>
      <c r="W9" s="168">
        <f>IFERROR((BSP!W9*BSP!AC9+BSL!W9*BSL!AC9+DSP!W9*DSP!AC9+RSP!W9*RSP!AC9+ISP!W9*ISP!AC9)/(BSP!AC9+BSL!AC9+DSP!AC9+RSP!AC9+ISP!AC9),)</f>
        <v>3.8608045463704732</v>
      </c>
      <c r="X9" s="168">
        <f>IFERROR((BSP!X9*BSP!AC9+BSL!X9*BSL!AC9+DSP!X9*DSP!AC9+RSP!X9*RSP!AC9+ISP!X9*ISP!AC9)/(BSP!AC9+BSL!AC9+DSP!AC9+RSP!AC9+ISP!AC9),)</f>
        <v>2.3745397807416442</v>
      </c>
      <c r="Y9" s="168">
        <f>IFERROR((BSP!Y9*BSP!AC9+BSL!Y9*BSL!AC9+DSP!Y9*DSP!AC9+RSP!Y9*RSP!AC9+ISP!Y9*ISP!AC9)/(IF(BSP!Z9&gt;0,BSP!AC9,0)+IF(BSL!Z9&gt;0,BSL!AC9,0)+IF(DSP!Z9&gt;0,DSP!AC9,0)+IF(RSP!Z9&gt;0,RSP!AC9,0)+IF(ISP!Z9&gt;0,ISP!AC9,0)),)</f>
        <v>22.737957074158992</v>
      </c>
      <c r="Z9" s="168">
        <f>IFERROR((BSP!Z9*BSP!AC9+BSL!Z9*BSL!AC9+DSP!Z9*DSP!AC9+RSP!Z9*RSP!AC9+ISP!Z9*ISP!AC9)/(IF(BSP!Z9&gt;0,BSP!AC9,0)+IF(BSL!Z9&gt;0,BSL!AC9,0)+IF(DSP!Z9&gt;0,DSP!AC9,0)+IF(RSP!Z9&gt;0,RSP!AC9,0)+IF(ISP!Z9&gt;0,ISP!AC9,0)),)</f>
        <v>18.650704393336202</v>
      </c>
      <c r="AA9" s="168">
        <f t="shared" si="12"/>
        <v>6.2353443271121174</v>
      </c>
      <c r="AB9" s="169">
        <f t="shared" si="13"/>
        <v>0.61503755298204343</v>
      </c>
      <c r="AC9" s="170">
        <f>(BSP!AC9+BSL!AC9+DSP!AC9+RSP!AC9+ISP!AC9)</f>
        <v>183619</v>
      </c>
      <c r="AD9" s="171"/>
      <c r="AE9" s="172">
        <f>BSP!AE9</f>
        <v>44348</v>
      </c>
      <c r="AF9" s="167">
        <f>IFERROR((BSP!AF9*BSP!AM9+BSL!AF9*BSL!AM9+DSP!AF9*DSP!AM9+RSP!AF9*RSP!AM9+ISP!AF9*ISP!AM9)/(BSP!AM9+BSL!AM9+DSP!AM9+RSP!AM9+ISP!AM9),)</f>
        <v>61.881040924282331</v>
      </c>
      <c r="AG9" s="168">
        <f>IFERROR((BSP!AG9*BSP!AM9+BSL!AG9*BSL!AM9+DSP!AG9*DSP!AM9+RSP!AG9*RSP!AM9+ISP!AG9*ISP!AM9)/(BSP!AM9+BSL!AM9+DSP!AM9+RSP!AM9+ISP!AM9),)</f>
        <v>3.8581591819570171</v>
      </c>
      <c r="AH9" s="168">
        <f>IFERROR((BSP!AH9*BSP!AM9+BSL!AH9*BSL!AM9+DSP!AH9*DSP!AM9+RSP!AH9*RSP!AM9+ISP!AH9*ISP!AM9)/(BSP!AM9+BSL!AM9+DSP!AM9+RSP!AM9+ISP!AM9),)</f>
        <v>2.5480857440074365</v>
      </c>
      <c r="AI9" s="168">
        <f>IFERROR((BSP!AI9*BSP!AM9+BSL!AI9*BSL!AM9+DSP!AI9*DSP!AM9+RSP!AI9*RSP!AM9+ISP!AI9*ISP!AM9)/(IF(BSP!AJ9&gt;0,BSP!AM9,0)+IF(BSL!AJ9&gt;0,BSL!AM9,0)+IF(DSP!AJ9&gt;0,DSP!AM9,0)+IF(RSP!AJ9&gt;0,RSP!AM9,0)+IF(ISP!AJ9&gt;0,ISP!AM9,0)),)</f>
        <v>7.5811345477081069</v>
      </c>
      <c r="AJ9" s="168">
        <f>IFERROR((BSP!AJ9*BSP!AM9+BSL!AJ9*BSL!AM9+DSP!AJ9*DSP!AM9+RSP!AJ9*RSP!AM9+ISP!AJ9*ISP!AM9)/(IF(BSP!AJ9&gt;0,BSP!AM9,0)+IF(BSL!AJ9&gt;0,BSL!AM9,0)+IF(DSP!AJ9&gt;0,DSP!AM9,0)+IF(RSP!AJ9&gt;0,RSP!AM9,0)+IF(ISP!AJ9&gt;0,ISP!AM9,0)),)</f>
        <v>40.698404727651003</v>
      </c>
      <c r="AK9" s="168">
        <f t="shared" si="14"/>
        <v>6.4062449259644536</v>
      </c>
      <c r="AL9" s="169">
        <f t="shared" si="15"/>
        <v>0.6604408019046385</v>
      </c>
      <c r="AM9" s="170">
        <f>(BSP!AM9+BSL!AM9+DSP!AM9+RSP!AM9+ISP!AM9)</f>
        <v>225905</v>
      </c>
      <c r="AO9" s="172">
        <f t="shared" si="6"/>
        <v>44348</v>
      </c>
      <c r="AP9" s="167">
        <f>IFERROR((BSP!AP9*BSP!AW9+BSL!AP9*BSL!AW9+DSP!AP9*DSP!AW9+RSP!AP9*RSP!AW9+ISP!AP9*ISP!AW9)/(BSP!AW9+BSL!AW9+DSP!AW9+RSP!AW9+ISP!AW9),)</f>
        <v>61.567768683274025</v>
      </c>
      <c r="AQ9" s="168">
        <f>IFERROR((BSP!AQ9*BSP!AW9+BSL!AQ9*BSL!AW9+DSP!AQ9*DSP!AW9+RSP!AQ9*RSP!AW9+ISP!AQ9*ISP!AW9)/(BSP!AW9+BSL!AW9+DSP!AW9+RSP!AW9+ISP!AW9),)</f>
        <v>4.6332574905292168</v>
      </c>
      <c r="AR9" s="168">
        <f>IFERROR((BSP!AR9*BSP!AW9+BSL!AR9*BSL!AW9+DSP!AR9*DSP!AW9+RSP!AR9*RSP!AW9+ISP!AR9*ISP!AW9)/(BSP!AW9+BSL!AW9+DSP!AW9+RSP!AW9+ISP!AW9),)</f>
        <v>2.4764331305246241</v>
      </c>
      <c r="AS9" s="168">
        <f>IFERROR((BSP!AS9*BSP!AW9+BSL!AS9*BSL!AW9+DSP!AS9*DSP!AW9+RSP!AS9*RSP!AW9+ISP!AS9*ISP!AW9)/(IF(BSP!AT9&gt;0,BSP!AW9,0)+IF(BSL!AT9&gt;0,BSL!AW9,0)+IF(DSP!AT9&gt;0,DSP!AW9,0)+IF(RSP!AT9&gt;0,RSP!AW9,0)+IF(ISP!AT9&gt;0,ISP!AW9,0)),)</f>
        <v>10.820847204683734</v>
      </c>
      <c r="AT9" s="168">
        <f>IFERROR((BSP!AT9*BSP!AW9+BSL!AT9*BSL!AW9+DSP!AT9*DSP!AW9+RSP!AT9*RSP!AW9+ISP!AT9*ISP!AW9)/(IF(BSP!AT9&gt;0,BSP!AW9,0)+IF(BSL!AT9&gt;0,BSL!AW9,0)+IF(DSP!AT9&gt;0,DSP!AW9,0)+IF(RSP!AT9&gt;0,RSP!AW9,0)+IF(ISP!AT9&gt;0,ISP!AW9,0)),)</f>
        <v>29.852249339915048</v>
      </c>
      <c r="AU9" s="168">
        <f t="shared" si="16"/>
        <v>7.1096906210538409</v>
      </c>
      <c r="AV9" s="169">
        <f t="shared" si="17"/>
        <v>0.53449071966897366</v>
      </c>
      <c r="AW9" s="170">
        <f>(BSP!AW9+BSL!AW9+DSP!AW9+RSP!AW9+ISP!AW9)</f>
        <v>87110</v>
      </c>
      <c r="AY9" s="172">
        <f t="shared" si="7"/>
        <v>44348</v>
      </c>
      <c r="AZ9" s="167">
        <f>IFERROR((BSP!AZ9*BSP!BG9+BSL!AZ9*BSL!BG9+DSP!AZ9*DSP!BG9+RSP!AZ9*RSP!BG9+ISP!AZ9*ISP!BG9)/(BSP!BG9+BSL!BG9+DSP!BG9+RSP!BG9+ISP!BG9),)</f>
        <v>60.567640841142349</v>
      </c>
      <c r="BA9" s="168">
        <f>IFERROR((BSP!BA9*BSP!BG9+BSL!BA9*BSL!BG9+DSP!BA9*DSP!BG9+RSP!BA9*RSP!BG9+ISP!BA9*ISP!BG9)/(BSP!BG9+BSL!BG9+DSP!BG9+RSP!BG9+ISP!BG9),)</f>
        <v>5.8362266659229505</v>
      </c>
      <c r="BB9" s="168">
        <f>IFERROR((BSP!BB9*BSP!BG9+BSL!BB9*BSL!BG9+DSP!BB9*DSP!BG9+RSP!BB9*RSP!BG9+ISP!BB9*ISP!BG9)/(BSP!BG9+BSL!BG9+DSP!BG9+RSP!BG9+ISP!BG9),)</f>
        <v>2.8628400639595415</v>
      </c>
      <c r="BC9" s="168">
        <f>IFERROR((BSP!BC9*BSP!BG9+BSL!BC9*BSL!BG9+DSP!BC9*DSP!BG9+RSP!BC9*RSP!BG9+ISP!BC9*ISP!BG9)/(IF(BSP!BD9&gt;0,BSP!BG9,0)+IF(BSL!BD9&gt;0,BSL!BG9,0)+IF(DSP!BD9&gt;0,DSP!BG9,0)+IF(RSP!BD9&gt;0,RSP!BG9,0)+IF(ISP!BD9&gt;0,ISP!BG9,0)),)</f>
        <v>6.7289254239178939</v>
      </c>
      <c r="BD9" s="168">
        <f>IFERROR((BSP!BD9*BSP!BG9+BSL!BD9*BSL!BG9+DSP!BD9*DSP!BG9+RSP!BD9*RSP!BG9+ISP!BD9*ISP!BG9)/(IF(BSP!BD9&gt;0,BSP!BG9,0)+IF(BSL!BD9&gt;0,BSL!BG9,0)+IF(DSP!BD9&gt;0,DSP!BG9,0)+IF(RSP!BD9&gt;0,RSP!BG9,0)+IF(ISP!BD9&gt;0,ISP!BG9,0)),)</f>
        <v>41.104126691952992</v>
      </c>
      <c r="BE9" s="168">
        <f t="shared" si="18"/>
        <v>8.6990667298824924</v>
      </c>
      <c r="BF9" s="169">
        <f t="shared" si="19"/>
        <v>0.49052927993275725</v>
      </c>
      <c r="BG9" s="170">
        <f>(BSP!BG9+BSL!BG9+DSP!BG9+RSP!BG9+ISP!BG9)</f>
        <v>215136</v>
      </c>
      <c r="BK9" s="178">
        <f t="shared" si="5"/>
        <v>44348</v>
      </c>
      <c r="BL9" s="179">
        <f t="shared" si="5"/>
        <v>61.783841536121059</v>
      </c>
      <c r="BM9" s="180">
        <f t="shared" si="5"/>
        <v>4.3950324136891297</v>
      </c>
      <c r="BN9" s="180">
        <f t="shared" si="5"/>
        <v>2.4673408439894198</v>
      </c>
      <c r="BO9" s="180">
        <f t="shared" si="5"/>
        <v>11.266583062648191</v>
      </c>
      <c r="BP9" s="180">
        <f t="shared" si="5"/>
        <v>25.245136576072806</v>
      </c>
      <c r="BQ9" s="180">
        <f t="shared" si="5"/>
        <v>6.8623732576785494</v>
      </c>
      <c r="BR9" s="181">
        <f t="shared" si="5"/>
        <v>0.56139309378116009</v>
      </c>
      <c r="BS9" s="182">
        <f t="shared" si="5"/>
        <v>72963</v>
      </c>
      <c r="BT9" s="117">
        <f t="shared" si="0"/>
        <v>0</v>
      </c>
      <c r="BU9" s="178">
        <f t="shared" si="0"/>
        <v>44348</v>
      </c>
      <c r="BV9" s="179">
        <f t="shared" si="0"/>
        <v>60.704260328457792</v>
      </c>
      <c r="BW9" s="180">
        <f t="shared" si="0"/>
        <v>6.2979553181934822</v>
      </c>
      <c r="BX9" s="180">
        <f t="shared" si="0"/>
        <v>2.5314209648447523</v>
      </c>
      <c r="BY9" s="180">
        <f t="shared" si="0"/>
        <v>6.3901087374903778</v>
      </c>
      <c r="BZ9" s="180">
        <f t="shared" si="0"/>
        <v>43.592300808314093</v>
      </c>
      <c r="CA9" s="180">
        <f t="shared" si="0"/>
        <v>8.8293762830382345</v>
      </c>
      <c r="CB9" s="181">
        <f t="shared" si="20"/>
        <v>0.40194330333402079</v>
      </c>
      <c r="CC9" s="182">
        <f t="shared" si="20"/>
        <v>249408</v>
      </c>
      <c r="CD9" s="104">
        <f t="shared" si="1"/>
        <v>0</v>
      </c>
      <c r="CE9" s="178">
        <f t="shared" si="1"/>
        <v>44348</v>
      </c>
      <c r="CF9" s="179">
        <f t="shared" si="1"/>
        <v>61.597318360300413</v>
      </c>
      <c r="CG9" s="180">
        <f t="shared" si="1"/>
        <v>3.8608045463704732</v>
      </c>
      <c r="CH9" s="180">
        <f t="shared" si="1"/>
        <v>2.3745397807416442</v>
      </c>
      <c r="CI9" s="180">
        <f t="shared" si="1"/>
        <v>22.737957074158992</v>
      </c>
      <c r="CJ9" s="180">
        <f t="shared" si="1"/>
        <v>18.650704393336202</v>
      </c>
      <c r="CK9" s="180">
        <f t="shared" si="1"/>
        <v>6.2353443271121174</v>
      </c>
      <c r="CL9" s="181">
        <f t="shared" si="1"/>
        <v>0.61503755298204343</v>
      </c>
      <c r="CM9" s="182">
        <f t="shared" si="1"/>
        <v>183619</v>
      </c>
      <c r="CN9" s="111">
        <f t="shared" si="1"/>
        <v>0</v>
      </c>
      <c r="CO9" s="178">
        <f t="shared" si="1"/>
        <v>44348</v>
      </c>
      <c r="CP9" s="179">
        <f t="shared" si="1"/>
        <v>61.881040924282331</v>
      </c>
      <c r="CQ9" s="180">
        <f t="shared" si="1"/>
        <v>3.8581591819570171</v>
      </c>
      <c r="CR9" s="180">
        <f t="shared" si="21"/>
        <v>2.5480857440074365</v>
      </c>
      <c r="CS9" s="180">
        <f t="shared" si="21"/>
        <v>7.5811345477081069</v>
      </c>
      <c r="CT9" s="180">
        <f t="shared" si="21"/>
        <v>40.698404727651003</v>
      </c>
      <c r="CU9" s="180">
        <f t="shared" si="21"/>
        <v>6.4062449259644536</v>
      </c>
      <c r="CV9" s="181">
        <f t="shared" si="21"/>
        <v>0.6604408019046385</v>
      </c>
      <c r="CW9" s="182">
        <f t="shared" si="21"/>
        <v>225905</v>
      </c>
      <c r="CX9" s="111">
        <f t="shared" si="2"/>
        <v>0</v>
      </c>
      <c r="CY9" s="178">
        <f t="shared" si="3"/>
        <v>44348</v>
      </c>
      <c r="CZ9" s="179">
        <f t="shared" si="3"/>
        <v>61.333434416415507</v>
      </c>
      <c r="DA9" s="180">
        <f t="shared" si="3"/>
        <v>3.8025512984600143</v>
      </c>
      <c r="DB9" s="180">
        <f t="shared" si="3"/>
        <v>3.6249331158911691</v>
      </c>
      <c r="DC9" s="180">
        <f t="shared" si="3"/>
        <v>17.976003880929774</v>
      </c>
      <c r="DD9" s="180">
        <f t="shared" si="3"/>
        <v>23.06315841625036</v>
      </c>
      <c r="DE9" s="180">
        <f t="shared" si="3"/>
        <v>7.4274844143511833</v>
      </c>
      <c r="DF9" s="181">
        <f t="shared" si="3"/>
        <v>0.95328973401600703</v>
      </c>
      <c r="DG9" s="182">
        <f t="shared" si="3"/>
        <v>48442</v>
      </c>
      <c r="DH9" s="111">
        <f t="shared" si="3"/>
        <v>0</v>
      </c>
      <c r="DI9" s="178">
        <f t="shared" si="3"/>
        <v>44348</v>
      </c>
      <c r="DJ9" s="179">
        <f t="shared" si="3"/>
        <v>59.9</v>
      </c>
      <c r="DK9" s="180">
        <f t="shared" si="3"/>
        <v>5.32</v>
      </c>
      <c r="DL9" s="180">
        <f t="shared" si="3"/>
        <v>3.85</v>
      </c>
      <c r="DM9" s="180">
        <f t="shared" si="3"/>
        <v>7.3</v>
      </c>
      <c r="DN9" s="180">
        <f t="shared" si="3"/>
        <v>40.299999999999997</v>
      </c>
      <c r="DO9" s="180">
        <f t="shared" si="22"/>
        <v>9.17</v>
      </c>
      <c r="DP9" s="181">
        <f t="shared" si="22"/>
        <v>0.72368421052631582</v>
      </c>
      <c r="DQ9" s="182">
        <f t="shared" si="22"/>
        <v>54345</v>
      </c>
    </row>
    <row r="10" spans="1:121" ht="19" customHeight="1" x14ac:dyDescent="0.35">
      <c r="A10" s="166">
        <f>BSP!A10</f>
        <v>44378</v>
      </c>
      <c r="B10" s="167">
        <f>IFERROR((BSP!B10*BSP!I10+BSL!B10*BSL!I10+DSP!B10*DSP!I10+RSP!B10*RSP!I10+ISP!B10*ISP!I10)/(BSP!I10+BSL!I10+DSP!I10+RSP!I10+ISP!I10),)</f>
        <v>61.75</v>
      </c>
      <c r="C10" s="168">
        <f>IFERROR((BSP!C10*BSP!I10+BSL!C10*BSL!I10+DSP!C10*DSP!I10+RSP!C10*RSP!I10+ISP!C10*ISP!I10)/(BSP!I10+BSL!I10+DSP!I10+RSP!I10+ISP!I10),)</f>
        <v>4.2699999999999996</v>
      </c>
      <c r="D10" s="168">
        <f>IFERROR((BSP!D10*BSP!I10+BSL!D10*BSL!I10+DSP!D10*DSP!I10+RSP!D10*RSP!I10+ISP!D10*ISP!I10)/(BSP!I10+BSL!I10+DSP!I10+RSP!I10+ISP!I10),)</f>
        <v>2.5499999999999998</v>
      </c>
      <c r="E10" s="168">
        <f>IFERROR((BSP!E10*BSP!I10+BSL!E10*BSL!I10+DSP!E10*DSP!I10+RSP!E10*RSP!I10+ISP!E10*ISP!I10)/(IF(BSP!F10&gt;0,BSP!I10,0)+IF(BSL!F10&gt;0,BSL!I10,0)+IF(DSP!F10&gt;0,DSP!I10,0)+IF(RSP!F10&gt;0,RSP!I10,0)+IF(ISP!F10&gt;0,ISP!I10,0)),)</f>
        <v>10.99</v>
      </c>
      <c r="F10" s="168">
        <f>IFERROR((BSP!F10*BSP!I10+BSL!F10*BSL!I10+DSP!F10*DSP!I10+RSP!F10*RSP!I10+ISP!F10*ISP!I10)/(IF(BSP!F10&gt;0,BSP!I10,0)+IF(BSL!F10&gt;0,BSL!I10,0)+IF(DSP!F10&gt;0,DSP!I10,0)+IF(RSP!F10&gt;0,RSP!I10,0)+IF(ISP!F10&gt;0,ISP!I10,0)),)</f>
        <v>30.39</v>
      </c>
      <c r="G10" s="168">
        <f t="shared" si="8"/>
        <v>6.8199999999999994</v>
      </c>
      <c r="H10" s="169">
        <f t="shared" si="9"/>
        <v>0.59718969555035128</v>
      </c>
      <c r="I10" s="170">
        <f>(BSP!I10+BSL!I10+DSP!I10+RSP!I10+ISP!I10)</f>
        <v>104950</v>
      </c>
      <c r="J10" s="119"/>
      <c r="K10" s="166">
        <f>BSP!K10</f>
        <v>44378</v>
      </c>
      <c r="L10" s="167">
        <f>IFERROR((BSP!L10*BSP!S10+BSL!L10*BSL!S10+DSP!L10*DSP!S10+RSP!L10*RSP!S10+ISP!L10*ISP!S10)/(BSP!S10+BSL!S10+DSP!S10+RSP!S10+ISP!S10),)</f>
        <v>61.20050401440249</v>
      </c>
      <c r="M10" s="168">
        <f>IFERROR((BSP!M10*BSP!S10+BSL!M10*BSL!S10+DSP!M10*DSP!S10+RSP!M10*RSP!S10+ISP!M10*ISP!S10)/(BSP!S10+BSL!S10+DSP!S10+RSP!S10+ISP!S10),)</f>
        <v>5.7717291693889106</v>
      </c>
      <c r="N10" s="168">
        <f>IFERROR((BSP!N10*BSP!S10+BSL!N10*BSL!S10+DSP!N10*DSP!S10+RSP!N10*RSP!S10+ISP!N10*ISP!S10)/(BSP!S10+BSL!S10+DSP!S10+RSP!S10+ISP!S10),)</f>
        <v>2.2941600969844793</v>
      </c>
      <c r="O10" s="168">
        <f>IFERROR((BSP!O10*BSP!S10+BSL!O10*BSL!S10+DSP!O10*DSP!S10+RSP!O10*RSP!S10+ISP!O10*ISP!S10)/(IF(BSP!P10&gt;0,BSP!S10,0)+IF(BSL!P10&gt;0,BSL!S10,0)+IF(DSP!P10&gt;0,DSP!S10,0)+IF(RSP!P10&gt;0,RSP!S10,0)+IF(ISP!P10&gt;0,ISP!S10,0)),)</f>
        <v>5.2742224568011116</v>
      </c>
      <c r="P10" s="168">
        <f>IFERROR((BSP!P10*BSP!S10+BSL!P10*BSL!S10+DSP!P10*DSP!S10+RSP!P10*RSP!S10+ISP!P10*ISP!S10)/(IF(BSP!P10&gt;0,BSP!S10,0)+IF(BSL!P10&gt;0,BSL!S10,0)+IF(DSP!P10&gt;0,DSP!S10,0)+IF(RSP!P10&gt;0,RSP!S10,0)+IF(ISP!P10&gt;0,ISP!S10,0)),)</f>
        <v>44.959161695147159</v>
      </c>
      <c r="Q10" s="168">
        <f t="shared" si="10"/>
        <v>8.0658892663733894</v>
      </c>
      <c r="R10" s="169">
        <f t="shared" si="11"/>
        <v>0.39748228471145963</v>
      </c>
      <c r="S10" s="170">
        <f>(BSP!S10+BSL!S10+DSP!S10+RSP!S10+ISP!S10)</f>
        <v>275508</v>
      </c>
      <c r="U10" s="166">
        <f>BSP!U10</f>
        <v>44378</v>
      </c>
      <c r="V10" s="167">
        <f>IFERROR((BSP!V10*BSP!AC10+BSL!V10*BSL!AC10+DSP!V10*DSP!AC10+RSP!V10*RSP!AC10+ISP!V10*ISP!AC10)/(BSP!AC10+BSL!AC10+DSP!AC10+RSP!AC10+ISP!AC10),)</f>
        <v>62.284235123454664</v>
      </c>
      <c r="W10" s="168">
        <f>IFERROR((BSP!W10*BSP!AC10+BSL!W10*BSL!AC10+DSP!W10*DSP!AC10+RSP!W10*RSP!AC10+ISP!W10*ISP!AC10)/(BSP!AC10+BSL!AC10+DSP!AC10+RSP!AC10+ISP!AC10),)</f>
        <v>3.2254760408416265</v>
      </c>
      <c r="X10" s="168">
        <f>IFERROR((BSP!X10*BSP!AC10+BSL!X10*BSL!AC10+DSP!X10*DSP!AC10+RSP!X10*RSP!AC10+ISP!X10*ISP!AC10)/(BSP!AC10+BSL!AC10+DSP!AC10+RSP!AC10+ISP!AC10),)</f>
        <v>2.0965819673542474</v>
      </c>
      <c r="Y10" s="168">
        <f>IFERROR((BSP!Y10*BSP!AC10+BSL!Y10*BSL!AC10+DSP!Y10*DSP!AC10+RSP!Y10*RSP!AC10+ISP!Y10*ISP!AC10)/(IF(BSP!Z10&gt;0,BSP!AC10,0)+IF(BSL!Z10&gt;0,BSL!AC10,0)+IF(DSP!Z10&gt;0,DSP!AC10,0)+IF(RSP!Z10&gt;0,RSP!AC10,0)+IF(ISP!Z10&gt;0,ISP!AC10,0)),)</f>
        <v>14.422629997589446</v>
      </c>
      <c r="Z10" s="168">
        <f>IFERROR((BSP!Z10*BSP!AC10+BSL!Z10*BSL!AC10+DSP!Z10*DSP!AC10+RSP!Z10*RSP!AC10+ISP!Z10*ISP!AC10)/(IF(BSP!Z10&gt;0,BSP!AC10,0)+IF(BSL!Z10&gt;0,BSL!AC10,0)+IF(DSP!Z10&gt;0,DSP!AC10,0)+IF(RSP!Z10&gt;0,RSP!AC10,0)+IF(ISP!Z10&gt;0,ISP!AC10,0)),)</f>
        <v>16.729859585385174</v>
      </c>
      <c r="AA10" s="168">
        <f t="shared" si="12"/>
        <v>5.3220580081958744</v>
      </c>
      <c r="AB10" s="169">
        <f t="shared" si="13"/>
        <v>0.65000698836602866</v>
      </c>
      <c r="AC10" s="170">
        <f>(BSP!AC10+BSL!AC10+DSP!AC10+RSP!AC10+ISP!AC10)</f>
        <v>232312</v>
      </c>
      <c r="AD10" s="171"/>
      <c r="AE10" s="172">
        <f>BSP!AE10</f>
        <v>44378</v>
      </c>
      <c r="AF10" s="167">
        <f>IFERROR((BSP!AF10*BSP!AM10+BSL!AF10*BSL!AM10+DSP!AF10*DSP!AM10+RSP!AF10*RSP!AM10+ISP!AF10*ISP!AM10)/(BSP!AM10+BSL!AM10+DSP!AM10+RSP!AM10+ISP!AM10),)</f>
        <v>61.883985156723504</v>
      </c>
      <c r="AG10" s="168">
        <f>IFERROR((BSP!AG10*BSP!AM10+BSL!AG10*BSL!AM10+DSP!AG10*DSP!AM10+RSP!AG10*RSP!AM10+ISP!AG10*ISP!AM10)/(BSP!AM10+BSL!AM10+DSP!AM10+RSP!AM10+ISP!AM10),)</f>
        <v>3.9340157657400106</v>
      </c>
      <c r="AH10" s="168">
        <f>IFERROR((BSP!AH10*BSP!AM10+BSL!AH10*BSL!AM10+DSP!AH10*DSP!AM10+RSP!AH10*RSP!AM10+ISP!AH10*ISP!AM10)/(BSP!AM10+BSL!AM10+DSP!AM10+RSP!AM10+ISP!AM10),)</f>
        <v>2.5754841599292524</v>
      </c>
      <c r="AI10" s="168">
        <f>IFERROR((BSP!AI10*BSP!AM10+BSL!AI10*BSL!AM10+DSP!AI10*DSP!AM10+RSP!AI10*RSP!AM10+ISP!AI10*ISP!AM10)/(IF(BSP!AJ10&gt;0,BSP!AM10,0)+IF(BSL!AJ10&gt;0,BSL!AM10,0)+IF(DSP!AJ10&gt;0,DSP!AM10,0)+IF(RSP!AJ10&gt;0,RSP!AM10,0)+IF(ISP!AJ10&gt;0,ISP!AM10,0)),)</f>
        <v>8.3504920694820868</v>
      </c>
      <c r="AJ10" s="168">
        <f>IFERROR((BSP!AJ10*BSP!AM10+BSL!AJ10*BSL!AM10+DSP!AJ10*DSP!AM10+RSP!AJ10*RSP!AM10+ISP!AJ10*ISP!AM10)/(IF(BSP!AJ10&gt;0,BSP!AM10,0)+IF(BSL!AJ10&gt;0,BSL!AM10,0)+IF(DSP!AJ10&gt;0,DSP!AM10,0)+IF(RSP!AJ10&gt;0,RSP!AM10,0)+IF(ISP!AJ10&gt;0,ISP!AM10,0)),)</f>
        <v>29.595638577271565</v>
      </c>
      <c r="AK10" s="168">
        <f t="shared" si="14"/>
        <v>6.5094999256692629</v>
      </c>
      <c r="AL10" s="169">
        <f t="shared" si="15"/>
        <v>0.6546705232750355</v>
      </c>
      <c r="AM10" s="170">
        <f>(BSP!AM10+BSL!AM10+DSP!AM10+RSP!AM10+ISP!AM10)</f>
        <v>262341</v>
      </c>
      <c r="AO10" s="172">
        <f t="shared" si="6"/>
        <v>44378</v>
      </c>
      <c r="AP10" s="167">
        <f>IFERROR((BSP!AP10*BSP!AW10+BSL!AP10*BSL!AW10+DSP!AP10*DSP!AW10+RSP!AP10*RSP!AW10+ISP!AP10*ISP!AW10)/(BSP!AW10+BSL!AW10+DSP!AW10+RSP!AW10+ISP!AW10),)</f>
        <v>61.238201728138421</v>
      </c>
      <c r="AQ10" s="168">
        <f>IFERROR((BSP!AQ10*BSP!AW10+BSL!AQ10*BSL!AW10+DSP!AQ10*DSP!AW10+RSP!AQ10*RSP!AW10+ISP!AQ10*ISP!AW10)/(BSP!AW10+BSL!AW10+DSP!AW10+RSP!AW10+ISP!AW10),)</f>
        <v>4.9755089399141186</v>
      </c>
      <c r="AR10" s="168">
        <f>IFERROR((BSP!AR10*BSP!AW10+BSL!AR10*BSL!AW10+DSP!AR10*DSP!AW10+RSP!AR10*RSP!AW10+ISP!AR10*ISP!AW10)/(BSP!AW10+BSL!AW10+DSP!AW10+RSP!AW10+ISP!AW10),)</f>
        <v>2.628763110649154</v>
      </c>
      <c r="AS10" s="168">
        <f>IFERROR((BSP!AS10*BSP!AW10+BSL!AS10*BSL!AW10+DSP!AS10*DSP!AW10+RSP!AS10*RSP!AW10+ISP!AS10*ISP!AW10)/(IF(BSP!AT10&gt;0,BSP!AW10,0)+IF(BSL!AT10&gt;0,BSL!AW10,0)+IF(DSP!AT10&gt;0,DSP!AW10,0)+IF(RSP!AT10&gt;0,RSP!AW10,0)+IF(ISP!AT10&gt;0,ISP!AW10,0)),)</f>
        <v>12.84</v>
      </c>
      <c r="AT10" s="168">
        <f>IFERROR((BSP!AT10*BSP!AW10+BSL!AT10*BSL!AW10+DSP!AT10*DSP!AW10+RSP!AT10*RSP!AW10+ISP!AT10*ISP!AW10)/(IF(BSP!AT10&gt;0,BSP!AW10,0)+IF(BSL!AT10&gt;0,BSL!AW10,0)+IF(DSP!AT10&gt;0,DSP!AW10,0)+IF(RSP!AT10&gt;0,RSP!AW10,0)+IF(ISP!AT10&gt;0,ISP!AW10,0)),)</f>
        <v>29.49</v>
      </c>
      <c r="AU10" s="168">
        <f t="shared" si="16"/>
        <v>7.6042720505632726</v>
      </c>
      <c r="AV10" s="169">
        <f t="shared" si="17"/>
        <v>0.52834054614210557</v>
      </c>
      <c r="AW10" s="170">
        <f>(BSP!AW10+BSL!AW10+DSP!AW10+RSP!AW10+ISP!AW10)</f>
        <v>95247</v>
      </c>
      <c r="AY10" s="172">
        <f t="shared" si="7"/>
        <v>44378</v>
      </c>
      <c r="AZ10" s="167">
        <f>IFERROR((BSP!AZ10*BSP!BG10+BSL!AZ10*BSL!BG10+DSP!AZ10*DSP!BG10+RSP!AZ10*RSP!BG10+ISP!AZ10*ISP!BG10)/(BSP!BG10+BSL!BG10+DSP!BG10+RSP!BG10+ISP!BG10),)</f>
        <v>60.330767605833486</v>
      </c>
      <c r="BA10" s="168">
        <f>IFERROR((BSP!BA10*BSP!BG10+BSL!BA10*BSL!BG10+DSP!BA10*DSP!BG10+RSP!BA10*RSP!BG10+ISP!BA10*ISP!BG10)/(BSP!BG10+BSL!BG10+DSP!BG10+RSP!BG10+ISP!BG10),)</f>
        <v>6.310313270890239</v>
      </c>
      <c r="BB10" s="168">
        <f>IFERROR((BSP!BB10*BSP!BG10+BSL!BB10*BSL!BG10+DSP!BB10*DSP!BG10+RSP!BB10*RSP!BG10+ISP!BB10*ISP!BG10)/(BSP!BG10+BSL!BG10+DSP!BG10+RSP!BG10+ISP!BG10),)</f>
        <v>2.8411314423976632</v>
      </c>
      <c r="BC10" s="168">
        <f>IFERROR((BSP!BC10*BSP!BG10+BSL!BC10*BSL!BG10+DSP!BC10*DSP!BG10+RSP!BC10*RSP!BG10+ISP!BC10*ISP!BG10)/(IF(BSP!BD10&gt;0,BSP!BG10,0)+IF(BSL!BD10&gt;0,BSL!BG10,0)+IF(DSP!BD10&gt;0,DSP!BG10,0)+IF(RSP!BD10&gt;0,RSP!BG10,0)+IF(ISP!BD10&gt;0,ISP!BG10,0)),)</f>
        <v>6.2941411396652267</v>
      </c>
      <c r="BD10" s="168">
        <f>IFERROR((BSP!BD10*BSP!BG10+BSL!BD10*BSL!BG10+DSP!BD10*DSP!BG10+RSP!BD10*RSP!BG10+ISP!BD10*ISP!BG10)/(IF(BSP!BD10&gt;0,BSP!BG10,0)+IF(BSL!BD10&gt;0,BSL!BG10,0)+IF(DSP!BD10&gt;0,DSP!BG10,0)+IF(RSP!BD10&gt;0,RSP!BG10,0)+IF(ISP!BD10&gt;0,ISP!BG10,0)),)</f>
        <v>41.832601533037817</v>
      </c>
      <c r="BE10" s="168">
        <f t="shared" si="18"/>
        <v>9.1514447132879013</v>
      </c>
      <c r="BF10" s="169">
        <f t="shared" si="19"/>
        <v>0.45023619595938785</v>
      </c>
      <c r="BG10" s="170">
        <f>(BSP!BG10+BSL!BG10+DSP!BG10+RSP!BG10+ISP!BG10)</f>
        <v>211606</v>
      </c>
      <c r="BK10" s="178">
        <f t="shared" si="5"/>
        <v>44378</v>
      </c>
      <c r="BL10" s="179">
        <f t="shared" si="5"/>
        <v>61.75</v>
      </c>
      <c r="BM10" s="180">
        <f t="shared" si="5"/>
        <v>4.2699999999999996</v>
      </c>
      <c r="BN10" s="180">
        <f t="shared" si="5"/>
        <v>2.5499999999999998</v>
      </c>
      <c r="BO10" s="180">
        <f t="shared" si="5"/>
        <v>10.99</v>
      </c>
      <c r="BP10" s="180">
        <f t="shared" si="5"/>
        <v>30.39</v>
      </c>
      <c r="BQ10" s="180">
        <f t="shared" si="5"/>
        <v>6.8199999999999994</v>
      </c>
      <c r="BR10" s="181">
        <f t="shared" si="5"/>
        <v>0.59718969555035128</v>
      </c>
      <c r="BS10" s="182">
        <f t="shared" si="5"/>
        <v>104950</v>
      </c>
      <c r="BT10" s="117">
        <f t="shared" si="0"/>
        <v>0</v>
      </c>
      <c r="BU10" s="178">
        <f t="shared" si="0"/>
        <v>44378</v>
      </c>
      <c r="BV10" s="179">
        <f t="shared" si="0"/>
        <v>61.20050401440249</v>
      </c>
      <c r="BW10" s="180">
        <f t="shared" si="0"/>
        <v>5.7717291693889106</v>
      </c>
      <c r="BX10" s="180">
        <f t="shared" si="0"/>
        <v>2.2941600969844793</v>
      </c>
      <c r="BY10" s="180">
        <f t="shared" si="0"/>
        <v>5.2742224568011116</v>
      </c>
      <c r="BZ10" s="180">
        <f t="shared" si="0"/>
        <v>44.959161695147159</v>
      </c>
      <c r="CA10" s="180">
        <f t="shared" si="0"/>
        <v>8.0658892663733894</v>
      </c>
      <c r="CB10" s="181">
        <f t="shared" si="20"/>
        <v>0.39748228471145963</v>
      </c>
      <c r="CC10" s="182">
        <f t="shared" si="20"/>
        <v>275508</v>
      </c>
      <c r="CD10" s="104">
        <f t="shared" si="1"/>
        <v>0</v>
      </c>
      <c r="CE10" s="178">
        <f t="shared" si="1"/>
        <v>44378</v>
      </c>
      <c r="CF10" s="179">
        <f t="shared" si="1"/>
        <v>62.284235123454664</v>
      </c>
      <c r="CG10" s="180">
        <f t="shared" si="1"/>
        <v>3.2254760408416265</v>
      </c>
      <c r="CH10" s="180">
        <f t="shared" si="1"/>
        <v>2.0965819673542474</v>
      </c>
      <c r="CI10" s="180">
        <f t="shared" si="1"/>
        <v>14.422629997589446</v>
      </c>
      <c r="CJ10" s="180">
        <f t="shared" si="1"/>
        <v>16.729859585385174</v>
      </c>
      <c r="CK10" s="180">
        <f t="shared" si="1"/>
        <v>5.3220580081958744</v>
      </c>
      <c r="CL10" s="181">
        <f t="shared" si="1"/>
        <v>0.65000698836602866</v>
      </c>
      <c r="CM10" s="182">
        <f t="shared" si="1"/>
        <v>232312</v>
      </c>
      <c r="CN10" s="111">
        <f t="shared" si="1"/>
        <v>0</v>
      </c>
      <c r="CO10" s="178">
        <f t="shared" si="1"/>
        <v>44378</v>
      </c>
      <c r="CP10" s="179">
        <f t="shared" si="1"/>
        <v>61.883985156723504</v>
      </c>
      <c r="CQ10" s="180">
        <f t="shared" si="1"/>
        <v>3.9340157657400106</v>
      </c>
      <c r="CR10" s="180">
        <f t="shared" si="21"/>
        <v>2.5754841599292524</v>
      </c>
      <c r="CS10" s="180">
        <f t="shared" si="21"/>
        <v>8.3504920694820868</v>
      </c>
      <c r="CT10" s="180">
        <f t="shared" si="21"/>
        <v>29.595638577271565</v>
      </c>
      <c r="CU10" s="180">
        <f t="shared" si="21"/>
        <v>6.5094999256692629</v>
      </c>
      <c r="CV10" s="181">
        <f t="shared" si="21"/>
        <v>0.6546705232750355</v>
      </c>
      <c r="CW10" s="182">
        <f t="shared" si="21"/>
        <v>262341</v>
      </c>
      <c r="CX10" s="111">
        <f t="shared" si="2"/>
        <v>0</v>
      </c>
      <c r="CY10" s="178">
        <f t="shared" si="3"/>
        <v>44378</v>
      </c>
      <c r="CZ10" s="179">
        <f t="shared" si="3"/>
        <v>60.531450559886046</v>
      </c>
      <c r="DA10" s="180">
        <f t="shared" si="3"/>
        <v>5.3071459660507259</v>
      </c>
      <c r="DB10" s="180">
        <f t="shared" si="3"/>
        <v>3.1669105369366517</v>
      </c>
      <c r="DC10" s="180">
        <f t="shared" si="3"/>
        <v>16.083461599335259</v>
      </c>
      <c r="DD10" s="180">
        <f t="shared" si="3"/>
        <v>17.778775768606813</v>
      </c>
      <c r="DE10" s="180">
        <f t="shared" si="3"/>
        <v>8.4740565029873771</v>
      </c>
      <c r="DF10" s="181">
        <f t="shared" si="3"/>
        <v>0.59672572738625562</v>
      </c>
      <c r="DG10" s="182">
        <f t="shared" si="3"/>
        <v>50546</v>
      </c>
      <c r="DH10" s="111">
        <f t="shared" si="3"/>
        <v>0</v>
      </c>
      <c r="DI10" s="178">
        <f t="shared" si="3"/>
        <v>44378</v>
      </c>
      <c r="DJ10" s="179">
        <f t="shared" si="3"/>
        <v>60.45</v>
      </c>
      <c r="DK10" s="180">
        <f t="shared" si="3"/>
        <v>4.47</v>
      </c>
      <c r="DL10" s="180">
        <f t="shared" si="3"/>
        <v>3.97</v>
      </c>
      <c r="DM10" s="180">
        <f t="shared" si="3"/>
        <v>0</v>
      </c>
      <c r="DN10" s="180">
        <f t="shared" si="3"/>
        <v>0</v>
      </c>
      <c r="DO10" s="180">
        <f t="shared" si="22"/>
        <v>8.44</v>
      </c>
      <c r="DP10" s="181">
        <f t="shared" si="22"/>
        <v>0.88814317673378085</v>
      </c>
      <c r="DQ10" s="182">
        <f t="shared" si="22"/>
        <v>21729</v>
      </c>
    </row>
    <row r="11" spans="1:121" ht="19" customHeight="1" x14ac:dyDescent="0.35">
      <c r="A11" s="166">
        <f>BSP!A11</f>
        <v>44409</v>
      </c>
      <c r="B11" s="167">
        <f>IFERROR((BSP!B11*BSP!I11+BSL!B11*BSL!I11+DSP!B11*DSP!I11+RSP!B11*RSP!I11+ISP!B11*ISP!I11)/(BSP!I11+BSL!I11+DSP!I11+RSP!I11+ISP!I11),)</f>
        <v>60.977073750179208</v>
      </c>
      <c r="C11" s="168">
        <f>IFERROR((BSP!C11*BSP!I11+BSL!C11*BSL!I11+DSP!C11*DSP!I11+RSP!C11*RSP!I11+ISP!C11*ISP!I11)/(BSP!I11+BSL!I11+DSP!I11+RSP!I11+ISP!I11),)</f>
        <v>5.4868976181211213</v>
      </c>
      <c r="D11" s="168">
        <f>IFERROR((BSP!D11*BSP!I11+BSL!D11*BSL!I11+DSP!D11*DSP!I11+RSP!D11*RSP!I11+ISP!D11*ISP!I11)/(BSP!I11+BSL!I11+DSP!I11+RSP!I11+ISP!I11),)</f>
        <v>2.3415071579249189</v>
      </c>
      <c r="E11" s="168">
        <f>IFERROR((BSP!E11*BSP!I11+BSL!E11*BSL!I11+DSP!E11*DSP!I11+RSP!E11*RSP!I11+ISP!E11*ISP!I11)/(IF(BSP!F11&gt;0,BSP!I11,0)+IF(BSL!F11&gt;0,BSL!I11,0)+IF(DSP!F11&gt;0,DSP!I11,0)+IF(RSP!F11&gt;0,RSP!I11,0)+IF(ISP!F11&gt;0,ISP!I11,0)),)</f>
        <v>9.2942134474778317</v>
      </c>
      <c r="F11" s="168">
        <f>IFERROR((BSP!F11*BSP!I11+BSL!F11*BSL!I11+DSP!F11*DSP!I11+RSP!F11*RSP!I11+ISP!F11*ISP!I11)/(IF(BSP!F11&gt;0,BSP!I11,0)+IF(BSL!F11&gt;0,BSL!I11,0)+IF(DSP!F11&gt;0,DSP!I11,0)+IF(RSP!F11&gt;0,RSP!I11,0)+IF(ISP!F11&gt;0,ISP!I11,0)),)</f>
        <v>25.061056382739057</v>
      </c>
      <c r="G11" s="168">
        <f t="shared" si="8"/>
        <v>7.8284047760460407</v>
      </c>
      <c r="H11" s="169">
        <f t="shared" si="9"/>
        <v>0.4267451884270298</v>
      </c>
      <c r="I11" s="170">
        <f>(BSP!I11+BSL!I11+DSP!I11+RSP!I11+ISP!I11)</f>
        <v>97654</v>
      </c>
      <c r="J11" s="119"/>
      <c r="K11" s="166">
        <f>BSP!K11</f>
        <v>44409</v>
      </c>
      <c r="L11" s="167">
        <f>IFERROR((BSP!L11*BSP!S11+BSL!L11*BSL!S11+DSP!L11*DSP!S11+RSP!L11*RSP!S11+ISP!L11*ISP!S11)/(BSP!S11+BSL!S11+DSP!S11+RSP!S11+ISP!S11),)</f>
        <v>61.262585106049194</v>
      </c>
      <c r="M11" s="168">
        <f>IFERROR((BSP!M11*BSP!S11+BSL!M11*BSL!S11+DSP!M11*DSP!S11+RSP!M11*RSP!S11+ISP!M11*ISP!S11)/(BSP!S11+BSL!S11+DSP!S11+RSP!S11+ISP!S11),)</f>
        <v>5.4620008157630524</v>
      </c>
      <c r="N11" s="168">
        <f>IFERROR((BSP!N11*BSP!S11+BSL!N11*BSL!S11+DSP!N11*DSP!S11+RSP!N11*RSP!S11+ISP!N11*ISP!S11)/(BSP!S11+BSL!S11+DSP!S11+RSP!S11+ISP!S11),)</f>
        <v>2.4394016691767062</v>
      </c>
      <c r="O11" s="168">
        <f>IFERROR((BSP!O11*BSP!S11+BSL!O11*BSL!S11+DSP!O11*DSP!S11+RSP!O11*RSP!S11+ISP!O11*ISP!S11)/(IF(BSP!P11&gt;0,BSP!S11,0)+IF(BSL!P11&gt;0,BSL!S11,0)+IF(DSP!P11&gt;0,DSP!S11,0)+IF(RSP!P11&gt;0,RSP!S11,0)+IF(ISP!P11&gt;0,ISP!S11,0)),)</f>
        <v>6.2446614894552814</v>
      </c>
      <c r="P11" s="168">
        <f>IFERROR((BSP!P11*BSP!S11+BSL!P11*BSL!S11+DSP!P11*DSP!S11+RSP!P11*RSP!S11+ISP!P11*ISP!S11)/(IF(BSP!P11&gt;0,BSP!S11,0)+IF(BSL!P11&gt;0,BSL!S11,0)+IF(DSP!P11&gt;0,DSP!S11,0)+IF(RSP!P11&gt;0,RSP!S11,0)+IF(ISP!P11&gt;0,ISP!S11,0)),)</f>
        <v>42.262703730524372</v>
      </c>
      <c r="Q11" s="168">
        <f t="shared" si="10"/>
        <v>7.9014024849397586</v>
      </c>
      <c r="R11" s="169">
        <f t="shared" si="11"/>
        <v>0.44661320118018272</v>
      </c>
      <c r="S11" s="170">
        <f>(BSP!S11+BSL!S11+DSP!S11+RSP!S11+ISP!S11)</f>
        <v>254976</v>
      </c>
      <c r="U11" s="166">
        <f>BSP!U11</f>
        <v>44409</v>
      </c>
      <c r="V11" s="167">
        <f>IFERROR((BSP!V11*BSP!AC11+BSL!V11*BSL!AC11+DSP!V11*DSP!AC11+RSP!V11*RSP!AC11+ISP!V11*ISP!AC11)/(BSP!AC11+BSL!AC11+DSP!AC11+RSP!AC11+ISP!AC11),)</f>
        <v>61.932865851845243</v>
      </c>
      <c r="W11" s="168">
        <f>IFERROR((BSP!W11*BSP!AC11+BSL!W11*BSL!AC11+DSP!W11*DSP!AC11+RSP!W11*RSP!AC11+ISP!W11*ISP!AC11)/(BSP!AC11+BSL!AC11+DSP!AC11+RSP!AC11+ISP!AC11),)</f>
        <v>3.8108529852003845</v>
      </c>
      <c r="X11" s="168">
        <f>IFERROR((BSP!X11*BSP!AC11+BSL!X11*BSL!AC11+DSP!X11*DSP!AC11+RSP!X11*RSP!AC11+ISP!X11*ISP!AC11)/(BSP!AC11+BSL!AC11+DSP!AC11+RSP!AC11+ISP!AC11),)</f>
        <v>1.9939544611968556</v>
      </c>
      <c r="Y11" s="168">
        <f>IFERROR((BSP!Y11*BSP!AC11+BSL!Y11*BSL!AC11+DSP!Y11*DSP!AC11+RSP!Y11*RSP!AC11+ISP!Y11*ISP!AC11)/(IF(BSP!Z11&gt;0,BSP!AC11,0)+IF(BSL!Z11&gt;0,BSL!AC11,0)+IF(DSP!Z11&gt;0,DSP!AC11,0)+IF(RSP!Z11&gt;0,RSP!AC11,0)+IF(ISP!Z11&gt;0,ISP!AC11,0)),)</f>
        <v>14.637792151148384</v>
      </c>
      <c r="Z11" s="168">
        <f>IFERROR((BSP!Z11*BSP!AC11+BSL!Z11*BSL!AC11+DSP!Z11*DSP!AC11+RSP!Z11*RSP!AC11+ISP!Z11*ISP!AC11)/(IF(BSP!Z11&gt;0,BSP!AC11,0)+IF(BSL!Z11&gt;0,BSL!AC11,0)+IF(DSP!Z11&gt;0,DSP!AC11,0)+IF(RSP!Z11&gt;0,RSP!AC11,0)+IF(ISP!Z11&gt;0,ISP!AC11,0)),)</f>
        <v>22.358887798495257</v>
      </c>
      <c r="AA11" s="168">
        <f t="shared" si="12"/>
        <v>5.8048074463972403</v>
      </c>
      <c r="AB11" s="169">
        <f t="shared" si="13"/>
        <v>0.52323048643977232</v>
      </c>
      <c r="AC11" s="170">
        <f>(BSP!AC11+BSL!AC11+DSP!AC11+RSP!AC11+ISP!AC11)</f>
        <v>302643</v>
      </c>
      <c r="AD11" s="171"/>
      <c r="AE11" s="172">
        <f>BSP!AE11</f>
        <v>44409</v>
      </c>
      <c r="AF11" s="167">
        <f>IFERROR((BSP!AF11*BSP!AM11+BSL!AF11*BSL!AM11+DSP!AF11*DSP!AM11+RSP!AF11*RSP!AM11+ISP!AF11*ISP!AM11)/(BSP!AM11+BSL!AM11+DSP!AM11+RSP!AM11+ISP!AM11),)</f>
        <v>61.678384628219526</v>
      </c>
      <c r="AG11" s="168">
        <f>IFERROR((BSP!AG11*BSP!AM11+BSL!AG11*BSL!AM11+DSP!AG11*DSP!AM11+RSP!AG11*RSP!AM11+ISP!AG11*ISP!AM11)/(BSP!AM11+BSL!AM11+DSP!AM11+RSP!AM11+ISP!AM11),)</f>
        <v>4.3342344446803995</v>
      </c>
      <c r="AH11" s="168">
        <f>IFERROR((BSP!AH11*BSP!AM11+BSL!AH11*BSL!AM11+DSP!AH11*DSP!AM11+RSP!AH11*RSP!AM11+ISP!AH11*ISP!AM11)/(BSP!AM11+BSL!AM11+DSP!AM11+RSP!AM11+ISP!AM11),)</f>
        <v>2.4403796681127323</v>
      </c>
      <c r="AI11" s="168">
        <f>IFERROR((BSP!AI11*BSP!AM11+BSL!AI11*BSL!AM11+DSP!AI11*DSP!AM11+RSP!AI11*RSP!AM11+ISP!AI11*ISP!AM11)/(IF(BSP!AJ11&gt;0,BSP!AM11,0)+IF(BSL!AJ11&gt;0,BSL!AM11,0)+IF(DSP!AJ11&gt;0,DSP!AM11,0)+IF(RSP!AJ11&gt;0,RSP!AM11,0)+IF(ISP!AJ11&gt;0,ISP!AM11,0)),)</f>
        <v>7.8504328337833327</v>
      </c>
      <c r="AJ11" s="168">
        <f>IFERROR((BSP!AJ11*BSP!AM11+BSL!AJ11*BSL!AM11+DSP!AJ11*DSP!AM11+RSP!AJ11*RSP!AM11+ISP!AJ11*ISP!AM11)/(IF(BSP!AJ11&gt;0,BSP!AM11,0)+IF(BSL!AJ11&gt;0,BSL!AM11,0)+IF(DSP!AJ11&gt;0,DSP!AM11,0)+IF(RSP!AJ11&gt;0,RSP!AM11,0)+IF(ISP!AJ11&gt;0,ISP!AM11,0)),)</f>
        <v>39.4307449261293</v>
      </c>
      <c r="AK11" s="168">
        <f t="shared" si="14"/>
        <v>6.7746141127931319</v>
      </c>
      <c r="AL11" s="169">
        <f t="shared" si="15"/>
        <v>0.5630474537684319</v>
      </c>
      <c r="AM11" s="170">
        <f>(BSP!AM11+BSL!AM11+DSP!AM11+RSP!AM11+ISP!AM11)</f>
        <v>263704</v>
      </c>
      <c r="AO11" s="172">
        <f t="shared" si="6"/>
        <v>44409</v>
      </c>
      <c r="AP11" s="167">
        <f>IFERROR((BSP!AP11*BSP!AW11+BSL!AP11*BSL!AW11+DSP!AP11*DSP!AW11+RSP!AP11*RSP!AW11+ISP!AP11*ISP!AW11)/(BSP!AW11+BSL!AW11+DSP!AW11+RSP!AW11+ISP!AW11),)</f>
        <v>60.835413388157541</v>
      </c>
      <c r="AQ11" s="168">
        <f>IFERROR((BSP!AQ11*BSP!AW11+BSL!AQ11*BSL!AW11+DSP!AQ11*DSP!AW11+RSP!AQ11*RSP!AW11+ISP!AQ11*ISP!AW11)/(BSP!AW11+BSL!AW11+DSP!AW11+RSP!AW11+ISP!AW11),)</f>
        <v>5.3006695155161836</v>
      </c>
      <c r="AR11" s="168">
        <f>IFERROR((BSP!AR11*BSP!AW11+BSL!AR11*BSL!AW11+DSP!AR11*DSP!AW11+RSP!AR11*RSP!AW11+ISP!AR11*ISP!AW11)/(BSP!AW11+BSL!AW11+DSP!AW11+RSP!AW11+ISP!AW11),)</f>
        <v>2.7369894405993347</v>
      </c>
      <c r="AS11" s="168">
        <f>IFERROR((BSP!AS11*BSP!AW11+BSL!AS11*BSL!AW11+DSP!AS11*DSP!AW11+RSP!AS11*RSP!AW11+ISP!AS11*ISP!AW11)/(IF(BSP!AT11&gt;0,BSP!AW11,0)+IF(BSL!AT11&gt;0,BSL!AW11,0)+IF(DSP!AT11&gt;0,DSP!AW11,0)+IF(RSP!AT11&gt;0,RSP!AW11,0)+IF(ISP!AT11&gt;0,ISP!AW11,0)),)</f>
        <v>13.220272972885699</v>
      </c>
      <c r="AT11" s="168">
        <f>IFERROR((BSP!AT11*BSP!AW11+BSL!AT11*BSL!AW11+DSP!AT11*DSP!AW11+RSP!AT11*RSP!AW11+ISP!AT11*ISP!AW11)/(IF(BSP!AT11&gt;0,BSP!AW11,0)+IF(BSL!AT11&gt;0,BSL!AW11,0)+IF(DSP!AT11&gt;0,DSP!AW11,0)+IF(RSP!AT11&gt;0,RSP!AW11,0)+IF(ISP!AT11&gt;0,ISP!AW11,0)),)</f>
        <v>25.235534697480166</v>
      </c>
      <c r="AU11" s="168">
        <f t="shared" si="16"/>
        <v>8.0376589561155178</v>
      </c>
      <c r="AV11" s="169">
        <f t="shared" si="17"/>
        <v>0.51634787503495294</v>
      </c>
      <c r="AW11" s="170">
        <f>(BSP!AW11+BSL!AW11+DSP!AW11+RSP!AW11+ISP!AW11)</f>
        <v>92903</v>
      </c>
      <c r="AY11" s="172">
        <f t="shared" si="7"/>
        <v>44409</v>
      </c>
      <c r="AZ11" s="167">
        <f>IFERROR((BSP!AZ11*BSP!BG11+BSL!AZ11*BSL!BG11+DSP!AZ11*DSP!BG11+RSP!AZ11*RSP!BG11+ISP!AZ11*ISP!BG11)/(BSP!BG11+BSL!BG11+DSP!BG11+RSP!BG11+ISP!BG11),)</f>
        <v>60.819511236394959</v>
      </c>
      <c r="BA11" s="168">
        <f>IFERROR((BSP!BA11*BSP!BG11+BSL!BA11*BSL!BG11+DSP!BA11*DSP!BG11+RSP!BA11*RSP!BG11+ISP!BA11*ISP!BG11)/(BSP!BG11+BSL!BG11+DSP!BG11+RSP!BG11+ISP!BG11),)</f>
        <v>5.7265398167723758</v>
      </c>
      <c r="BB11" s="168">
        <f>IFERROR((BSP!BB11*BSP!BG11+BSL!BB11*BSL!BG11+DSP!BB11*DSP!BG11+RSP!BB11*RSP!BG11+ISP!BB11*ISP!BG11)/(BSP!BG11+BSL!BG11+DSP!BG11+RSP!BG11+ISP!BG11),)</f>
        <v>2.7228953096860073</v>
      </c>
      <c r="BC11" s="168">
        <f>IFERROR((BSP!BC11*BSP!BG11+BSL!BC11*BSL!BG11+DSP!BC11*DSP!BG11+RSP!BC11*RSP!BG11+ISP!BC11*ISP!BG11)/(IF(BSP!BD11&gt;0,BSP!BG11,0)+IF(BSL!BD11&gt;0,BSL!BG11,0)+IF(DSP!BD11&gt;0,DSP!BG11,0)+IF(RSP!BD11&gt;0,RSP!BG11,0)+IF(ISP!BD11&gt;0,ISP!BG11,0)),)</f>
        <v>7.1893927639466817</v>
      </c>
      <c r="BD11" s="168">
        <f>IFERROR((BSP!BD11*BSP!BG11+BSL!BD11*BSL!BG11+DSP!BD11*DSP!BG11+RSP!BD11*RSP!BG11+ISP!BD11*ISP!BG11)/(IF(BSP!BD11&gt;0,BSP!BG11,0)+IF(BSL!BD11&gt;0,BSL!BG11,0)+IF(DSP!BD11&gt;0,DSP!BG11,0)+IF(RSP!BD11&gt;0,RSP!BG11,0)+IF(ISP!BD11&gt;0,ISP!BG11,0)),)</f>
        <v>39.548521757528746</v>
      </c>
      <c r="BE11" s="168">
        <f t="shared" si="18"/>
        <v>8.4494351264583827</v>
      </c>
      <c r="BF11" s="169">
        <f t="shared" si="19"/>
        <v>0.47548701254306491</v>
      </c>
      <c r="BG11" s="170">
        <f>(BSP!BG11+BSL!BG11+DSP!BG11+RSP!BG11+ISP!BG11)</f>
        <v>191565</v>
      </c>
      <c r="BK11" s="178">
        <f t="shared" si="5"/>
        <v>44409</v>
      </c>
      <c r="BL11" s="179">
        <f t="shared" si="5"/>
        <v>60.977073750179208</v>
      </c>
      <c r="BM11" s="180">
        <f t="shared" si="5"/>
        <v>5.4868976181211213</v>
      </c>
      <c r="BN11" s="180">
        <f t="shared" si="5"/>
        <v>2.3415071579249189</v>
      </c>
      <c r="BO11" s="180">
        <f t="shared" si="5"/>
        <v>9.2942134474778317</v>
      </c>
      <c r="BP11" s="180">
        <f t="shared" si="5"/>
        <v>25.061056382739057</v>
      </c>
      <c r="BQ11" s="180">
        <f t="shared" si="5"/>
        <v>7.8284047760460407</v>
      </c>
      <c r="BR11" s="181">
        <f t="shared" si="5"/>
        <v>0.4267451884270298</v>
      </c>
      <c r="BS11" s="182">
        <f t="shared" si="5"/>
        <v>97654</v>
      </c>
      <c r="BT11" s="117">
        <f t="shared" si="0"/>
        <v>0</v>
      </c>
      <c r="BU11" s="178">
        <f t="shared" si="0"/>
        <v>44409</v>
      </c>
      <c r="BV11" s="179">
        <f t="shared" si="0"/>
        <v>61.262585106049194</v>
      </c>
      <c r="BW11" s="180">
        <f t="shared" si="0"/>
        <v>5.4620008157630524</v>
      </c>
      <c r="BX11" s="180">
        <f t="shared" si="0"/>
        <v>2.4394016691767062</v>
      </c>
      <c r="BY11" s="180">
        <f t="shared" si="0"/>
        <v>6.2446614894552814</v>
      </c>
      <c r="BZ11" s="180">
        <f t="shared" si="0"/>
        <v>42.262703730524372</v>
      </c>
      <c r="CA11" s="180">
        <f t="shared" si="0"/>
        <v>7.9014024849397586</v>
      </c>
      <c r="CB11" s="181">
        <f t="shared" si="20"/>
        <v>0.44661320118018272</v>
      </c>
      <c r="CC11" s="182">
        <f t="shared" si="20"/>
        <v>254976</v>
      </c>
      <c r="CD11" s="104">
        <f t="shared" si="1"/>
        <v>0</v>
      </c>
      <c r="CE11" s="178">
        <f t="shared" si="1"/>
        <v>44409</v>
      </c>
      <c r="CF11" s="179">
        <f t="shared" si="1"/>
        <v>61.932865851845243</v>
      </c>
      <c r="CG11" s="180">
        <f t="shared" si="1"/>
        <v>3.8108529852003845</v>
      </c>
      <c r="CH11" s="180">
        <f t="shared" si="1"/>
        <v>1.9939544611968556</v>
      </c>
      <c r="CI11" s="180">
        <f t="shared" si="1"/>
        <v>14.637792151148384</v>
      </c>
      <c r="CJ11" s="180">
        <f t="shared" si="1"/>
        <v>22.358887798495257</v>
      </c>
      <c r="CK11" s="180">
        <f t="shared" si="1"/>
        <v>5.8048074463972403</v>
      </c>
      <c r="CL11" s="181">
        <f t="shared" si="1"/>
        <v>0.52323048643977232</v>
      </c>
      <c r="CM11" s="182">
        <f t="shared" si="1"/>
        <v>302643</v>
      </c>
      <c r="CN11" s="111">
        <f t="shared" si="1"/>
        <v>0</v>
      </c>
      <c r="CO11" s="178">
        <f t="shared" si="1"/>
        <v>44409</v>
      </c>
      <c r="CP11" s="179">
        <f t="shared" si="1"/>
        <v>61.678384628219526</v>
      </c>
      <c r="CQ11" s="180">
        <f t="shared" si="1"/>
        <v>4.3342344446803995</v>
      </c>
      <c r="CR11" s="180">
        <f t="shared" si="21"/>
        <v>2.4403796681127323</v>
      </c>
      <c r="CS11" s="180">
        <f t="shared" si="21"/>
        <v>7.8504328337833327</v>
      </c>
      <c r="CT11" s="180">
        <f t="shared" si="21"/>
        <v>39.4307449261293</v>
      </c>
      <c r="CU11" s="180">
        <f t="shared" si="21"/>
        <v>6.7746141127931319</v>
      </c>
      <c r="CV11" s="181">
        <f t="shared" si="21"/>
        <v>0.5630474537684319</v>
      </c>
      <c r="CW11" s="182">
        <f t="shared" si="21"/>
        <v>263704</v>
      </c>
      <c r="CX11" s="111">
        <f t="shared" si="2"/>
        <v>0</v>
      </c>
      <c r="CY11" s="178">
        <f t="shared" si="3"/>
        <v>44409</v>
      </c>
      <c r="CZ11" s="179">
        <f t="shared" si="3"/>
        <v>61.236706541490008</v>
      </c>
      <c r="DA11" s="180">
        <f t="shared" si="3"/>
        <v>4.3137780133252575</v>
      </c>
      <c r="DB11" s="180">
        <f t="shared" si="3"/>
        <v>3.2033403997577223</v>
      </c>
      <c r="DC11" s="180">
        <f t="shared" si="3"/>
        <v>16.650181708055722</v>
      </c>
      <c r="DD11" s="180">
        <f t="shared" si="3"/>
        <v>16.755239248940036</v>
      </c>
      <c r="DE11" s="180">
        <f t="shared" si="3"/>
        <v>7.5171184130829793</v>
      </c>
      <c r="DF11" s="181">
        <f t="shared" si="3"/>
        <v>0.74258350565620346</v>
      </c>
      <c r="DG11" s="182">
        <f t="shared" si="3"/>
        <v>46228</v>
      </c>
      <c r="DH11" s="111">
        <f t="shared" si="3"/>
        <v>0</v>
      </c>
      <c r="DI11" s="178">
        <f t="shared" si="3"/>
        <v>44409</v>
      </c>
      <c r="DJ11" s="179">
        <f t="shared" si="3"/>
        <v>59.925455673006901</v>
      </c>
      <c r="DK11" s="180">
        <f t="shared" si="3"/>
        <v>5.6636945962598721</v>
      </c>
      <c r="DL11" s="180">
        <f t="shared" si="3"/>
        <v>3.5741876785442792</v>
      </c>
      <c r="DM11" s="180">
        <f t="shared" si="3"/>
        <v>6.5972937000887306</v>
      </c>
      <c r="DN11" s="180">
        <f t="shared" si="3"/>
        <v>51.643509950564074</v>
      </c>
      <c r="DO11" s="180">
        <f t="shared" si="22"/>
        <v>9.2378822748041518</v>
      </c>
      <c r="DP11" s="181">
        <f t="shared" si="22"/>
        <v>0.63106998758452859</v>
      </c>
      <c r="DQ11" s="182">
        <f t="shared" si="22"/>
        <v>124969</v>
      </c>
    </row>
    <row r="12" spans="1:121" ht="19" customHeight="1" x14ac:dyDescent="0.35">
      <c r="A12" s="166">
        <f>BSP!A12</f>
        <v>44440</v>
      </c>
      <c r="B12" s="167">
        <f>IFERROR((BSP!B12*BSP!I12+BSL!B12*BSL!I12+DSP!B12*DSP!I12+RSP!B12*RSP!I12+ISP!B12*ISP!I12)/(BSP!I12+BSL!I12+DSP!I12+RSP!I12+ISP!I12),)</f>
        <v>60.826302566561729</v>
      </c>
      <c r="C12" s="168">
        <f>IFERROR((BSP!C12*BSP!I12+BSL!C12*BSL!I12+DSP!C12*DSP!I12+RSP!C12*RSP!I12+ISP!C12*ISP!I12)/(BSP!I12+BSL!I12+DSP!I12+RSP!I12+ISP!I12),)</f>
        <v>5.628247816024853</v>
      </c>
      <c r="D12" s="168">
        <f>IFERROR((BSP!D12*BSP!I12+BSL!D12*BSL!I12+DSP!D12*DSP!I12+RSP!D12*RSP!I12+ISP!D12*ISP!I12)/(BSP!I12+BSL!I12+DSP!I12+RSP!I12+ISP!I12),)</f>
        <v>2.4218718595584092</v>
      </c>
      <c r="E12" s="168">
        <f>IFERROR((BSP!E12*BSP!I12+BSL!E12*BSL!I12+DSP!E12*DSP!I12+RSP!E12*RSP!I12+ISP!E12*ISP!I12)/(IF(BSP!F12&gt;0,BSP!I12,0)+IF(BSL!F12&gt;0,BSL!I12,0)+IF(DSP!F12&gt;0,DSP!I12,0)+IF(RSP!F12&gt;0,RSP!I12,0)+IF(ISP!F12&gt;0,ISP!I12,0)),)</f>
        <v>12.357699685173987</v>
      </c>
      <c r="F12" s="168">
        <f>IFERROR((BSP!F12*BSP!I12+BSL!F12*BSL!I12+DSP!F12*DSP!I12+RSP!F12*RSP!I12+ISP!F12*ISP!I12)/(IF(BSP!F12&gt;0,BSP!I12,0)+IF(BSL!F12&gt;0,BSL!I12,0)+IF(DSP!F12&gt;0,DSP!I12,0)+IF(RSP!F12&gt;0,RSP!I12,0)+IF(ISP!F12&gt;0,ISP!I12,0)),)</f>
        <v>24.488027646310698</v>
      </c>
      <c r="G12" s="168">
        <f t="shared" si="8"/>
        <v>8.0501196755832627</v>
      </c>
      <c r="H12" s="169">
        <f t="shared" si="9"/>
        <v>0.43030654276857</v>
      </c>
      <c r="I12" s="170">
        <f>(BSP!I12+BSL!I12+DSP!I12+RSP!I12+ISP!I12)</f>
        <v>95926</v>
      </c>
      <c r="J12" s="119"/>
      <c r="K12" s="166">
        <f>BSP!K12</f>
        <v>44440</v>
      </c>
      <c r="L12" s="167">
        <f>IFERROR((BSP!L12*BSP!S12+BSL!L12*BSL!S12+DSP!L12*DSP!S12+RSP!L12*RSP!S12+ISP!L12*ISP!S12)/(BSP!S12+BSL!S12+DSP!S12+RSP!S12+ISP!S12),)</f>
        <v>60.341332663868648</v>
      </c>
      <c r="M12" s="168">
        <f>IFERROR((BSP!M12*BSP!S12+BSL!M12*BSL!S12+DSP!M12*DSP!S12+RSP!M12*RSP!S12+ISP!M12*ISP!S12)/(BSP!S12+BSL!S12+DSP!S12+RSP!S12+ISP!S12),)</f>
        <v>7.1514549699170038</v>
      </c>
      <c r="N12" s="168">
        <f>IFERROR((BSP!N12*BSP!S12+BSL!N12*BSL!S12+DSP!N12*DSP!S12+RSP!N12*RSP!S12+ISP!N12*ISP!S12)/(BSP!S12+BSL!S12+DSP!S12+RSP!S12+ISP!S12),)</f>
        <v>2.2175619898550352</v>
      </c>
      <c r="O12" s="168">
        <f>IFERROR((BSP!O12*BSP!S12+BSL!O12*BSL!S12+DSP!O12*DSP!S12+RSP!O12*RSP!S12+ISP!O12*ISP!S12)/(IF(BSP!P12&gt;0,BSP!S12,0)+IF(BSL!P12&gt;0,BSL!S12,0)+IF(DSP!P12&gt;0,DSP!S12,0)+IF(RSP!P12&gt;0,RSP!S12,0)+IF(ISP!P12&gt;0,ISP!S12,0)),)</f>
        <v>8.8305051892016504</v>
      </c>
      <c r="P12" s="168">
        <f>IFERROR((BSP!P12*BSP!S12+BSL!P12*BSL!S12+DSP!P12*DSP!S12+RSP!P12*RSP!S12+ISP!P12*ISP!S12)/(IF(BSP!P12&gt;0,BSP!S12,0)+IF(BSL!P12&gt;0,BSL!S12,0)+IF(DSP!P12&gt;0,DSP!S12,0)+IF(RSP!P12&gt;0,RSP!S12,0)+IF(ISP!P12&gt;0,ISP!S12,0)),)</f>
        <v>43.353897939854377</v>
      </c>
      <c r="Q12" s="168">
        <f t="shared" si="10"/>
        <v>9.3690169597720399</v>
      </c>
      <c r="R12" s="169">
        <f t="shared" si="11"/>
        <v>0.31008543005351136</v>
      </c>
      <c r="S12" s="170">
        <f>(BSP!S12+BSL!S12+DSP!S12+RSP!S12+ISP!S12)</f>
        <v>233022</v>
      </c>
      <c r="U12" s="166">
        <f>BSP!U12</f>
        <v>44440</v>
      </c>
      <c r="V12" s="167">
        <f>IFERROR((BSP!V12*BSP!AC12+BSL!V12*BSL!AC12+DSP!V12*DSP!AC12+RSP!V12*RSP!AC12+ISP!V12*ISP!AC12)/(BSP!AC12+BSL!AC12+DSP!AC12+RSP!AC12+ISP!AC12),)</f>
        <v>61.512317890200308</v>
      </c>
      <c r="W12" s="168">
        <f>IFERROR((BSP!W12*BSP!AC12+BSL!W12*BSL!AC12+DSP!W12*DSP!AC12+RSP!W12*RSP!AC12+ISP!W12*ISP!AC12)/(BSP!AC12+BSL!AC12+DSP!AC12+RSP!AC12+ISP!AC12),)</f>
        <v>4.2696831872275824</v>
      </c>
      <c r="X12" s="168">
        <f>IFERROR((BSP!X12*BSP!AC12+BSL!X12*BSL!AC12+DSP!X12*DSP!AC12+RSP!X12*RSP!AC12+ISP!X12*ISP!AC12)/(BSP!AC12+BSL!AC12+DSP!AC12+RSP!AC12+ISP!AC12),)</f>
        <v>1.9778467113962483</v>
      </c>
      <c r="Y12" s="168">
        <f>IFERROR((BSP!Y12*BSP!AC12+BSL!Y12*BSL!AC12+DSP!Y12*DSP!AC12+RSP!Y12*RSP!AC12+ISP!Y12*ISP!AC12)/(IF(BSP!Z12&gt;0,BSP!AC12,0)+IF(BSL!Z12&gt;0,BSL!AC12,0)+IF(DSP!Z12&gt;0,DSP!AC12,0)+IF(RSP!Z12&gt;0,RSP!AC12,0)+IF(ISP!Z12&gt;0,ISP!AC12,0)),)</f>
        <v>22.351301826730008</v>
      </c>
      <c r="Z12" s="168">
        <f>IFERROR((BSP!Z12*BSP!AC12+BSL!Z12*BSL!AC12+DSP!Z12*DSP!AC12+RSP!Z12*RSP!AC12+ISP!Z12*ISP!AC12)/(IF(BSP!Z12&gt;0,BSP!AC12,0)+IF(BSL!Z12&gt;0,BSL!AC12,0)+IF(DSP!Z12&gt;0,DSP!AC12,0)+IF(RSP!Z12&gt;0,RSP!AC12,0)+IF(ISP!Z12&gt;0,ISP!AC12,0)),)</f>
        <v>17.4737650717469</v>
      </c>
      <c r="AA12" s="168">
        <f t="shared" si="12"/>
        <v>6.2475298986238306</v>
      </c>
      <c r="AB12" s="169">
        <f t="shared" si="13"/>
        <v>0.46323032053357482</v>
      </c>
      <c r="AC12" s="170">
        <f>(BSP!AC12+BSL!AC12+DSP!AC12+RSP!AC12+ISP!AC12)</f>
        <v>204190</v>
      </c>
      <c r="AD12" s="171"/>
      <c r="AE12" s="172">
        <f>BSP!AE12</f>
        <v>44440</v>
      </c>
      <c r="AF12" s="167">
        <f>IFERROR((BSP!AF12*BSP!AM12+BSL!AF12*BSL!AM12+DSP!AF12*DSP!AM12+RSP!AF12*RSP!AM12+ISP!AF12*ISP!AM12)/(BSP!AM12+BSL!AM12+DSP!AM12+RSP!AM12+ISP!AM12),)</f>
        <v>61.367996930356398</v>
      </c>
      <c r="AG12" s="168">
        <f>IFERROR((BSP!AG12*BSP!AM12+BSL!AG12*BSL!AM12+DSP!AG12*DSP!AM12+RSP!AG12*RSP!AM12+ISP!AG12*ISP!AM12)/(BSP!AM12+BSL!AM12+DSP!AM12+RSP!AM12+ISP!AM12),)</f>
        <v>4.8043955261216489</v>
      </c>
      <c r="AH12" s="168">
        <f>IFERROR((BSP!AH12*BSP!AM12+BSL!AH12*BSL!AM12+DSP!AH12*DSP!AM12+RSP!AH12*RSP!AM12+ISP!AH12*ISP!AM12)/(BSP!AM12+BSL!AM12+DSP!AM12+RSP!AM12+ISP!AM12),)</f>
        <v>2.2292319107259448</v>
      </c>
      <c r="AI12" s="168">
        <f>IFERROR((BSP!AI12*BSP!AM12+BSL!AI12*BSL!AM12+DSP!AI12*DSP!AM12+RSP!AI12*RSP!AM12+ISP!AI12*ISP!AM12)/(IF(BSP!AJ12&gt;0,BSP!AM12,0)+IF(BSL!AJ12&gt;0,BSL!AM12,0)+IF(DSP!AJ12&gt;0,DSP!AM12,0)+IF(RSP!AJ12&gt;0,RSP!AM12,0)+IF(ISP!AJ12&gt;0,ISP!AM12,0)),)</f>
        <v>10.069386749654452</v>
      </c>
      <c r="AJ12" s="168">
        <f>IFERROR((BSP!AJ12*BSP!AM12+BSL!AJ12*BSL!AM12+DSP!AJ12*DSP!AM12+RSP!AJ12*RSP!AM12+ISP!AJ12*ISP!AM12)/(IF(BSP!AJ12&gt;0,BSP!AM12,0)+IF(BSL!AJ12&gt;0,BSL!AM12,0)+IF(DSP!AJ12&gt;0,DSP!AM12,0)+IF(RSP!AJ12&gt;0,RSP!AM12,0)+IF(ISP!AJ12&gt;0,ISP!AM12,0)),)</f>
        <v>36.640932340645641</v>
      </c>
      <c r="AK12" s="168">
        <f t="shared" si="14"/>
        <v>7.0336274368475937</v>
      </c>
      <c r="AL12" s="169">
        <f t="shared" si="15"/>
        <v>0.46399841532728542</v>
      </c>
      <c r="AM12" s="170">
        <f>(BSP!AM12+BSL!AM12+DSP!AM12+RSP!AM12+ISP!AM12)</f>
        <v>235858</v>
      </c>
      <c r="AO12" s="172">
        <f t="shared" si="6"/>
        <v>44440</v>
      </c>
      <c r="AP12" s="167">
        <f>IFERROR((BSP!AP12*BSP!AW12+BSL!AP12*BSL!AW12+DSP!AP12*DSP!AW12+RSP!AP12*RSP!AW12+ISP!AP12*ISP!AW12)/(BSP!AW12+BSL!AW12+DSP!AW12+RSP!AW12+ISP!AW12),)</f>
        <v>60.755388230240555</v>
      </c>
      <c r="AQ12" s="168">
        <f>IFERROR((BSP!AQ12*BSP!AW12+BSL!AQ12*BSL!AW12+DSP!AQ12*DSP!AW12+RSP!AQ12*RSP!AW12+ISP!AQ12*ISP!AW12)/(BSP!AW12+BSL!AW12+DSP!AW12+RSP!AW12+ISP!AW12),)</f>
        <v>5.6542667525773194</v>
      </c>
      <c r="AR12" s="168">
        <f>IFERROR((BSP!AR12*BSP!AW12+BSL!AR12*BSL!AW12+DSP!AR12*DSP!AW12+RSP!AR12*RSP!AW12+ISP!AR12*ISP!AW12)/(BSP!AW12+BSL!AW12+DSP!AW12+RSP!AW12+ISP!AW12),)</f>
        <v>2.4497414089347083</v>
      </c>
      <c r="AS12" s="168">
        <f>IFERROR((BSP!AS12*BSP!AW12+BSL!AS12*BSL!AW12+DSP!AS12*DSP!AW12+RSP!AS12*RSP!AW12+ISP!AS12*ISP!AW12)/(IF(BSP!AT12&gt;0,BSP!AW12,0)+IF(BSL!AT12&gt;0,BSL!AW12,0)+IF(DSP!AT12&gt;0,DSP!AW12,0)+IF(RSP!AT12&gt;0,RSP!AW12,0)+IF(ISP!AT12&gt;0,ISP!AW12,0)),)</f>
        <v>11.709914948453608</v>
      </c>
      <c r="AT12" s="168">
        <f>IFERROR((BSP!AT12*BSP!AW12+BSL!AT12*BSL!AW12+DSP!AT12*DSP!AW12+RSP!AT12*RSP!AW12+ISP!AT12*ISP!AW12)/(IF(BSP!AT12&gt;0,BSP!AW12,0)+IF(BSL!AT12&gt;0,BSL!AW12,0)+IF(DSP!AT12&gt;0,DSP!AW12,0)+IF(RSP!AT12&gt;0,RSP!AW12,0)+IF(ISP!AT12&gt;0,ISP!AW12,0)),)</f>
        <v>29.954957474226802</v>
      </c>
      <c r="AU12" s="168">
        <f t="shared" si="16"/>
        <v>8.1040081615120272</v>
      </c>
      <c r="AV12" s="169">
        <f t="shared" si="17"/>
        <v>0.4332553655729226</v>
      </c>
      <c r="AW12" s="170">
        <f>(BSP!AW12+BSL!AW12+DSP!AW12+RSP!AW12+ISP!AW12)</f>
        <v>116400</v>
      </c>
      <c r="AY12" s="172">
        <f t="shared" si="7"/>
        <v>44440</v>
      </c>
      <c r="AZ12" s="167">
        <f>IFERROR((BSP!AZ12*BSP!BG12+BSL!AZ12*BSL!BG12+DSP!AZ12*DSP!BG12+RSP!AZ12*RSP!BG12+ISP!AZ12*ISP!BG12)/(BSP!BG12+BSL!BG12+DSP!BG12+RSP!BG12+ISP!BG12),)</f>
        <v>60.379844674624501</v>
      </c>
      <c r="BA12" s="168">
        <f>IFERROR((BSP!BA12*BSP!BG12+BSL!BA12*BSL!BG12+DSP!BA12*DSP!BG12+RSP!BA12*RSP!BG12+ISP!BA12*ISP!BG12)/(BSP!BG12+BSL!BG12+DSP!BG12+RSP!BG12+ISP!BG12),)</f>
        <v>6.9447921917264424</v>
      </c>
      <c r="BB12" s="168">
        <f>IFERROR((BSP!BB12*BSP!BG12+BSL!BB12*BSL!BG12+DSP!BB12*DSP!BG12+RSP!BB12*RSP!BG12+ISP!BB12*ISP!BG12)/(BSP!BG12+BSL!BG12+DSP!BG12+RSP!BG12+ISP!BG12),)</f>
        <v>2.1481686838193887</v>
      </c>
      <c r="BC12" s="168">
        <f>IFERROR((BSP!BC12*BSP!BG12+BSL!BC12*BSL!BG12+DSP!BC12*DSP!BG12+RSP!BC12*RSP!BG12+ISP!BC12*ISP!BG12)/(IF(BSP!BD12&gt;0,BSP!BG12,0)+IF(BSL!BD12&gt;0,BSL!BG12,0)+IF(DSP!BD12&gt;0,DSP!BG12,0)+IF(RSP!BD12&gt;0,RSP!BG12,0)+IF(ISP!BD12&gt;0,ISP!BG12,0)),)</f>
        <v>7.4433005603714886</v>
      </c>
      <c r="BD12" s="168">
        <f>IFERROR((BSP!BD12*BSP!BG12+BSL!BD12*BSL!BG12+DSP!BD12*DSP!BG12+RSP!BD12*RSP!BG12+ISP!BD12*ISP!BG12)/(IF(BSP!BD12&gt;0,BSP!BG12,0)+IF(BSL!BD12&gt;0,BSL!BG12,0)+IF(DSP!BD12&gt;0,DSP!BG12,0)+IF(RSP!BD12&gt;0,RSP!BG12,0)+IF(ISP!BD12&gt;0,ISP!BG12,0)),)</f>
        <v>40.187471866027821</v>
      </c>
      <c r="BE12" s="168">
        <f t="shared" si="18"/>
        <v>9.0929608755458311</v>
      </c>
      <c r="BF12" s="169">
        <f t="shared" si="19"/>
        <v>0.30932080104262477</v>
      </c>
      <c r="BG12" s="170">
        <f>(BSP!BG12+BSL!BG12+DSP!BG12+RSP!BG12+ISP!BG12)</f>
        <v>216642</v>
      </c>
      <c r="BK12" s="178">
        <f t="shared" si="5"/>
        <v>44440</v>
      </c>
      <c r="BL12" s="179">
        <f t="shared" si="5"/>
        <v>60.826302566561729</v>
      </c>
      <c r="BM12" s="180">
        <f t="shared" si="5"/>
        <v>5.628247816024853</v>
      </c>
      <c r="BN12" s="180">
        <f t="shared" si="5"/>
        <v>2.4218718595584092</v>
      </c>
      <c r="BO12" s="180">
        <f t="shared" si="5"/>
        <v>12.357699685173987</v>
      </c>
      <c r="BP12" s="180">
        <f t="shared" si="5"/>
        <v>24.488027646310698</v>
      </c>
      <c r="BQ12" s="180">
        <f t="shared" si="5"/>
        <v>8.0501196755832627</v>
      </c>
      <c r="BR12" s="181">
        <f t="shared" si="5"/>
        <v>0.43030654276857</v>
      </c>
      <c r="BS12" s="182">
        <f t="shared" si="5"/>
        <v>95926</v>
      </c>
      <c r="BT12" s="117">
        <f t="shared" si="0"/>
        <v>0</v>
      </c>
      <c r="BU12" s="178">
        <f t="shared" si="0"/>
        <v>44440</v>
      </c>
      <c r="BV12" s="179">
        <f t="shared" si="0"/>
        <v>60.341332663868648</v>
      </c>
      <c r="BW12" s="180">
        <f t="shared" si="0"/>
        <v>7.1514549699170038</v>
      </c>
      <c r="BX12" s="180">
        <f t="shared" si="0"/>
        <v>2.2175619898550352</v>
      </c>
      <c r="BY12" s="180">
        <f t="shared" si="0"/>
        <v>8.8305051892016504</v>
      </c>
      <c r="BZ12" s="180">
        <f t="shared" si="0"/>
        <v>43.353897939854377</v>
      </c>
      <c r="CA12" s="180">
        <f t="shared" si="0"/>
        <v>9.3690169597720399</v>
      </c>
      <c r="CB12" s="181">
        <f t="shared" si="20"/>
        <v>0.31008543005351136</v>
      </c>
      <c r="CC12" s="182">
        <f t="shared" si="20"/>
        <v>233022</v>
      </c>
      <c r="CD12" s="104">
        <f t="shared" si="1"/>
        <v>0</v>
      </c>
      <c r="CE12" s="178">
        <f t="shared" si="1"/>
        <v>44440</v>
      </c>
      <c r="CF12" s="179">
        <f t="shared" si="1"/>
        <v>61.512317890200308</v>
      </c>
      <c r="CG12" s="180">
        <f t="shared" si="1"/>
        <v>4.2696831872275824</v>
      </c>
      <c r="CH12" s="180">
        <f t="shared" si="1"/>
        <v>1.9778467113962483</v>
      </c>
      <c r="CI12" s="180">
        <f t="shared" si="1"/>
        <v>22.351301826730008</v>
      </c>
      <c r="CJ12" s="180">
        <f t="shared" si="1"/>
        <v>17.4737650717469</v>
      </c>
      <c r="CK12" s="180">
        <f t="shared" si="1"/>
        <v>6.2475298986238306</v>
      </c>
      <c r="CL12" s="181">
        <f t="shared" si="1"/>
        <v>0.46323032053357482</v>
      </c>
      <c r="CM12" s="182">
        <f t="shared" si="1"/>
        <v>204190</v>
      </c>
      <c r="CN12" s="111">
        <f t="shared" si="1"/>
        <v>0</v>
      </c>
      <c r="CO12" s="178">
        <f t="shared" si="1"/>
        <v>44440</v>
      </c>
      <c r="CP12" s="179">
        <f t="shared" si="1"/>
        <v>61.367996930356398</v>
      </c>
      <c r="CQ12" s="180">
        <f t="shared" si="1"/>
        <v>4.8043955261216489</v>
      </c>
      <c r="CR12" s="180">
        <f t="shared" si="21"/>
        <v>2.2292319107259448</v>
      </c>
      <c r="CS12" s="180">
        <f t="shared" si="21"/>
        <v>10.069386749654452</v>
      </c>
      <c r="CT12" s="180">
        <f t="shared" si="21"/>
        <v>36.640932340645641</v>
      </c>
      <c r="CU12" s="180">
        <f t="shared" si="21"/>
        <v>7.0336274368475937</v>
      </c>
      <c r="CV12" s="181">
        <f t="shared" si="21"/>
        <v>0.46399841532728542</v>
      </c>
      <c r="CW12" s="182">
        <f t="shared" si="21"/>
        <v>235858</v>
      </c>
      <c r="CX12" s="111">
        <f t="shared" si="2"/>
        <v>0</v>
      </c>
      <c r="CY12" s="178">
        <f t="shared" si="3"/>
        <v>44440</v>
      </c>
      <c r="CZ12" s="179">
        <f t="shared" si="3"/>
        <v>60.43</v>
      </c>
      <c r="DA12" s="180">
        <f t="shared" si="3"/>
        <v>4.96</v>
      </c>
      <c r="DB12" s="180">
        <f t="shared" si="3"/>
        <v>3.7099999999999995</v>
      </c>
      <c r="DC12" s="180">
        <f t="shared" si="3"/>
        <v>9.64</v>
      </c>
      <c r="DD12" s="180">
        <f t="shared" si="3"/>
        <v>19.14</v>
      </c>
      <c r="DE12" s="180">
        <f t="shared" si="3"/>
        <v>8.67</v>
      </c>
      <c r="DF12" s="181">
        <f t="shared" si="3"/>
        <v>0.74798387096774188</v>
      </c>
      <c r="DG12" s="182">
        <f t="shared" si="3"/>
        <v>49598</v>
      </c>
      <c r="DH12" s="111">
        <f t="shared" si="3"/>
        <v>0</v>
      </c>
      <c r="DI12" s="178">
        <f t="shared" si="3"/>
        <v>44440</v>
      </c>
      <c r="DJ12" s="179">
        <f t="shared" si="3"/>
        <v>60.197202555230241</v>
      </c>
      <c r="DK12" s="180">
        <f t="shared" si="3"/>
        <v>5.2675219590098488</v>
      </c>
      <c r="DL12" s="180">
        <f t="shared" si="3"/>
        <v>3.6267128027681665</v>
      </c>
      <c r="DM12" s="180">
        <f t="shared" si="3"/>
        <v>5.48</v>
      </c>
      <c r="DN12" s="180">
        <f t="shared" si="3"/>
        <v>44.19</v>
      </c>
      <c r="DO12" s="180">
        <f t="shared" si="22"/>
        <v>8.8942347617780158</v>
      </c>
      <c r="DP12" s="181">
        <f t="shared" si="22"/>
        <v>0.68850454369057634</v>
      </c>
      <c r="DQ12" s="182">
        <f t="shared" si="22"/>
        <v>120224</v>
      </c>
    </row>
    <row r="13" spans="1:121" ht="19" customHeight="1" x14ac:dyDescent="0.35">
      <c r="A13" s="166">
        <f>BSP!A13</f>
        <v>44470</v>
      </c>
      <c r="B13" s="167">
        <f>IFERROR((BSP!B13*BSP!I13+BSL!B13*BSL!I13+DSP!B13*DSP!I13+RSP!B13*RSP!I13+ISP!B13*ISP!I13)/(BSP!I13+BSL!I13+DSP!I13+RSP!I13+ISP!I13),)</f>
        <v>59.422876083148338</v>
      </c>
      <c r="C13" s="168">
        <f>IFERROR((BSP!C13*BSP!I13+BSL!C13*BSL!I13+DSP!C13*DSP!I13+RSP!C13*RSP!I13+ISP!C13*ISP!I13)/(BSP!I13+BSL!I13+DSP!I13+RSP!I13+ISP!I13),)</f>
        <v>7.6766020656153504</v>
      </c>
      <c r="D13" s="168">
        <f>IFERROR((BSP!D13*BSP!I13+BSL!D13*BSL!I13+DSP!D13*DSP!I13+RSP!D13*RSP!I13+ISP!D13*ISP!I13)/(BSP!I13+BSL!I13+DSP!I13+RSP!I13+ISP!I13),)</f>
        <v>2.2851565553708961</v>
      </c>
      <c r="E13" s="168">
        <f>IFERROR((BSP!E13*BSP!I13+BSL!E13*BSL!I13+DSP!E13*DSP!I13+RSP!E13*RSP!I13+ISP!E13*ISP!I13)/(IF(BSP!F13&gt;0,BSP!I13,0)+IF(BSL!F13&gt;0,BSL!I13,0)+IF(DSP!F13&gt;0,DSP!I13,0)+IF(RSP!F13&gt;0,RSP!I13,0)+IF(ISP!F13&gt;0,ISP!I13,0)),)</f>
        <v>14.505331550664154</v>
      </c>
      <c r="F13" s="168">
        <f>IFERROR((BSP!F13*BSP!I13+BSL!F13*BSL!I13+DSP!F13*DSP!I13+RSP!F13*RSP!I13+ISP!F13*ISP!I13)/(IF(BSP!F13&gt;0,BSP!I13,0)+IF(BSL!F13&gt;0,BSL!I13,0)+IF(DSP!F13&gt;0,DSP!I13,0)+IF(RSP!F13&gt;0,RSP!I13,0)+IF(ISP!F13&gt;0,ISP!I13,0)),)</f>
        <v>22.160494375321949</v>
      </c>
      <c r="G13" s="168">
        <f t="shared" si="8"/>
        <v>9.961758620986247</v>
      </c>
      <c r="H13" s="169">
        <f t="shared" si="9"/>
        <v>0.29767813100622403</v>
      </c>
      <c r="I13" s="170">
        <f>(BSP!I13+BSL!I13+DSP!I13+RSP!I13+ISP!I13)</f>
        <v>104637.1</v>
      </c>
      <c r="J13" s="119"/>
      <c r="K13" s="166">
        <f>BSP!K13</f>
        <v>44470</v>
      </c>
      <c r="L13" s="167">
        <f>IFERROR((BSP!L13*BSP!S13+BSL!L13*BSL!S13+DSP!L13*DSP!S13+RSP!L13*RSP!S13+ISP!L13*ISP!S13)/(BSP!S13+BSL!S13+DSP!S13+RSP!S13+ISP!S13),)</f>
        <v>60.106148698205445</v>
      </c>
      <c r="M13" s="168">
        <f>IFERROR((BSP!M13*BSP!S13+BSL!M13*BSL!S13+DSP!M13*DSP!S13+RSP!M13*RSP!S13+ISP!M13*ISP!S13)/(BSP!S13+BSL!S13+DSP!S13+RSP!S13+ISP!S13),)</f>
        <v>7.2243268480402874</v>
      </c>
      <c r="N13" s="168">
        <f>IFERROR((BSP!N13*BSP!S13+BSL!N13*BSL!S13+DSP!N13*DSP!S13+RSP!N13*RSP!S13+ISP!N13*ISP!S13)/(BSP!S13+BSL!S13+DSP!S13+RSP!S13+ISP!S13),)</f>
        <v>2.459022231219095</v>
      </c>
      <c r="O13" s="168">
        <f>IFERROR((BSP!O13*BSP!S13+BSL!O13*BSL!S13+DSP!O13*DSP!S13+RSP!O13*RSP!S13+ISP!O13*ISP!S13)/(IF(BSP!P13&gt;0,BSP!S13,0)+IF(BSL!P13&gt;0,BSL!S13,0)+IF(DSP!P13&gt;0,DSP!S13,0)+IF(RSP!P13&gt;0,RSP!S13,0)+IF(ISP!P13&gt;0,ISP!S13,0)),)</f>
        <v>6.2931256760697174</v>
      </c>
      <c r="P13" s="168">
        <f>IFERROR((BSP!P13*BSP!S13+BSL!P13*BSL!S13+DSP!P13*DSP!S13+RSP!P13*RSP!S13+ISP!P13*ISP!S13)/(IF(BSP!P13&gt;0,BSP!S13,0)+IF(BSL!P13&gt;0,BSL!S13,0)+IF(DSP!P13&gt;0,DSP!S13,0)+IF(RSP!P13&gt;0,RSP!S13,0)+IF(ISP!P13&gt;0,ISP!S13,0)),)</f>
        <v>43.138424087364676</v>
      </c>
      <c r="Q13" s="168">
        <f t="shared" si="10"/>
        <v>9.6833490792593828</v>
      </c>
      <c r="R13" s="169">
        <f t="shared" si="11"/>
        <v>0.34038081096595785</v>
      </c>
      <c r="S13" s="170">
        <f>(BSP!S13+BSL!S13+DSP!S13+RSP!S13+ISP!S13)</f>
        <v>238601.40000000002</v>
      </c>
      <c r="U13" s="166">
        <f>BSP!U13</f>
        <v>44470</v>
      </c>
      <c r="V13" s="167">
        <f>IFERROR((BSP!V13*BSP!AC13+BSL!V13*BSL!AC13+DSP!V13*DSP!AC13+RSP!V13*RSP!AC13+ISP!V13*ISP!AC13)/(BSP!AC13+BSL!AC13+DSP!AC13+RSP!AC13+ISP!AC13),)</f>
        <v>61.597824200622604</v>
      </c>
      <c r="W13" s="168">
        <f>IFERROR((BSP!W13*BSP!AC13+BSL!W13*BSL!AC13+DSP!W13*DSP!AC13+RSP!W13*RSP!AC13+ISP!W13*ISP!AC13)/(BSP!AC13+BSL!AC13+DSP!AC13+RSP!AC13+ISP!AC13),)</f>
        <v>4.3460648081782187</v>
      </c>
      <c r="X13" s="168">
        <f>IFERROR((BSP!X13*BSP!AC13+BSL!X13*BSL!AC13+DSP!X13*DSP!AC13+RSP!X13*RSP!AC13+ISP!X13*ISP!AC13)/(BSP!AC13+BSL!AC13+DSP!AC13+RSP!AC13+ISP!AC13),)</f>
        <v>2.1689450343254086</v>
      </c>
      <c r="Y13" s="168">
        <f>IFERROR((BSP!Y13*BSP!AC13+BSL!Y13*BSL!AC13+DSP!Y13*DSP!AC13+RSP!Y13*RSP!AC13+ISP!Y13*ISP!AC13)/(IF(BSP!Z13&gt;0,BSP!AC13,0)+IF(BSL!Z13&gt;0,BSL!AC13,0)+IF(DSP!Z13&gt;0,DSP!AC13,0)+IF(RSP!Z13&gt;0,RSP!AC13,0)+IF(ISP!Z13&gt;0,ISP!AC13,0)),)</f>
        <v>27.305214715970479</v>
      </c>
      <c r="Z13" s="168">
        <f>IFERROR((BSP!Z13*BSP!AC13+BSL!Z13*BSL!AC13+DSP!Z13*DSP!AC13+RSP!Z13*RSP!AC13+ISP!Z13*ISP!AC13)/(IF(BSP!Z13&gt;0,BSP!AC13,0)+IF(BSL!Z13&gt;0,BSL!AC13,0)+IF(DSP!Z13&gt;0,DSP!AC13,0)+IF(RSP!Z13&gt;0,RSP!AC13,0)+IF(ISP!Z13&gt;0,ISP!AC13,0)),)</f>
        <v>16.392829807430161</v>
      </c>
      <c r="AA13" s="168">
        <f t="shared" si="12"/>
        <v>6.5150098425036269</v>
      </c>
      <c r="AB13" s="169">
        <f t="shared" si="13"/>
        <v>0.49905952397304126</v>
      </c>
      <c r="AC13" s="170">
        <f>(BSP!AC13+BSL!AC13+DSP!AC13+RSP!AC13+ISP!AC13)</f>
        <v>226786.81</v>
      </c>
      <c r="AD13" s="119"/>
      <c r="AE13" s="172">
        <f>BSP!AE13</f>
        <v>44470</v>
      </c>
      <c r="AF13" s="167">
        <f>IFERROR((BSP!AF13*BSP!AM13+BSL!AF13*BSL!AM13+DSP!AF13*DSP!AM13+RSP!AF13*RSP!AM13+ISP!AF13*ISP!AM13)/(BSP!AM13+BSL!AM13+DSP!AM13+RSP!AM13+ISP!AM13),)</f>
        <v>61.5459974755438</v>
      </c>
      <c r="AG13" s="168">
        <f>IFERROR((BSP!AG13*BSP!AM13+BSL!AG13*BSL!AM13+DSP!AG13*DSP!AM13+RSP!AG13*RSP!AM13+ISP!AG13*ISP!AM13)/(BSP!AM13+BSL!AM13+DSP!AM13+RSP!AM13+ISP!AM13),)</f>
        <v>4.8954784922864159</v>
      </c>
      <c r="AH13" s="168">
        <f>IFERROR((BSP!AH13*BSP!AM13+BSL!AH13*BSL!AM13+DSP!AH13*DSP!AM13+RSP!AH13*RSP!AM13+ISP!AH13*ISP!AM13)/(BSP!AM13+BSL!AM13+DSP!AM13+RSP!AM13+ISP!AM13),)</f>
        <v>2.3073782639860267</v>
      </c>
      <c r="AI13" s="168">
        <f>IFERROR((BSP!AI13*BSP!AM13+BSL!AI13*BSL!AM13+DSP!AI13*DSP!AM13+RSP!AI13*RSP!AM13+ISP!AI13*ISP!AM13)/(IF(BSP!AJ13&gt;0,BSP!AM13,0)+IF(BSL!AJ13&gt;0,BSL!AM13,0)+IF(DSP!AJ13&gt;0,DSP!AM13,0)+IF(RSP!AJ13&gt;0,RSP!AM13,0)+IF(ISP!AJ13&gt;0,ISP!AM13,0)),)</f>
        <v>9.7994516614221645</v>
      </c>
      <c r="AJ13" s="168">
        <f>IFERROR((BSP!AJ13*BSP!AM13+BSL!AJ13*BSL!AM13+DSP!AJ13*DSP!AM13+RSP!AJ13*RSP!AM13+ISP!AJ13*ISP!AM13)/(IF(BSP!AJ13&gt;0,BSP!AM13,0)+IF(BSL!AJ13&gt;0,BSL!AM13,0)+IF(DSP!AJ13&gt;0,DSP!AM13,0)+IF(RSP!AJ13&gt;0,RSP!AM13,0)+IF(ISP!AJ13&gt;0,ISP!AM13,0)),)</f>
        <v>39.530992793846657</v>
      </c>
      <c r="AK13" s="168">
        <f t="shared" si="14"/>
        <v>7.2028567562724426</v>
      </c>
      <c r="AL13" s="169">
        <f t="shared" si="15"/>
        <v>0.47132844473153307</v>
      </c>
      <c r="AM13" s="170">
        <f>(BSP!AM13+BSL!AM13+DSP!AM13+RSP!AM13+ISP!AM13)</f>
        <v>319649.03999999998</v>
      </c>
      <c r="AO13" s="172">
        <f t="shared" si="6"/>
        <v>44470</v>
      </c>
      <c r="AP13" s="167">
        <f>IFERROR((BSP!AP13*BSP!AW13+BSL!AP13*BSL!AW13+DSP!AP13*DSP!AW13+RSP!AP13*RSP!AW13+ISP!AP13*ISP!AW13)/(BSP!AW13+BSL!AW13+DSP!AW13+RSP!AW13+ISP!AW13),)</f>
        <v>59.232928369700566</v>
      </c>
      <c r="AQ13" s="168">
        <f>IFERROR((BSP!AQ13*BSP!AW13+BSL!AQ13*BSL!AW13+DSP!AQ13*DSP!AW13+RSP!AQ13*RSP!AW13+ISP!AQ13*ISP!AW13)/(BSP!AW13+BSL!AW13+DSP!AW13+RSP!AW13+ISP!AW13),)</f>
        <v>7.7656491165243731</v>
      </c>
      <c r="AR13" s="168">
        <f>IFERROR((BSP!AR13*BSP!AW13+BSL!AR13*BSL!AW13+DSP!AR13*DSP!AW13+RSP!AR13*RSP!AW13+ISP!AR13*ISP!AW13)/(BSP!AW13+BSL!AW13+DSP!AW13+RSP!AW13+ISP!AW13),)</f>
        <v>2.4657278195121557</v>
      </c>
      <c r="AS13" s="168">
        <f>IFERROR((BSP!AS13*BSP!AW13+BSL!AS13*BSL!AW13+DSP!AS13*DSP!AW13+RSP!AS13*RSP!AW13+ISP!AS13*ISP!AW13)/(IF(BSP!AT13&gt;0,BSP!AW13,0)+IF(BSL!AT13&gt;0,BSL!AW13,0)+IF(DSP!AT13&gt;0,DSP!AW13,0)+IF(RSP!AT13&gt;0,RSP!AW13,0)+IF(ISP!AT13&gt;0,ISP!AW13,0)),)</f>
        <v>13.8287110452766</v>
      </c>
      <c r="AT13" s="168">
        <f>IFERROR((BSP!AT13*BSP!AW13+BSL!AT13*BSL!AW13+DSP!AT13*DSP!AW13+RSP!AT13*RSP!AW13+ISP!AT13*ISP!AW13)/(IF(BSP!AT13&gt;0,BSP!AW13,0)+IF(BSL!AT13&gt;0,BSL!AW13,0)+IF(DSP!AT13&gt;0,DSP!AW13,0)+IF(RSP!AT13&gt;0,RSP!AW13,0)+IF(ISP!AT13&gt;0,ISP!AW13,0)),)</f>
        <v>27.10757274125681</v>
      </c>
      <c r="AU13" s="168">
        <f t="shared" si="16"/>
        <v>10.231376936036529</v>
      </c>
      <c r="AV13" s="169">
        <f t="shared" si="17"/>
        <v>0.31751728445538208</v>
      </c>
      <c r="AW13" s="170">
        <f>(BSP!AW13+BSL!AW13+DSP!AW13+RSP!AW13+ISP!AW13)</f>
        <v>98293.599999999991</v>
      </c>
      <c r="AY13" s="172">
        <f t="shared" si="7"/>
        <v>44470</v>
      </c>
      <c r="AZ13" s="167">
        <f>IFERROR((BSP!AZ13*BSP!BG13+BSL!AZ13*BSL!BG13+DSP!AZ13*DSP!BG13+RSP!AZ13*RSP!BG13+ISP!AZ13*ISP!BG13)/(BSP!BG13+BSL!BG13+DSP!BG13+RSP!BG13+ISP!BG13),)</f>
        <v>59.947995403685979</v>
      </c>
      <c r="BA13" s="168">
        <f>IFERROR((BSP!BA13*BSP!BG13+BSL!BA13*BSL!BG13+DSP!BA13*DSP!BG13+RSP!BA13*RSP!BG13+ISP!BA13*ISP!BG13)/(BSP!BG13+BSL!BG13+DSP!BG13+RSP!BG13+ISP!BG13),)</f>
        <v>6.8209524788858644</v>
      </c>
      <c r="BB13" s="168">
        <f>IFERROR((BSP!BB13*BSP!BG13+BSL!BB13*BSL!BG13+DSP!BB13*DSP!BG13+RSP!BB13*RSP!BG13+ISP!BB13*ISP!BG13)/(BSP!BG13+BSL!BG13+DSP!BG13+RSP!BG13+ISP!BG13),)</f>
        <v>2.5892919755613466</v>
      </c>
      <c r="BC13" s="168">
        <f>IFERROR((BSP!BC13*BSP!BG13+BSL!BC13*BSL!BG13+DSP!BC13*DSP!BG13+RSP!BC13*RSP!BG13+ISP!BC13*ISP!BG13)/(IF(BSP!BD13&gt;0,BSP!BG13,0)+IF(BSL!BD13&gt;0,BSL!BG13,0)+IF(DSP!BD13&gt;0,DSP!BG13,0)+IF(RSP!BD13&gt;0,RSP!BG13,0)+IF(ISP!BD13&gt;0,ISP!BG13,0)),)</f>
        <v>6.4022575099968382</v>
      </c>
      <c r="BD13" s="168">
        <f>IFERROR((BSP!BD13*BSP!BG13+BSL!BD13*BSL!BG13+DSP!BD13*DSP!BG13+RSP!BD13*RSP!BG13+ISP!BD13*ISP!BG13)/(IF(BSP!BD13&gt;0,BSP!BG13,0)+IF(BSL!BD13&gt;0,BSL!BG13,0)+IF(DSP!BD13&gt;0,DSP!BG13,0)+IF(RSP!BD13&gt;0,RSP!BG13,0)+IF(ISP!BD13&gt;0,ISP!BG13,0)),)</f>
        <v>42.235164770776059</v>
      </c>
      <c r="BE13" s="168">
        <f t="shared" si="18"/>
        <v>9.410244454447211</v>
      </c>
      <c r="BF13" s="169">
        <f t="shared" si="19"/>
        <v>0.37960856399109266</v>
      </c>
      <c r="BG13" s="170">
        <f>(BSP!BG13+BSL!BG13+DSP!BG13+RSP!BG13+ISP!BG13)</f>
        <v>206165.19999999998</v>
      </c>
      <c r="BK13" s="178">
        <f t="shared" si="5"/>
        <v>44470</v>
      </c>
      <c r="BL13" s="179">
        <f t="shared" si="5"/>
        <v>59.422876083148338</v>
      </c>
      <c r="BM13" s="180">
        <f t="shared" si="5"/>
        <v>7.6766020656153504</v>
      </c>
      <c r="BN13" s="180">
        <f t="shared" si="5"/>
        <v>2.2851565553708961</v>
      </c>
      <c r="BO13" s="180">
        <f t="shared" si="5"/>
        <v>14.505331550664154</v>
      </c>
      <c r="BP13" s="180">
        <f t="shared" si="5"/>
        <v>22.160494375321949</v>
      </c>
      <c r="BQ13" s="180">
        <f t="shared" si="5"/>
        <v>9.961758620986247</v>
      </c>
      <c r="BR13" s="181">
        <f t="shared" si="5"/>
        <v>0.29767813100622403</v>
      </c>
      <c r="BS13" s="182">
        <f t="shared" si="5"/>
        <v>104637.1</v>
      </c>
      <c r="BT13" s="117">
        <f t="shared" si="0"/>
        <v>0</v>
      </c>
      <c r="BU13" s="178">
        <f t="shared" si="0"/>
        <v>44470</v>
      </c>
      <c r="BV13" s="179">
        <f t="shared" si="0"/>
        <v>60.106148698205445</v>
      </c>
      <c r="BW13" s="180">
        <f t="shared" si="0"/>
        <v>7.2243268480402874</v>
      </c>
      <c r="BX13" s="180">
        <f t="shared" si="0"/>
        <v>2.459022231219095</v>
      </c>
      <c r="BY13" s="180">
        <f t="shared" si="0"/>
        <v>6.2931256760697174</v>
      </c>
      <c r="BZ13" s="180">
        <f t="shared" si="0"/>
        <v>43.138424087364676</v>
      </c>
      <c r="CA13" s="180">
        <f t="shared" si="0"/>
        <v>9.6833490792593828</v>
      </c>
      <c r="CB13" s="181">
        <f t="shared" si="20"/>
        <v>0.34038081096595785</v>
      </c>
      <c r="CC13" s="182">
        <f t="shared" si="20"/>
        <v>238601.40000000002</v>
      </c>
      <c r="CD13" s="104">
        <f t="shared" si="1"/>
        <v>0</v>
      </c>
      <c r="CE13" s="178">
        <f t="shared" si="1"/>
        <v>44470</v>
      </c>
      <c r="CF13" s="179">
        <f t="shared" si="1"/>
        <v>61.597824200622604</v>
      </c>
      <c r="CG13" s="180">
        <f t="shared" si="1"/>
        <v>4.3460648081782187</v>
      </c>
      <c r="CH13" s="180">
        <f t="shared" si="1"/>
        <v>2.1689450343254086</v>
      </c>
      <c r="CI13" s="180">
        <f t="shared" si="1"/>
        <v>27.305214715970479</v>
      </c>
      <c r="CJ13" s="180">
        <f t="shared" si="1"/>
        <v>16.392829807430161</v>
      </c>
      <c r="CK13" s="180">
        <f t="shared" si="1"/>
        <v>6.5150098425036269</v>
      </c>
      <c r="CL13" s="181">
        <f t="shared" si="1"/>
        <v>0.49905952397304126</v>
      </c>
      <c r="CM13" s="182">
        <f t="shared" si="1"/>
        <v>226786.81</v>
      </c>
      <c r="CN13" s="109">
        <f t="shared" si="1"/>
        <v>0</v>
      </c>
      <c r="CO13" s="178">
        <f t="shared" si="1"/>
        <v>44470</v>
      </c>
      <c r="CP13" s="179">
        <f t="shared" si="1"/>
        <v>61.5459974755438</v>
      </c>
      <c r="CQ13" s="180">
        <f t="shared" si="1"/>
        <v>4.8954784922864159</v>
      </c>
      <c r="CR13" s="180">
        <f t="shared" si="21"/>
        <v>2.3073782639860267</v>
      </c>
      <c r="CS13" s="180">
        <f t="shared" si="21"/>
        <v>9.7994516614221645</v>
      </c>
      <c r="CT13" s="180">
        <f t="shared" si="21"/>
        <v>39.530992793846657</v>
      </c>
      <c r="CU13" s="180">
        <f t="shared" si="21"/>
        <v>7.2028567562724426</v>
      </c>
      <c r="CV13" s="181">
        <f t="shared" si="21"/>
        <v>0.47132844473153307</v>
      </c>
      <c r="CW13" s="182">
        <f t="shared" si="21"/>
        <v>319649.03999999998</v>
      </c>
      <c r="CX13" s="111">
        <f t="shared" si="2"/>
        <v>0</v>
      </c>
      <c r="CY13" s="178">
        <f t="shared" si="3"/>
        <v>44470</v>
      </c>
      <c r="CZ13" s="179">
        <f t="shared" si="3"/>
        <v>61.25</v>
      </c>
      <c r="DA13" s="180">
        <f t="shared" si="3"/>
        <v>4.49</v>
      </c>
      <c r="DB13" s="180">
        <f t="shared" si="3"/>
        <v>2.9600000000000004</v>
      </c>
      <c r="DC13" s="180">
        <f t="shared" si="3"/>
        <v>12.850000000000001</v>
      </c>
      <c r="DD13" s="180">
        <f t="shared" si="3"/>
        <v>20.38</v>
      </c>
      <c r="DE13" s="180">
        <f t="shared" si="3"/>
        <v>7.4500000000000011</v>
      </c>
      <c r="DF13" s="181">
        <f t="shared" si="3"/>
        <v>0.65924276169265039</v>
      </c>
      <c r="DG13" s="182">
        <f t="shared" si="3"/>
        <v>44550.53</v>
      </c>
      <c r="DH13" s="111">
        <f t="shared" si="3"/>
        <v>0</v>
      </c>
      <c r="DI13" s="178">
        <f t="shared" si="3"/>
        <v>44470</v>
      </c>
      <c r="DJ13" s="179">
        <f t="shared" si="3"/>
        <v>60.372640061789831</v>
      </c>
      <c r="DK13" s="180">
        <f t="shared" si="3"/>
        <v>4.8355497904732143</v>
      </c>
      <c r="DL13" s="180">
        <f t="shared" si="3"/>
        <v>3.6546937988672328</v>
      </c>
      <c r="DM13" s="180">
        <f t="shared" si="3"/>
        <v>6.4681908871594613</v>
      </c>
      <c r="DN13" s="180">
        <f t="shared" si="3"/>
        <v>44.015871786030907</v>
      </c>
      <c r="DO13" s="180">
        <f t="shared" si="22"/>
        <v>8.490243589340448</v>
      </c>
      <c r="DP13" s="181">
        <f t="shared" si="22"/>
        <v>0.75579695323736473</v>
      </c>
      <c r="DQ13" s="182">
        <f t="shared" si="22"/>
        <v>172999.36</v>
      </c>
    </row>
    <row r="14" spans="1:121" ht="19" customHeight="1" x14ac:dyDescent="0.35">
      <c r="A14" s="166">
        <f>BSP!A14</f>
        <v>44501</v>
      </c>
      <c r="B14" s="167">
        <f>IFERROR((BSP!B14*BSP!I14+BSL!B14*BSL!I14+DSP!B14*DSP!I14+RSP!B14*RSP!I14+ISP!B14*ISP!I14)/(BSP!I14+BSL!I14+DSP!I14+RSP!I14+ISP!I14),)</f>
        <v>61.146238273195138</v>
      </c>
      <c r="C14" s="168">
        <f>IFERROR((BSP!C14*BSP!I14+BSL!C14*BSL!I14+DSP!C14*DSP!I14+RSP!C14*RSP!I14+ISP!C14*ISP!I14)/(BSP!I14+BSL!I14+DSP!I14+RSP!I14+ISP!I14),)</f>
        <v>4.5316291666907338</v>
      </c>
      <c r="D14" s="168">
        <f>IFERROR((BSP!D14*BSP!I14+BSL!D14*BSL!I14+DSP!D14*DSP!I14+RSP!D14*RSP!I14+ISP!D14*ISP!I14)/(BSP!I14+BSL!I14+DSP!I14+RSP!I14+ISP!I14),)</f>
        <v>2.8010350085774194</v>
      </c>
      <c r="E14" s="168">
        <f>IFERROR((BSP!E14*BSP!I14+BSL!E14*BSL!I14+DSP!E14*DSP!I14+RSP!E14*RSP!I14+ISP!E14*ISP!I14)/(IF(BSP!F14&gt;0,BSP!I14,0)+IF(BSL!F14&gt;0,BSL!I14,0)+IF(DSP!F14&gt;0,DSP!I14,0)+IF(RSP!F14&gt;0,RSP!I14,0)+IF(ISP!F14&gt;0,ISP!I14,0)),)</f>
        <v>14.387057431164045</v>
      </c>
      <c r="F14" s="168">
        <f>IFERROR((BSP!F14*BSP!I14+BSL!F14*BSL!I14+DSP!F14*DSP!I14+RSP!F14*RSP!I14+ISP!F14*ISP!I14)/(IF(BSP!F14&gt;0,BSP!I14,0)+IF(BSL!F14&gt;0,BSL!I14,0)+IF(DSP!F14&gt;0,DSP!I14,0)+IF(RSP!F14&gt;0,RSP!I14,0)+IF(ISP!F14&gt;0,ISP!I14,0)),)</f>
        <v>25.531635266188793</v>
      </c>
      <c r="G14" s="168">
        <f t="shared" si="8"/>
        <v>7.3326641752681532</v>
      </c>
      <c r="H14" s="169">
        <f t="shared" si="9"/>
        <v>0.61810772804759362</v>
      </c>
      <c r="I14" s="170">
        <f>(BSP!I14+BSL!I14+DSP!I14+RSP!I14+ISP!I14)</f>
        <v>86564.5</v>
      </c>
      <c r="J14" s="119"/>
      <c r="K14" s="166">
        <f>BSP!K14</f>
        <v>44501</v>
      </c>
      <c r="L14" s="167">
        <f>IFERROR((BSP!L14*BSP!S14+BSL!L14*BSL!S14+DSP!L14*DSP!S14+RSP!L14*RSP!S14+ISP!L14*ISP!S14)/(BSP!S14+BSL!S14+DSP!S14+RSP!S14+ISP!S14),)</f>
        <v>60.847473250811845</v>
      </c>
      <c r="M14" s="168">
        <f>IFERROR((BSP!M14*BSP!S14+BSL!M14*BSL!S14+DSP!M14*DSP!S14+RSP!M14*RSP!S14+ISP!M14*ISP!S14)/(BSP!S14+BSL!S14+DSP!S14+RSP!S14+ISP!S14),)</f>
        <v>5.4960478706805533</v>
      </c>
      <c r="N14" s="168">
        <f>IFERROR((BSP!N14*BSP!S14+BSL!N14*BSL!S14+DSP!N14*DSP!S14+RSP!N14*RSP!S14+ISP!N14*ISP!S14)/(BSP!S14+BSL!S14+DSP!S14+RSP!S14+ISP!S14),)</f>
        <v>2.7936449286617071</v>
      </c>
      <c r="O14" s="168">
        <f>IFERROR((BSP!O14*BSP!S14+BSL!O14*BSL!S14+DSP!O14*DSP!S14+RSP!O14*RSP!S14+ISP!O14*ISP!S14)/(IF(BSP!P14&gt;0,BSP!S14,0)+IF(BSL!P14&gt;0,BSL!S14,0)+IF(DSP!P14&gt;0,DSP!S14,0)+IF(RSP!P14&gt;0,RSP!S14,0)+IF(ISP!P14&gt;0,ISP!S14,0)),)</f>
        <v>5.7709975852780415</v>
      </c>
      <c r="P14" s="168">
        <f>IFERROR((BSP!P14*BSP!S14+BSL!P14*BSL!S14+DSP!P14*DSP!S14+RSP!P14*RSP!S14+ISP!P14*ISP!S14)/(IF(BSP!P14&gt;0,BSP!S14,0)+IF(BSL!P14&gt;0,BSL!S14,0)+IF(DSP!P14&gt;0,DSP!S14,0)+IF(RSP!P14&gt;0,RSP!S14,0)+IF(ISP!P14&gt;0,ISP!S14,0)),)</f>
        <v>43.461437831806336</v>
      </c>
      <c r="Q14" s="168">
        <f t="shared" si="10"/>
        <v>8.2896927993422604</v>
      </c>
      <c r="R14" s="169">
        <f t="shared" si="11"/>
        <v>0.50830069067716865</v>
      </c>
      <c r="S14" s="170">
        <f>(BSP!S14+BSL!S14+DSP!S14+RSP!S14+ISP!S14)</f>
        <v>280718.8</v>
      </c>
      <c r="U14" s="166">
        <f>BSP!U14</f>
        <v>44501</v>
      </c>
      <c r="V14" s="167">
        <f>IFERROR((BSP!V14*BSP!AC14+BSL!V14*BSL!AC14+DSP!V14*DSP!AC14+RSP!V14*RSP!AC14+ISP!V14*ISP!AC14)/(BSP!AC14+BSL!AC14+DSP!AC14+RSP!AC14+ISP!AC14),)</f>
        <v>62.195756057135227</v>
      </c>
      <c r="W14" s="168">
        <f>IFERROR((BSP!W14*BSP!AC14+BSL!W14*BSL!AC14+DSP!W14*DSP!AC14+RSP!W14*RSP!AC14+ISP!W14*ISP!AC14)/(BSP!AC14+BSL!AC14+DSP!AC14+RSP!AC14+ISP!AC14),)</f>
        <v>3.4533374190753774</v>
      </c>
      <c r="X14" s="168">
        <f>IFERROR((BSP!X14*BSP!AC14+BSL!X14*BSL!AC14+DSP!X14*DSP!AC14+RSP!X14*RSP!AC14+ISP!X14*ISP!AC14)/(BSP!AC14+BSL!AC14+DSP!AC14+RSP!AC14+ISP!AC14),)</f>
        <v>2.1035820141105606</v>
      </c>
      <c r="Y14" s="168">
        <f>IFERROR((BSP!Y14*BSP!AC14+BSL!Y14*BSL!AC14+DSP!Y14*DSP!AC14+RSP!Y14*RSP!AC14+ISP!Y14*ISP!AC14)/(IF(BSP!Z14&gt;0,BSP!AC14,0)+IF(BSL!Z14&gt;0,BSL!AC14,0)+IF(DSP!Z14&gt;0,DSP!AC14,0)+IF(RSP!Z14&gt;0,RSP!AC14,0)+IF(ISP!Z14&gt;0,ISP!AC14,0)),)</f>
        <v>27.35829641654151</v>
      </c>
      <c r="Z14" s="168">
        <f>IFERROR((BSP!Z14*BSP!AC14+BSL!Z14*BSL!AC14+DSP!Z14*DSP!AC14+RSP!Z14*RSP!AC14+ISP!Z14*ISP!AC14)/(IF(BSP!Z14&gt;0,BSP!AC14,0)+IF(BSL!Z14&gt;0,BSL!AC14,0)+IF(DSP!Z14&gt;0,DSP!AC14,0)+IF(RSP!Z14&gt;0,RSP!AC14,0)+IF(ISP!Z14&gt;0,ISP!AC14,0)),)</f>
        <v>16.349388508953037</v>
      </c>
      <c r="AA14" s="168">
        <f t="shared" si="12"/>
        <v>5.5569194331859375</v>
      </c>
      <c r="AB14" s="169">
        <f t="shared" si="13"/>
        <v>0.60914465018416575</v>
      </c>
      <c r="AC14" s="170">
        <f>(BSP!AC14+BSL!AC14+DSP!AC14+RSP!AC14+ISP!AC14)</f>
        <v>202370.41999999998</v>
      </c>
      <c r="AD14" s="119"/>
      <c r="AE14" s="172">
        <f>BSP!AE14</f>
        <v>44501</v>
      </c>
      <c r="AF14" s="167">
        <f>IFERROR((BSP!AF14*BSP!AM14+BSL!AF14*BSL!AM14+DSP!AF14*DSP!AM14+RSP!AF14*RSP!AM14+ISP!AF14*ISP!AM14)/(BSP!AM14+BSL!AM14+DSP!AM14+RSP!AM14+ISP!AM14),)</f>
        <v>61.870027056332738</v>
      </c>
      <c r="AG14" s="168">
        <f>IFERROR((BSP!AG14*BSP!AM14+BSL!AG14*BSL!AM14+DSP!AG14*DSP!AM14+RSP!AG14*RSP!AM14+ISP!AG14*ISP!AM14)/(BSP!AM14+BSL!AM14+DSP!AM14+RSP!AM14+ISP!AM14),)</f>
        <v>4.3005303698373671</v>
      </c>
      <c r="AH14" s="168">
        <f>IFERROR((BSP!AH14*BSP!AM14+BSL!AH14*BSL!AM14+DSP!AH14*DSP!AM14+RSP!AH14*RSP!AM14+ISP!AH14*ISP!AM14)/(BSP!AM14+BSL!AM14+DSP!AM14+RSP!AM14+ISP!AM14),)</f>
        <v>2.3499625121101322</v>
      </c>
      <c r="AI14" s="168">
        <f>IFERROR((BSP!AI14*BSP!AM14+BSL!AI14*BSL!AM14+DSP!AI14*DSP!AM14+RSP!AI14*RSP!AM14+ISP!AI14*ISP!AM14)/(IF(BSP!AJ14&gt;0,BSP!AM14,0)+IF(BSL!AJ14&gt;0,BSL!AM14,0)+IF(DSP!AJ14&gt;0,DSP!AM14,0)+IF(RSP!AJ14&gt;0,RSP!AM14,0)+IF(ISP!AJ14&gt;0,ISP!AM14,0)),)</f>
        <v>9.6564558826116276</v>
      </c>
      <c r="AJ14" s="168">
        <f>IFERROR((BSP!AJ14*BSP!AM14+BSL!AJ14*BSL!AM14+DSP!AJ14*DSP!AM14+RSP!AJ14*RSP!AM14+ISP!AJ14*ISP!AM14)/(IF(BSP!AJ14&gt;0,BSP!AM14,0)+IF(BSL!AJ14&gt;0,BSL!AM14,0)+IF(DSP!AJ14&gt;0,DSP!AM14,0)+IF(RSP!AJ14&gt;0,RSP!AM14,0)+IF(ISP!AJ14&gt;0,ISP!AM14,0)),)</f>
        <v>39.210344314403081</v>
      </c>
      <c r="AK14" s="168">
        <f t="shared" si="14"/>
        <v>6.6504928819474998</v>
      </c>
      <c r="AL14" s="169">
        <f t="shared" si="15"/>
        <v>0.54643551144111568</v>
      </c>
      <c r="AM14" s="170">
        <f>(BSP!AM14+BSL!AM14+DSP!AM14+RSP!AM14+ISP!AM14)</f>
        <v>301297.3</v>
      </c>
      <c r="AO14" s="172">
        <f t="shared" si="6"/>
        <v>44501</v>
      </c>
      <c r="AP14" s="167">
        <f>IFERROR((BSP!AP14*BSP!AW14+BSL!AP14*BSL!AW14+DSP!AP14*DSP!AW14+RSP!AP14*RSP!AW14+ISP!AP14*ISP!AW14)/(BSP!AW14+BSL!AW14+DSP!AW14+RSP!AW14+ISP!AW14),)</f>
        <v>60.145599806835556</v>
      </c>
      <c r="AQ14" s="168">
        <f>IFERROR((BSP!AQ14*BSP!AW14+BSL!AQ14*BSL!AW14+DSP!AQ14*DSP!AW14+RSP!AQ14*RSP!AW14+ISP!AQ14*ISP!AW14)/(BSP!AW14+BSL!AW14+DSP!AW14+RSP!AW14+ISP!AW14),)</f>
        <v>6.0560243041234836</v>
      </c>
      <c r="AR14" s="168">
        <f>IFERROR((BSP!AR14*BSP!AW14+BSL!AR14*BSL!AW14+DSP!AR14*DSP!AW14+RSP!AR14*RSP!AW14+ISP!AR14*ISP!AW14)/(BSP!AW14+BSL!AW14+DSP!AW14+RSP!AW14+ISP!AW14),)</f>
        <v>2.7587171542360429</v>
      </c>
      <c r="AS14" s="168">
        <f>IFERROR((BSP!AS14*BSP!AW14+BSL!AS14*BSL!AW14+DSP!AS14*DSP!AW14+RSP!AS14*RSP!AW14+ISP!AS14*ISP!AW14)/(IF(BSP!AT14&gt;0,BSP!AW14,0)+IF(BSL!AT14&gt;0,BSL!AW14,0)+IF(DSP!AT14&gt;0,DSP!AW14,0)+IF(RSP!AT14&gt;0,RSP!AW14,0)+IF(ISP!AT14&gt;0,ISP!AW14,0)),)</f>
        <v>14.988646751722023</v>
      </c>
      <c r="AT14" s="168">
        <f>IFERROR((BSP!AT14*BSP!AW14+BSL!AT14*BSL!AW14+DSP!AT14*DSP!AW14+RSP!AT14*RSP!AW14+ISP!AT14*ISP!AW14)/(IF(BSP!AT14&gt;0,BSP!AW14,0)+IF(BSL!AT14&gt;0,BSL!AW14,0)+IF(DSP!AT14&gt;0,DSP!AW14,0)+IF(RSP!AT14&gt;0,RSP!AW14,0)+IF(ISP!AT14&gt;0,ISP!AW14,0)),)</f>
        <v>25.961132222344126</v>
      </c>
      <c r="AU14" s="168">
        <f t="shared" si="16"/>
        <v>8.814741458359526</v>
      </c>
      <c r="AV14" s="169">
        <f t="shared" si="17"/>
        <v>0.45553270853910893</v>
      </c>
      <c r="AW14" s="170">
        <f>(BSP!AW14+BSL!AW14+DSP!AW14+RSP!AW14+ISP!AW14)</f>
        <v>124867.70000000001</v>
      </c>
      <c r="AY14" s="172">
        <f t="shared" si="7"/>
        <v>44501</v>
      </c>
      <c r="AZ14" s="167">
        <f>IFERROR((BSP!AZ14*BSP!BG14+BSL!AZ14*BSL!BG14+DSP!AZ14*DSP!BG14+RSP!AZ14*RSP!BG14+ISP!AZ14*ISP!BG14)/(BSP!BG14+BSL!BG14+DSP!BG14+RSP!BG14+ISP!BG14),)</f>
        <v>59.384738686818153</v>
      </c>
      <c r="BA14" s="168">
        <f>IFERROR((BSP!BA14*BSP!BG14+BSL!BA14*BSL!BG14+DSP!BA14*DSP!BG14+RSP!BA14*RSP!BG14+ISP!BA14*ISP!BG14)/(BSP!BG14+BSL!BG14+DSP!BG14+RSP!BG14+ISP!BG14),)</f>
        <v>7.5792975338152901</v>
      </c>
      <c r="BB14" s="168">
        <f>IFERROR((BSP!BB14*BSP!BG14+BSL!BB14*BSL!BG14+DSP!BB14*DSP!BG14+RSP!BB14*RSP!BG14+ISP!BB14*ISP!BG14)/(BSP!BG14+BSL!BG14+DSP!BG14+RSP!BG14+ISP!BG14),)</f>
        <v>2.7580392410281647</v>
      </c>
      <c r="BC14" s="168">
        <f>IFERROR((BSP!BC14*BSP!BG14+BSL!BC14*BSL!BG14+DSP!BC14*DSP!BG14+RSP!BC14*RSP!BG14+ISP!BC14*ISP!BG14)/(IF(BSP!BD14&gt;0,BSP!BG14,0)+IF(BSL!BD14&gt;0,BSL!BG14,0)+IF(DSP!BD14&gt;0,DSP!BG14,0)+IF(RSP!BD14&gt;0,RSP!BG14,0)+IF(ISP!BD14&gt;0,ISP!BG14,0)),)</f>
        <v>5.5670886746307691</v>
      </c>
      <c r="BD14" s="168">
        <f>IFERROR((BSP!BD14*BSP!BG14+BSL!BD14*BSL!BG14+DSP!BD14*DSP!BG14+RSP!BD14*RSP!BG14+ISP!BD14*ISP!BG14)/(IF(BSP!BD14&gt;0,BSP!BG14,0)+IF(BSL!BD14&gt;0,BSL!BG14,0)+IF(DSP!BD14&gt;0,DSP!BG14,0)+IF(RSP!BD14&gt;0,RSP!BG14,0)+IF(ISP!BD14&gt;0,ISP!BG14,0)),)</f>
        <v>42.319376808866565</v>
      </c>
      <c r="BE14" s="168">
        <f t="shared" si="18"/>
        <v>10.337336774843454</v>
      </c>
      <c r="BF14" s="169">
        <f t="shared" si="19"/>
        <v>0.36389114277716111</v>
      </c>
      <c r="BG14" s="170">
        <f>(BSP!BG14+BSL!BG14+DSP!BG14+RSP!BG14+ISP!BG14)</f>
        <v>240630.8</v>
      </c>
      <c r="BK14" s="178">
        <f t="shared" si="5"/>
        <v>44501</v>
      </c>
      <c r="BL14" s="179">
        <f t="shared" si="5"/>
        <v>61.146238273195138</v>
      </c>
      <c r="BM14" s="180">
        <f t="shared" si="5"/>
        <v>4.5316291666907338</v>
      </c>
      <c r="BN14" s="180">
        <f t="shared" si="5"/>
        <v>2.8010350085774194</v>
      </c>
      <c r="BO14" s="180">
        <f t="shared" si="5"/>
        <v>14.387057431164045</v>
      </c>
      <c r="BP14" s="180">
        <f t="shared" si="5"/>
        <v>25.531635266188793</v>
      </c>
      <c r="BQ14" s="180">
        <f t="shared" si="5"/>
        <v>7.3326641752681532</v>
      </c>
      <c r="BR14" s="181">
        <f t="shared" si="5"/>
        <v>0.61810772804759362</v>
      </c>
      <c r="BS14" s="182">
        <f t="shared" si="5"/>
        <v>86564.5</v>
      </c>
      <c r="BT14" s="117">
        <f t="shared" si="0"/>
        <v>0</v>
      </c>
      <c r="BU14" s="178">
        <f t="shared" si="0"/>
        <v>44501</v>
      </c>
      <c r="BV14" s="179">
        <f t="shared" si="0"/>
        <v>60.847473250811845</v>
      </c>
      <c r="BW14" s="180">
        <f t="shared" si="0"/>
        <v>5.4960478706805533</v>
      </c>
      <c r="BX14" s="180">
        <f t="shared" si="0"/>
        <v>2.7936449286617071</v>
      </c>
      <c r="BY14" s="180">
        <f t="shared" si="0"/>
        <v>5.7709975852780415</v>
      </c>
      <c r="BZ14" s="180">
        <f t="shared" si="0"/>
        <v>43.461437831806336</v>
      </c>
      <c r="CA14" s="180">
        <f t="shared" si="0"/>
        <v>8.2896927993422604</v>
      </c>
      <c r="CB14" s="181">
        <f t="shared" si="20"/>
        <v>0.50830069067716865</v>
      </c>
      <c r="CC14" s="182">
        <f t="shared" si="20"/>
        <v>280718.8</v>
      </c>
      <c r="CD14" s="104">
        <f t="shared" si="1"/>
        <v>0</v>
      </c>
      <c r="CE14" s="178">
        <f t="shared" si="1"/>
        <v>44501</v>
      </c>
      <c r="CF14" s="179">
        <f t="shared" si="1"/>
        <v>62.195756057135227</v>
      </c>
      <c r="CG14" s="180">
        <f t="shared" si="1"/>
        <v>3.4533374190753774</v>
      </c>
      <c r="CH14" s="180">
        <f t="shared" si="1"/>
        <v>2.1035820141105606</v>
      </c>
      <c r="CI14" s="180">
        <f t="shared" si="1"/>
        <v>27.35829641654151</v>
      </c>
      <c r="CJ14" s="180">
        <f t="shared" si="1"/>
        <v>16.349388508953037</v>
      </c>
      <c r="CK14" s="180">
        <f t="shared" si="1"/>
        <v>5.5569194331859375</v>
      </c>
      <c r="CL14" s="181">
        <f t="shared" si="1"/>
        <v>0.60914465018416575</v>
      </c>
      <c r="CM14" s="182">
        <f t="shared" si="1"/>
        <v>202370.41999999998</v>
      </c>
      <c r="CN14" s="109">
        <f t="shared" si="1"/>
        <v>0</v>
      </c>
      <c r="CO14" s="178">
        <f t="shared" si="1"/>
        <v>44501</v>
      </c>
      <c r="CP14" s="179">
        <f t="shared" si="1"/>
        <v>61.870027056332738</v>
      </c>
      <c r="CQ14" s="180">
        <f t="shared" si="1"/>
        <v>4.3005303698373671</v>
      </c>
      <c r="CR14" s="180">
        <f t="shared" si="21"/>
        <v>2.3499625121101322</v>
      </c>
      <c r="CS14" s="180">
        <f t="shared" si="21"/>
        <v>9.6564558826116276</v>
      </c>
      <c r="CT14" s="180">
        <f t="shared" si="21"/>
        <v>39.210344314403081</v>
      </c>
      <c r="CU14" s="180">
        <f t="shared" si="21"/>
        <v>6.6504928819474998</v>
      </c>
      <c r="CV14" s="181">
        <f t="shared" si="21"/>
        <v>0.54643551144111568</v>
      </c>
      <c r="CW14" s="182">
        <f t="shared" si="21"/>
        <v>301297.3</v>
      </c>
      <c r="CX14" s="111">
        <f t="shared" si="2"/>
        <v>0</v>
      </c>
      <c r="CY14" s="178">
        <f t="shared" si="3"/>
        <v>44501</v>
      </c>
      <c r="CZ14" s="179">
        <f t="shared" si="3"/>
        <v>61.85</v>
      </c>
      <c r="DA14" s="180">
        <f t="shared" si="3"/>
        <v>3.64</v>
      </c>
      <c r="DB14" s="180">
        <f t="shared" si="3"/>
        <v>2.9800000000000004</v>
      </c>
      <c r="DC14" s="180">
        <f t="shared" si="3"/>
        <v>14.4</v>
      </c>
      <c r="DD14" s="180">
        <f t="shared" si="3"/>
        <v>15.5</v>
      </c>
      <c r="DE14" s="180">
        <f t="shared" si="3"/>
        <v>6.620000000000001</v>
      </c>
      <c r="DF14" s="181">
        <f t="shared" si="3"/>
        <v>0.81868131868131877</v>
      </c>
      <c r="DG14" s="182">
        <f t="shared" si="3"/>
        <v>47276</v>
      </c>
      <c r="DH14" s="111">
        <f t="shared" si="3"/>
        <v>0</v>
      </c>
      <c r="DI14" s="178">
        <f t="shared" si="3"/>
        <v>44501</v>
      </c>
      <c r="DJ14" s="179">
        <f t="shared" si="3"/>
        <v>60.127032826679141</v>
      </c>
      <c r="DK14" s="180">
        <f t="shared" si="3"/>
        <v>4.9282920360335352</v>
      </c>
      <c r="DL14" s="180">
        <f t="shared" si="3"/>
        <v>4.0126874866381037</v>
      </c>
      <c r="DM14" s="180">
        <f t="shared" si="3"/>
        <v>5.2563561274552804</v>
      </c>
      <c r="DN14" s="180">
        <f t="shared" si="3"/>
        <v>52.157079481196888</v>
      </c>
      <c r="DO14" s="180">
        <f t="shared" si="22"/>
        <v>8.9409795226716398</v>
      </c>
      <c r="DP14" s="181">
        <f t="shared" si="22"/>
        <v>0.81421463202648547</v>
      </c>
      <c r="DQ14" s="182">
        <f t="shared" si="22"/>
        <v>126759.7</v>
      </c>
    </row>
    <row r="15" spans="1:121" ht="19" customHeight="1" x14ac:dyDescent="0.35">
      <c r="A15" s="166">
        <f>BSP!A15</f>
        <v>44531</v>
      </c>
      <c r="B15" s="167">
        <f>IFERROR((BSP!B15*BSP!I15+BSL!B15*BSL!I15+DSP!B15*DSP!I15+RSP!B15*RSP!I15+ISP!B15*ISP!I15)/(BSP!I15+BSL!I15+DSP!I15+RSP!I15+ISP!I15),)</f>
        <v>59.903302423190503</v>
      </c>
      <c r="C15" s="168">
        <f>IFERROR((BSP!C15*BSP!I15+BSL!C15*BSL!I15+DSP!C15*DSP!I15+RSP!C15*RSP!I15+ISP!C15*ISP!I15)/(BSP!I15+BSL!I15+DSP!I15+RSP!I15+ISP!I15),)</f>
        <v>6.3786906315780083</v>
      </c>
      <c r="D15" s="168">
        <f>IFERROR((BSP!D15*BSP!I15+BSL!D15*BSL!I15+DSP!D15*DSP!I15+RSP!D15*RSP!I15+ISP!D15*ISP!I15)/(BSP!I15+BSL!I15+DSP!I15+RSP!I15+ISP!I15),)</f>
        <v>2.8090034726157445</v>
      </c>
      <c r="E15" s="168">
        <f>IFERROR((BSP!E15*BSP!I15+BSL!E15*BSL!I15+DSP!E15*DSP!I15+RSP!E15*RSP!I15+ISP!E15*ISP!I15)/(IF(BSP!F15&gt;0,BSP!I15,0)+IF(BSL!F15&gt;0,BSL!I15,0)+IF(DSP!F15&gt;0,DSP!I15,0)+IF(RSP!F15&gt;0,RSP!I15,0)+IF(ISP!F15&gt;0,ISP!I15,0)),)</f>
        <v>14.438679030723799</v>
      </c>
      <c r="F15" s="168">
        <f>IFERROR((BSP!F15*BSP!I15+BSL!F15*BSL!I15+DSP!F15*DSP!I15+RSP!F15*RSP!I15+ISP!F15*ISP!I15)/(IF(BSP!F15&gt;0,BSP!I15,0)+IF(BSL!F15&gt;0,BSL!I15,0)+IF(DSP!F15&gt;0,DSP!I15,0)+IF(RSP!F15&gt;0,RSP!I15,0)+IF(ISP!F15&gt;0,ISP!I15,0)),)</f>
        <v>25.959246861338595</v>
      </c>
      <c r="G15" s="168">
        <f t="shared" si="8"/>
        <v>9.1876941041937528</v>
      </c>
      <c r="H15" s="169">
        <f t="shared" si="9"/>
        <v>0.4403730537909521</v>
      </c>
      <c r="I15" s="170">
        <f>(BSP!I15+BSL!I15+DSP!I15+RSP!I15+ISP!I15)</f>
        <v>78528.7</v>
      </c>
      <c r="J15" s="119"/>
      <c r="K15" s="166">
        <f>BSP!K15</f>
        <v>44531</v>
      </c>
      <c r="L15" s="167">
        <f>IFERROR((BSP!L15*BSP!S15+BSL!L15*BSL!S15+DSP!L15*DSP!S15+RSP!L15*RSP!S15+ISP!L15*ISP!S15)/(BSP!S15+BSL!S15+DSP!S15+RSP!S15+ISP!S15),)</f>
        <v>60.001186971028332</v>
      </c>
      <c r="M15" s="168">
        <f>IFERROR((BSP!M15*BSP!S15+BSL!M15*BSL!S15+DSP!M15*DSP!S15+RSP!M15*RSP!S15+ISP!M15*ISP!S15)/(BSP!S15+BSL!S15+DSP!S15+RSP!S15+ISP!S15),)</f>
        <v>6.8042507008117994</v>
      </c>
      <c r="N15" s="168">
        <f>IFERROR((BSP!N15*BSP!S15+BSL!N15*BSL!S15+DSP!N15*DSP!S15+RSP!N15*RSP!S15+ISP!N15*ISP!S15)/(BSP!S15+BSL!S15+DSP!S15+RSP!S15+ISP!S15),)</f>
        <v>2.7670621981308101</v>
      </c>
      <c r="O15" s="168">
        <f>IFERROR((BSP!O15*BSP!S15+BSL!O15*BSL!S15+DSP!O15*DSP!S15+RSP!O15*RSP!S15+ISP!O15*ISP!S15)/(IF(BSP!P15&gt;0,BSP!S15,0)+IF(BSL!P15&gt;0,BSL!S15,0)+IF(DSP!P15&gt;0,DSP!S15,0)+IF(RSP!P15&gt;0,RSP!S15,0)+IF(ISP!P15&gt;0,ISP!S15,0)),)</f>
        <v>5.9608804346075086</v>
      </c>
      <c r="P15" s="168">
        <f>IFERROR((BSP!P15*BSP!S15+BSL!P15*BSL!S15+DSP!P15*DSP!S15+RSP!P15*RSP!S15+ISP!P15*ISP!S15)/(IF(BSP!P15&gt;0,BSP!S15,0)+IF(BSL!P15&gt;0,BSL!S15,0)+IF(DSP!P15&gt;0,DSP!S15,0)+IF(RSP!P15&gt;0,RSP!S15,0)+IF(ISP!P15&gt;0,ISP!S15,0)),)</f>
        <v>44.471925656947761</v>
      </c>
      <c r="Q15" s="168">
        <f t="shared" si="10"/>
        <v>9.5713128989426099</v>
      </c>
      <c r="R15" s="169">
        <f t="shared" si="11"/>
        <v>0.40666670288922163</v>
      </c>
      <c r="S15" s="170">
        <f>(BSP!S15+BSL!S15+DSP!S15+RSP!S15+ISP!S15)</f>
        <v>334540.59999999998</v>
      </c>
      <c r="U15" s="166">
        <f>BSP!U15</f>
        <v>44531</v>
      </c>
      <c r="V15" s="167">
        <f>IFERROR((BSP!V15*BSP!AC15+BSL!V15*BSL!AC15+DSP!V15*DSP!AC15+RSP!V15*RSP!AC15+ISP!V15*ISP!AC15)/(BSP!AC15+BSL!AC15+DSP!AC15+RSP!AC15+ISP!AC15),)</f>
        <v>61.468977439626578</v>
      </c>
      <c r="W15" s="168">
        <f>IFERROR((BSP!W15*BSP!AC15+BSL!W15*BSL!AC15+DSP!W15*DSP!AC15+RSP!W15*RSP!AC15+ISP!W15*ISP!AC15)/(BSP!AC15+BSL!AC15+DSP!AC15+RSP!AC15+ISP!AC15),)</f>
        <v>4.0780569260172896</v>
      </c>
      <c r="X15" s="168">
        <f>IFERROR((BSP!X15*BSP!AC15+BSL!X15*BSL!AC15+DSP!X15*DSP!AC15+RSP!X15*RSP!AC15+ISP!X15*ISP!AC15)/(BSP!AC15+BSL!AC15+DSP!AC15+RSP!AC15+ISP!AC15),)</f>
        <v>2.2050527296361668</v>
      </c>
      <c r="Y15" s="168">
        <f>IFERROR((BSP!Y15*BSP!AC15+BSL!Y15*BSL!AC15+DSP!Y15*DSP!AC15+RSP!Y15*RSP!AC15+ISP!Y15*ISP!AC15)/(IF(BSP!Z15&gt;0,BSP!AC15,0)+IF(BSL!Z15&gt;0,BSL!AC15,0)+IF(DSP!Z15&gt;0,DSP!AC15,0)+IF(RSP!Z15&gt;0,RSP!AC15,0)+IF(ISP!Z15&gt;0,ISP!AC15,0)),)</f>
        <v>30.754537438948173</v>
      </c>
      <c r="Z15" s="168">
        <f>IFERROR((BSP!Z15*BSP!AC15+BSL!Z15*BSL!AC15+DSP!Z15*DSP!AC15+RSP!Z15*RSP!AC15+ISP!Z15*ISP!AC15)/(IF(BSP!Z15&gt;0,BSP!AC15,0)+IF(BSL!Z15&gt;0,BSL!AC15,0)+IF(DSP!Z15&gt;0,DSP!AC15,0)+IF(RSP!Z15&gt;0,RSP!AC15,0)+IF(ISP!Z15&gt;0,ISP!AC15,0)),)</f>
        <v>17.575689865679156</v>
      </c>
      <c r="AA15" s="168">
        <f t="shared" si="12"/>
        <v>6.2831096556534565</v>
      </c>
      <c r="AB15" s="169">
        <f t="shared" si="13"/>
        <v>0.54071161085768971</v>
      </c>
      <c r="AC15" s="170">
        <f>(BSP!AC15+BSL!AC15+DSP!AC15+RSP!AC15+ISP!AC15)</f>
        <v>205186.32</v>
      </c>
      <c r="AD15" s="119"/>
      <c r="AE15" s="172">
        <f>BSP!AE15</f>
        <v>44531</v>
      </c>
      <c r="AF15" s="167">
        <f>IFERROR((BSP!AF15*BSP!AM15+BSL!AF15*BSL!AM15+DSP!AF15*DSP!AM15+RSP!AF15*RSP!AM15+ISP!AF15*ISP!AM15)/(BSP!AM15+BSL!AM15+DSP!AM15+RSP!AM15+ISP!AM15),)</f>
        <v>61.306303117951266</v>
      </c>
      <c r="AG15" s="168">
        <f>IFERROR((BSP!AG15*BSP!AM15+BSL!AG15*BSL!AM15+DSP!AG15*DSP!AM15+RSP!AG15*RSP!AM15+ISP!AG15*ISP!AM15)/(BSP!AM15+BSL!AM15+DSP!AM15+RSP!AM15+ISP!AM15),)</f>
        <v>4.6216543278814619</v>
      </c>
      <c r="AH15" s="168">
        <f>IFERROR((BSP!AH15*BSP!AM15+BSL!AH15*BSL!AM15+DSP!AH15*DSP!AM15+RSP!AH15*RSP!AM15+ISP!AH15*ISP!AM15)/(BSP!AM15+BSL!AM15+DSP!AM15+RSP!AM15+ISP!AM15),)</f>
        <v>2.6533195479390548</v>
      </c>
      <c r="AI15" s="168">
        <f>IFERROR((BSP!AI15*BSP!AM15+BSL!AI15*BSL!AM15+DSP!AI15*DSP!AM15+RSP!AI15*RSP!AM15+ISP!AI15*ISP!AM15)/(IF(BSP!AJ15&gt;0,BSP!AM15,0)+IF(BSL!AJ15&gt;0,BSL!AM15,0)+IF(DSP!AJ15&gt;0,DSP!AM15,0)+IF(RSP!AJ15&gt;0,RSP!AM15,0)+IF(ISP!AJ15&gt;0,ISP!AM15,0)),)</f>
        <v>10.610131462213445</v>
      </c>
      <c r="AJ15" s="168">
        <f>IFERROR((BSP!AJ15*BSP!AM15+BSL!AJ15*BSL!AM15+DSP!AJ15*DSP!AM15+RSP!AJ15*RSP!AM15+ISP!AJ15*ISP!AM15)/(IF(BSP!AJ15&gt;0,BSP!AM15,0)+IF(BSL!AJ15&gt;0,BSL!AM15,0)+IF(DSP!AJ15&gt;0,DSP!AM15,0)+IF(RSP!AJ15&gt;0,RSP!AM15,0)+IF(ISP!AJ15&gt;0,ISP!AM15,0)),)</f>
        <v>37.897423806671469</v>
      </c>
      <c r="AK15" s="168">
        <f t="shared" si="14"/>
        <v>7.2749738758205167</v>
      </c>
      <c r="AL15" s="169">
        <f t="shared" si="15"/>
        <v>0.57410601479477597</v>
      </c>
      <c r="AM15" s="170">
        <f>(BSP!AM15+BSL!AM15+DSP!AM15+RSP!AM15+ISP!AM15)</f>
        <v>322708.69999999995</v>
      </c>
      <c r="AO15" s="172">
        <f t="shared" si="6"/>
        <v>44531</v>
      </c>
      <c r="AP15" s="167">
        <f>IFERROR((BSP!AP15*BSP!AW15+BSL!AP15*BSL!AW15+DSP!AP15*DSP!AW15+RSP!AP15*RSP!AW15+ISP!AP15*ISP!AW15)/(BSP!AW15+BSL!AW15+DSP!AW15+RSP!AW15+ISP!AW15),)</f>
        <v>59.780000000000008</v>
      </c>
      <c r="AQ15" s="168">
        <f>IFERROR((BSP!AQ15*BSP!AW15+BSL!AQ15*BSL!AW15+DSP!AQ15*DSP!AW15+RSP!AQ15*RSP!AW15+ISP!AQ15*ISP!AW15)/(BSP!AW15+BSL!AW15+DSP!AW15+RSP!AW15+ISP!AW15),)</f>
        <v>6.55</v>
      </c>
      <c r="AR15" s="168">
        <f>IFERROR((BSP!AR15*BSP!AW15+BSL!AR15*BSL!AW15+DSP!AR15*DSP!AW15+RSP!AR15*RSP!AW15+ISP!AR15*ISP!AW15)/(BSP!AW15+BSL!AW15+DSP!AW15+RSP!AW15+ISP!AW15),)</f>
        <v>2.82</v>
      </c>
      <c r="AS15" s="168">
        <f>IFERROR((BSP!AS15*BSP!AW15+BSL!AS15*BSL!AW15+DSP!AS15*DSP!AW15+RSP!AS15*RSP!AW15+ISP!AS15*ISP!AW15)/(IF(BSP!AT15&gt;0,BSP!AW15,0)+IF(BSL!AT15&gt;0,BSL!AW15,0)+IF(DSP!AT15&gt;0,DSP!AW15,0)+IF(RSP!AT15&gt;0,RSP!AW15,0)+IF(ISP!AT15&gt;0,ISP!AW15,0)),)</f>
        <v>19.79</v>
      </c>
      <c r="AT15" s="168">
        <f>IFERROR((BSP!AT15*BSP!AW15+BSL!AT15*BSL!AW15+DSP!AT15*DSP!AW15+RSP!AT15*RSP!AW15+ISP!AT15*ISP!AW15)/(IF(BSP!AT15&gt;0,BSP!AW15,0)+IF(BSL!AT15&gt;0,BSL!AW15,0)+IF(DSP!AT15&gt;0,DSP!AW15,0)+IF(RSP!AT15&gt;0,RSP!AW15,0)+IF(ISP!AT15&gt;0,ISP!AW15,0)),)</f>
        <v>27.860000000000003</v>
      </c>
      <c r="AU15" s="168">
        <f t="shared" si="16"/>
        <v>9.3699999999999992</v>
      </c>
      <c r="AV15" s="169">
        <f t="shared" si="17"/>
        <v>0.43053435114503813</v>
      </c>
      <c r="AW15" s="170">
        <f>(BSP!AW15+BSL!AW15+DSP!AW15+RSP!AW15+ISP!AW15)</f>
        <v>96274.4</v>
      </c>
      <c r="AY15" s="172">
        <f t="shared" si="7"/>
        <v>44531</v>
      </c>
      <c r="AZ15" s="167">
        <f>IFERROR((BSP!AZ15*BSP!BG15+BSL!AZ15*BSL!BG15+DSP!AZ15*DSP!BG15+RSP!AZ15*RSP!BG15+ISP!AZ15*ISP!BG15)/(BSP!BG15+BSL!BG15+DSP!BG15+RSP!BG15+ISP!BG15),)</f>
        <v>59.301298913841784</v>
      </c>
      <c r="BA15" s="168">
        <f>IFERROR((BSP!BA15*BSP!BG15+BSL!BA15*BSL!BG15+DSP!BA15*DSP!BG15+RSP!BA15*RSP!BG15+ISP!BA15*ISP!BG15)/(BSP!BG15+BSL!BG15+DSP!BG15+RSP!BG15+ISP!BG15),)</f>
        <v>8.0839809531960753</v>
      </c>
      <c r="BB15" s="168">
        <f>IFERROR((BSP!BB15*BSP!BG15+BSL!BB15*BSL!BG15+DSP!BB15*DSP!BG15+RSP!BB15*RSP!BG15+ISP!BB15*ISP!BG15)/(BSP!BG15+BSL!BG15+DSP!BG15+RSP!BG15+ISP!BG15),)</f>
        <v>2.4294777742951421</v>
      </c>
      <c r="BC15" s="168">
        <f>IFERROR((BSP!BC15*BSP!BG15+BSL!BC15*BSL!BG15+DSP!BC15*DSP!BG15+RSP!BC15*RSP!BG15+ISP!BC15*ISP!BG15)/(IF(BSP!BD15&gt;0,BSP!BG15,0)+IF(BSL!BD15&gt;0,BSL!BG15,0)+IF(DSP!BD15&gt;0,DSP!BG15,0)+IF(RSP!BD15&gt;0,RSP!BG15,0)+IF(ISP!BD15&gt;0,ISP!BG15,0)),)</f>
        <v>5.756834206878807</v>
      </c>
      <c r="BD15" s="168">
        <f>IFERROR((BSP!BD15*BSP!BG15+BSL!BD15*BSL!BG15+DSP!BD15*DSP!BG15+RSP!BD15*RSP!BG15+ISP!BD15*ISP!BG15)/(IF(BSP!BD15&gt;0,BSP!BG15,0)+IF(BSL!BD15&gt;0,BSL!BG15,0)+IF(DSP!BD15&gt;0,DSP!BG15,0)+IF(RSP!BD15&gt;0,RSP!BG15,0)+IF(ISP!BD15&gt;0,ISP!BG15,0)),)</f>
        <v>42.585290894792749</v>
      </c>
      <c r="BE15" s="168">
        <f t="shared" si="18"/>
        <v>10.513458727491217</v>
      </c>
      <c r="BF15" s="169">
        <f t="shared" si="19"/>
        <v>0.3005298736304699</v>
      </c>
      <c r="BG15" s="170">
        <f>(BSP!BG15+BSL!BG15+DSP!BG15+RSP!BG15+ISP!BG15)</f>
        <v>259382.10000000003</v>
      </c>
      <c r="BK15" s="178">
        <f t="shared" si="5"/>
        <v>44531</v>
      </c>
      <c r="BL15" s="179">
        <f t="shared" si="5"/>
        <v>59.903302423190503</v>
      </c>
      <c r="BM15" s="180">
        <f t="shared" si="5"/>
        <v>6.3786906315780083</v>
      </c>
      <c r="BN15" s="180">
        <f t="shared" si="5"/>
        <v>2.8090034726157445</v>
      </c>
      <c r="BO15" s="180">
        <f t="shared" si="5"/>
        <v>14.438679030723799</v>
      </c>
      <c r="BP15" s="180">
        <f t="shared" si="5"/>
        <v>25.959246861338595</v>
      </c>
      <c r="BQ15" s="180">
        <f t="shared" si="5"/>
        <v>9.1876941041937528</v>
      </c>
      <c r="BR15" s="181">
        <f t="shared" si="5"/>
        <v>0.4403730537909521</v>
      </c>
      <c r="BS15" s="182">
        <f t="shared" si="5"/>
        <v>78528.7</v>
      </c>
      <c r="BT15" s="117">
        <f t="shared" si="0"/>
        <v>0</v>
      </c>
      <c r="BU15" s="178">
        <f t="shared" si="0"/>
        <v>44531</v>
      </c>
      <c r="BV15" s="179">
        <f t="shared" si="0"/>
        <v>60.001186971028332</v>
      </c>
      <c r="BW15" s="180">
        <f t="shared" si="0"/>
        <v>6.8042507008117994</v>
      </c>
      <c r="BX15" s="180">
        <f t="shared" si="0"/>
        <v>2.7670621981308101</v>
      </c>
      <c r="BY15" s="180">
        <f t="shared" si="0"/>
        <v>5.9608804346075086</v>
      </c>
      <c r="BZ15" s="180">
        <f t="shared" si="0"/>
        <v>44.471925656947761</v>
      </c>
      <c r="CA15" s="180">
        <f t="shared" si="0"/>
        <v>9.5713128989426099</v>
      </c>
      <c r="CB15" s="181">
        <f t="shared" si="20"/>
        <v>0.40666670288922163</v>
      </c>
      <c r="CC15" s="182">
        <f t="shared" si="20"/>
        <v>334540.59999999998</v>
      </c>
      <c r="CD15" s="104">
        <f t="shared" si="1"/>
        <v>0</v>
      </c>
      <c r="CE15" s="178">
        <f t="shared" si="1"/>
        <v>44531</v>
      </c>
      <c r="CF15" s="179">
        <f t="shared" si="1"/>
        <v>61.468977439626578</v>
      </c>
      <c r="CG15" s="180">
        <f t="shared" si="1"/>
        <v>4.0780569260172896</v>
      </c>
      <c r="CH15" s="180">
        <f t="shared" si="1"/>
        <v>2.2050527296361668</v>
      </c>
      <c r="CI15" s="180">
        <f t="shared" si="1"/>
        <v>30.754537438948173</v>
      </c>
      <c r="CJ15" s="180">
        <f t="shared" si="1"/>
        <v>17.575689865679156</v>
      </c>
      <c r="CK15" s="180">
        <f t="shared" si="1"/>
        <v>6.2831096556534565</v>
      </c>
      <c r="CL15" s="181">
        <f t="shared" si="1"/>
        <v>0.54071161085768971</v>
      </c>
      <c r="CM15" s="182">
        <f t="shared" si="1"/>
        <v>205186.32</v>
      </c>
      <c r="CN15" s="109">
        <f t="shared" si="1"/>
        <v>0</v>
      </c>
      <c r="CO15" s="178">
        <f t="shared" si="1"/>
        <v>44531</v>
      </c>
      <c r="CP15" s="179">
        <f t="shared" si="1"/>
        <v>61.306303117951266</v>
      </c>
      <c r="CQ15" s="180">
        <f t="shared" si="1"/>
        <v>4.6216543278814619</v>
      </c>
      <c r="CR15" s="180">
        <f t="shared" si="21"/>
        <v>2.6533195479390548</v>
      </c>
      <c r="CS15" s="180">
        <f t="shared" si="21"/>
        <v>10.610131462213445</v>
      </c>
      <c r="CT15" s="180">
        <f t="shared" si="21"/>
        <v>37.897423806671469</v>
      </c>
      <c r="CU15" s="180">
        <f t="shared" si="21"/>
        <v>7.2749738758205167</v>
      </c>
      <c r="CV15" s="181">
        <f t="shared" si="21"/>
        <v>0.57410601479477597</v>
      </c>
      <c r="CW15" s="182">
        <f t="shared" si="21"/>
        <v>322708.69999999995</v>
      </c>
      <c r="CX15" s="111">
        <f t="shared" si="2"/>
        <v>0</v>
      </c>
      <c r="CY15" s="178">
        <f t="shared" si="3"/>
        <v>44531</v>
      </c>
      <c r="CZ15" s="179">
        <f t="shared" si="3"/>
        <v>61.559999999999995</v>
      </c>
      <c r="DA15" s="180">
        <f t="shared" si="3"/>
        <v>3.96</v>
      </c>
      <c r="DB15" s="180">
        <f t="shared" si="3"/>
        <v>3.02</v>
      </c>
      <c r="DC15" s="180">
        <f t="shared" si="3"/>
        <v>17.05</v>
      </c>
      <c r="DD15" s="180">
        <f t="shared" si="3"/>
        <v>15.5</v>
      </c>
      <c r="DE15" s="180">
        <f t="shared" si="3"/>
        <v>6.98</v>
      </c>
      <c r="DF15" s="181">
        <f t="shared" si="3"/>
        <v>0.76262626262626265</v>
      </c>
      <c r="DG15" s="182">
        <f t="shared" si="3"/>
        <v>70353.100000000006</v>
      </c>
      <c r="DH15" s="111">
        <f t="shared" si="3"/>
        <v>0</v>
      </c>
      <c r="DI15" s="178">
        <f t="shared" si="3"/>
        <v>44531</v>
      </c>
      <c r="DJ15" s="179">
        <f t="shared" si="3"/>
        <v>60.012448369970841</v>
      </c>
      <c r="DK15" s="180">
        <f t="shared" si="3"/>
        <v>5.0438013465645524</v>
      </c>
      <c r="DL15" s="180">
        <f t="shared" si="3"/>
        <v>3.8838013465645527</v>
      </c>
      <c r="DM15" s="180">
        <f t="shared" si="3"/>
        <v>3.6</v>
      </c>
      <c r="DN15" s="180">
        <f t="shared" si="3"/>
        <v>58.45</v>
      </c>
      <c r="DO15" s="180">
        <f t="shared" si="22"/>
        <v>8.9276026931291046</v>
      </c>
      <c r="DP15" s="181">
        <f t="shared" si="22"/>
        <v>0.77001473287799049</v>
      </c>
      <c r="DQ15" s="182">
        <f t="shared" si="22"/>
        <v>111477.75999999999</v>
      </c>
    </row>
    <row r="16" spans="1:121" ht="19" customHeight="1" x14ac:dyDescent="0.35">
      <c r="A16" s="166">
        <f>BSP!A16</f>
        <v>44562</v>
      </c>
      <c r="B16" s="167">
        <f>IFERROR((BSP!B16*BSP!I16+BSL!B16*BSL!I16+DSP!B16*DSP!I16+RSP!B16*RSP!I16+ISP!B16*ISP!I16)/(BSP!I16+BSL!I16+DSP!I16+RSP!I16+ISP!I16),)</f>
        <v>60.949999999999996</v>
      </c>
      <c r="C16" s="168">
        <f>IFERROR((BSP!C16*BSP!I16+BSL!C16*BSL!I16+DSP!C16*DSP!I16+RSP!C16*RSP!I16+ISP!C16*ISP!I16)/(BSP!I16+BSL!I16+DSP!I16+RSP!I16+ISP!I16),)</f>
        <v>4.7</v>
      </c>
      <c r="D16" s="168">
        <f>IFERROR((BSP!D16*BSP!I16+BSL!D16*BSL!I16+DSP!D16*DSP!I16+RSP!D16*RSP!I16+ISP!D16*ISP!I16)/(BSP!I16+BSL!I16+DSP!I16+RSP!I16+ISP!I16),)</f>
        <v>2.89</v>
      </c>
      <c r="E16" s="168">
        <f>IFERROR((BSP!E16*BSP!I16+BSL!E16*BSL!I16+DSP!E16*DSP!I16+RSP!E16*RSP!I16+ISP!E16*ISP!I16)/(IF(BSP!F16&gt;0,BSP!I16,0)+IF(BSL!F16&gt;0,BSL!I16,0)+IF(DSP!F16&gt;0,DSP!I16,0)+IF(RSP!F16&gt;0,RSP!I16,0)+IF(ISP!F16&gt;0,ISP!I16,0)),)</f>
        <v>13.81</v>
      </c>
      <c r="F16" s="168">
        <f>IFERROR((BSP!F16*BSP!I16+BSL!F16*BSL!I16+DSP!F16*DSP!I16+RSP!F16*RSP!I16+ISP!F16*ISP!I16)/(IF(BSP!F16&gt;0,BSP!I16,0)+IF(BSL!F16&gt;0,BSL!I16,0)+IF(DSP!F16&gt;0,DSP!I16,0)+IF(RSP!F16&gt;0,RSP!I16,0)+IF(ISP!F16&gt;0,ISP!I16,0)),)</f>
        <v>29.260000000000005</v>
      </c>
      <c r="G16" s="168">
        <f t="shared" si="8"/>
        <v>7.59</v>
      </c>
      <c r="H16" s="169">
        <f t="shared" si="9"/>
        <v>0.61489361702127665</v>
      </c>
      <c r="I16" s="170">
        <f>(BSP!I16+BSL!I16+DSP!I16+RSP!I16+ISP!I16)</f>
        <v>93390.9</v>
      </c>
      <c r="J16" s="119"/>
      <c r="K16" s="166">
        <f>BSP!K16</f>
        <v>44562</v>
      </c>
      <c r="L16" s="167">
        <f>IFERROR((BSP!L16*BSP!S16+BSL!L16*BSL!S16+DSP!L16*DSP!S16+RSP!L16*RSP!S16+ISP!L16*ISP!S16)/(BSP!S16+BSL!S16+DSP!S16+RSP!S16+ISP!S16),)</f>
        <v>60.494473510644632</v>
      </c>
      <c r="M16" s="168">
        <f>IFERROR((BSP!M16*BSP!S16+BSL!M16*BSL!S16+DSP!M16*DSP!S16+RSP!M16*RSP!S16+ISP!M16*ISP!S16)/(BSP!S16+BSL!S16+DSP!S16+RSP!S16+ISP!S16),)</f>
        <v>6.1672989744783999</v>
      </c>
      <c r="N16" s="168">
        <f>IFERROR((BSP!N16*BSP!S16+BSL!N16*BSL!S16+DSP!N16*DSP!S16+RSP!N16*RSP!S16+ISP!N16*ISP!S16)/(BSP!S16+BSL!S16+DSP!S16+RSP!S16+ISP!S16),)</f>
        <v>2.6960199051420326</v>
      </c>
      <c r="O16" s="168">
        <f>IFERROR((BSP!O16*BSP!S16+BSL!O16*BSL!S16+DSP!O16*DSP!S16+RSP!O16*RSP!S16+ISP!O16*ISP!S16)/(IF(BSP!P16&gt;0,BSP!S16,0)+IF(BSL!P16&gt;0,BSL!S16,0)+IF(DSP!P16&gt;0,DSP!S16,0)+IF(RSP!P16&gt;0,RSP!S16,0)+IF(ISP!P16&gt;0,ISP!S16,0)),)</f>
        <v>6.3598593422931708</v>
      </c>
      <c r="P16" s="168">
        <f>IFERROR((BSP!P16*BSP!S16+BSL!P16*BSL!S16+DSP!P16*DSP!S16+RSP!P16*RSP!S16+ISP!P16*ISP!S16)/(IF(BSP!P16&gt;0,BSP!S16,0)+IF(BSL!P16&gt;0,BSL!S16,0)+IF(DSP!P16&gt;0,DSP!S16,0)+IF(RSP!P16&gt;0,RSP!S16,0)+IF(ISP!P16&gt;0,ISP!S16,0)),)</f>
        <v>45.896355979637129</v>
      </c>
      <c r="Q16" s="168">
        <f t="shared" si="10"/>
        <v>8.863318879620433</v>
      </c>
      <c r="R16" s="169">
        <f t="shared" si="11"/>
        <v>0.43714759350872051</v>
      </c>
      <c r="S16" s="170">
        <f>(BSP!S16+BSL!S16+DSP!S16+RSP!S16+ISP!S16)</f>
        <v>296717.30000000005</v>
      </c>
      <c r="U16" s="166">
        <f>BSP!U16</f>
        <v>44562</v>
      </c>
      <c r="V16" s="167">
        <f>IFERROR((BSP!V16*BSP!AC16+BSL!V16*BSL!AC16+DSP!V16*DSP!AC16+RSP!V16*RSP!AC16+ISP!V16*ISP!AC16)/(BSP!AC16+BSL!AC16+DSP!AC16+RSP!AC16+ISP!AC16),)</f>
        <v>61.718937484381861</v>
      </c>
      <c r="W16" s="168">
        <f>IFERROR((BSP!W16*BSP!AC16+BSL!W16*BSL!AC16+DSP!W16*DSP!AC16+RSP!W16*RSP!AC16+ISP!W16*ISP!AC16)/(BSP!AC16+BSL!AC16+DSP!AC16+RSP!AC16+ISP!AC16),)</f>
        <v>3.7707595558611247</v>
      </c>
      <c r="X16" s="168">
        <f>IFERROR((BSP!X16*BSP!AC16+BSL!X16*BSL!AC16+DSP!X16*DSP!AC16+RSP!X16*RSP!AC16+ISP!X16*ISP!AC16)/(BSP!AC16+BSL!AC16+DSP!AC16+RSP!AC16+ISP!AC16),)</f>
        <v>2.3386251743794575</v>
      </c>
      <c r="Y16" s="168">
        <f>IFERROR((BSP!Y16*BSP!AC16+BSL!Y16*BSL!AC16+DSP!Y16*DSP!AC16+RSP!Y16*RSP!AC16+ISP!Y16*ISP!AC16)/(IF(BSP!Z16&gt;0,BSP!AC16,0)+IF(BSL!Z16&gt;0,BSL!AC16,0)+IF(DSP!Z16&gt;0,DSP!AC16,0)+IF(RSP!Z16&gt;0,RSP!AC16,0)+IF(ISP!Z16&gt;0,ISP!AC16,0)),)</f>
        <v>24.928455119399164</v>
      </c>
      <c r="Z16" s="168">
        <f>IFERROR((BSP!Z16*BSP!AC16+BSL!Z16*BSL!AC16+DSP!Z16*DSP!AC16+RSP!Z16*RSP!AC16+ISP!Z16*ISP!AC16)/(IF(BSP!Z16&gt;0,BSP!AC16,0)+IF(BSL!Z16&gt;0,BSL!AC16,0)+IF(DSP!Z16&gt;0,DSP!AC16,0)+IF(RSP!Z16&gt;0,RSP!AC16,0)+IF(ISP!Z16&gt;0,ISP!AC16,0)),)</f>
        <v>18.600352796218711</v>
      </c>
      <c r="AA16" s="168">
        <f t="shared" si="12"/>
        <v>6.1093847302405822</v>
      </c>
      <c r="AB16" s="169">
        <f t="shared" si="13"/>
        <v>0.62020002594553869</v>
      </c>
      <c r="AC16" s="170">
        <f>(BSP!AC16+BSL!AC16+DSP!AC16+RSP!AC16+ISP!AC16)</f>
        <v>225298.9</v>
      </c>
      <c r="AD16" s="119"/>
      <c r="AE16" s="172">
        <f>BSP!AE16</f>
        <v>44562</v>
      </c>
      <c r="AF16" s="167">
        <f>IFERROR((BSP!AF16*BSP!AM16+BSL!AF16*BSL!AM16+DSP!AF16*DSP!AM16+RSP!AF16*RSP!AM16+ISP!AF16*ISP!AM16)/(BSP!AM16+BSL!AM16+DSP!AM16+RSP!AM16+ISP!AM16),)</f>
        <v>61.852492162152721</v>
      </c>
      <c r="AG16" s="168">
        <f>IFERROR((BSP!AG16*BSP!AM16+BSL!AG16*BSL!AM16+DSP!AG16*DSP!AM16+RSP!AG16*RSP!AM16+ISP!AG16*ISP!AM16)/(BSP!AM16+BSL!AM16+DSP!AM16+RSP!AM16+ISP!AM16),)</f>
        <v>4.1245384787004982</v>
      </c>
      <c r="AH16" s="168">
        <f>IFERROR((BSP!AH16*BSP!AM16+BSL!AH16*BSL!AM16+DSP!AH16*DSP!AM16+RSP!AH16*RSP!AM16+ISP!AH16*ISP!AM16)/(BSP!AM16+BSL!AM16+DSP!AM16+RSP!AM16+ISP!AM16),)</f>
        <v>2.5893409040203075</v>
      </c>
      <c r="AI16" s="168">
        <f>IFERROR((BSP!AI16*BSP!AM16+BSL!AI16*BSL!AM16+DSP!AI16*DSP!AM16+RSP!AI16*RSP!AM16+ISP!AI16*ISP!AM16)/(IF(BSP!AJ16&gt;0,BSP!AM16,0)+IF(BSL!AJ16&gt;0,BSL!AM16,0)+IF(DSP!AJ16&gt;0,DSP!AM16,0)+IF(RSP!AJ16&gt;0,RSP!AM16,0)+IF(ISP!AJ16&gt;0,ISP!AM16,0)),)</f>
        <v>8.0831784520352414</v>
      </c>
      <c r="AJ16" s="168">
        <f>IFERROR((BSP!AJ16*BSP!AM16+BSL!AJ16*BSL!AM16+DSP!AJ16*DSP!AM16+RSP!AJ16*RSP!AM16+ISP!AJ16*ISP!AM16)/(IF(BSP!AJ16&gt;0,BSP!AM16,0)+IF(BSL!AJ16&gt;0,BSL!AM16,0)+IF(DSP!AJ16&gt;0,DSP!AM16,0)+IF(RSP!AJ16&gt;0,RSP!AM16,0)+IF(ISP!AJ16&gt;0,ISP!AM16,0)),)</f>
        <v>41.281641561960427</v>
      </c>
      <c r="AK16" s="168">
        <f t="shared" si="14"/>
        <v>6.7138793827208056</v>
      </c>
      <c r="AL16" s="169">
        <f t="shared" si="15"/>
        <v>0.62778924657677593</v>
      </c>
      <c r="AM16" s="170">
        <f>(BSP!AM16+BSL!AM16+DSP!AM16+RSP!AM16+ISP!AM16)</f>
        <v>334817.7</v>
      </c>
      <c r="AO16" s="172">
        <f t="shared" si="6"/>
        <v>44562</v>
      </c>
      <c r="AP16" s="167">
        <f>IFERROR((BSP!AP16*BSP!AW16+BSL!AP16*BSL!AW16+DSP!AP16*DSP!AW16+RSP!AP16*RSP!AW16+ISP!AP16*ISP!AW16)/(BSP!AW16+BSL!AW16+DSP!AW16+RSP!AW16+ISP!AW16),)</f>
        <v>60.165256806222835</v>
      </c>
      <c r="AQ16" s="168">
        <f>IFERROR((BSP!AQ16*BSP!AW16+BSL!AQ16*BSL!AW16+DSP!AQ16*DSP!AW16+RSP!AQ16*RSP!AW16+ISP!AQ16*ISP!AW16)/(BSP!AW16+BSL!AW16+DSP!AW16+RSP!AW16+ISP!AW16),)</f>
        <v>5.9951186799359419</v>
      </c>
      <c r="AR16" s="168">
        <f>IFERROR((BSP!AR16*BSP!AW16+BSL!AR16*BSL!AW16+DSP!AR16*DSP!AW16+RSP!AR16*RSP!AW16+ISP!AR16*ISP!AW16)/(BSP!AW16+BSL!AW16+DSP!AW16+RSP!AW16+ISP!AW16),)</f>
        <v>2.8267984442919238</v>
      </c>
      <c r="AS16" s="168">
        <f>IFERROR((BSP!AS16*BSP!AW16+BSL!AS16*BSL!AW16+DSP!AS16*DSP!AW16+RSP!AS16*RSP!AW16+ISP!AS16*ISP!AW16)/(IF(BSP!AT16&gt;0,BSP!AW16,0)+IF(BSL!AT16&gt;0,BSL!AW16,0)+IF(DSP!AT16&gt;0,DSP!AW16,0)+IF(RSP!AT16&gt;0,RSP!AW16,0)+IF(ISP!AT16&gt;0,ISP!AW16,0)),)</f>
        <v>14.026699210706932</v>
      </c>
      <c r="AT16" s="168">
        <f>IFERROR((BSP!AT16*BSP!AW16+BSL!AT16*BSL!AW16+DSP!AT16*DSP!AW16+RSP!AT16*RSP!AW16+ISP!AT16*ISP!AW16)/(IF(BSP!AT16&gt;0,BSP!AW16,0)+IF(BSL!AT16&gt;0,BSL!AW16,0)+IF(DSP!AT16&gt;0,DSP!AW16,0)+IF(RSP!AT16&gt;0,RSP!AW16,0)+IF(ISP!AT16&gt;0,ISP!AW16,0)),)</f>
        <v>26.305496568291005</v>
      </c>
      <c r="AU16" s="168">
        <f t="shared" si="16"/>
        <v>8.8219171242278662</v>
      </c>
      <c r="AV16" s="169">
        <f t="shared" si="17"/>
        <v>0.47151667801881253</v>
      </c>
      <c r="AW16" s="170">
        <f>(BSP!AW16+BSL!AW16+DSP!AW16+RSP!AW16+ISP!AW16)</f>
        <v>87420</v>
      </c>
      <c r="AY16" s="172">
        <f t="shared" si="7"/>
        <v>44562</v>
      </c>
      <c r="AZ16" s="167">
        <f>IFERROR((BSP!AZ16*BSP!BG16+BSL!AZ16*BSL!BG16+DSP!AZ16*DSP!BG16+RSP!AZ16*RSP!BG16+ISP!AZ16*ISP!BG16)/(BSP!BG16+BSL!BG16+DSP!BG16+RSP!BG16+ISP!BG16),)</f>
        <v>59.852930517798889</v>
      </c>
      <c r="BA16" s="168">
        <f>IFERROR((BSP!BA16*BSP!BG16+BSL!BA16*BSL!BG16+DSP!BA16*DSP!BG16+RSP!BA16*RSP!BG16+ISP!BA16*ISP!BG16)/(BSP!BG16+BSL!BG16+DSP!BG16+RSP!BG16+ISP!BG16),)</f>
        <v>7.1813703959450299</v>
      </c>
      <c r="BB16" s="168">
        <f>IFERROR((BSP!BB16*BSP!BG16+BSL!BB16*BSL!BG16+DSP!BB16*DSP!BG16+RSP!BB16*RSP!BG16+ISP!BB16*ISP!BG16)/(BSP!BG16+BSL!BG16+DSP!BG16+RSP!BG16+ISP!BG16),)</f>
        <v>2.5936897413024802</v>
      </c>
      <c r="BC16" s="168">
        <f>IFERROR((BSP!BC16*BSP!BG16+BSL!BC16*BSL!BG16+DSP!BC16*DSP!BG16+RSP!BC16*RSP!BG16+ISP!BC16*ISP!BG16)/(IF(BSP!BD16&gt;0,BSP!BG16,0)+IF(BSL!BD16&gt;0,BSL!BG16,0)+IF(DSP!BD16&gt;0,DSP!BG16,0)+IF(RSP!BD16&gt;0,RSP!BG16,0)+IF(ISP!BD16&gt;0,ISP!BG16,0)),)</f>
        <v>5.2416954134985092</v>
      </c>
      <c r="BD16" s="168">
        <f>IFERROR((BSP!BD16*BSP!BG16+BSL!BD16*BSL!BG16+DSP!BD16*DSP!BG16+RSP!BD16*RSP!BG16+ISP!BD16*ISP!BG16)/(IF(BSP!BD16&gt;0,BSP!BG16,0)+IF(BSL!BD16&gt;0,BSL!BG16,0)+IF(DSP!BD16&gt;0,DSP!BG16,0)+IF(RSP!BD16&gt;0,RSP!BG16,0)+IF(ISP!BD16&gt;0,ISP!BG16,0)),)</f>
        <v>43.997009891778553</v>
      </c>
      <c r="BE16" s="168">
        <f t="shared" si="18"/>
        <v>9.775060137247511</v>
      </c>
      <c r="BF16" s="169">
        <f t="shared" si="19"/>
        <v>0.36116919171402306</v>
      </c>
      <c r="BG16" s="170">
        <f>(BSP!BG16+BSL!BG16+DSP!BG16+RSP!BG16+ISP!BG16)</f>
        <v>250102.89999999997</v>
      </c>
      <c r="BK16" s="178">
        <f t="shared" si="5"/>
        <v>44562</v>
      </c>
      <c r="BL16" s="179">
        <f t="shared" si="5"/>
        <v>60.949999999999996</v>
      </c>
      <c r="BM16" s="180">
        <f t="shared" si="5"/>
        <v>4.7</v>
      </c>
      <c r="BN16" s="180">
        <f t="shared" si="5"/>
        <v>2.89</v>
      </c>
      <c r="BO16" s="180">
        <f t="shared" si="5"/>
        <v>13.81</v>
      </c>
      <c r="BP16" s="180">
        <f t="shared" si="5"/>
        <v>29.260000000000005</v>
      </c>
      <c r="BQ16" s="180">
        <f t="shared" si="5"/>
        <v>7.59</v>
      </c>
      <c r="BR16" s="181">
        <f t="shared" si="5"/>
        <v>0.61489361702127665</v>
      </c>
      <c r="BS16" s="182">
        <f t="shared" si="5"/>
        <v>93390.9</v>
      </c>
      <c r="BT16" s="117">
        <f t="shared" si="0"/>
        <v>0</v>
      </c>
      <c r="BU16" s="178">
        <f t="shared" si="0"/>
        <v>44562</v>
      </c>
      <c r="BV16" s="179">
        <f t="shared" si="0"/>
        <v>60.494473510644632</v>
      </c>
      <c r="BW16" s="180">
        <f t="shared" si="0"/>
        <v>6.1672989744783999</v>
      </c>
      <c r="BX16" s="180">
        <f t="shared" si="0"/>
        <v>2.6960199051420326</v>
      </c>
      <c r="BY16" s="180">
        <f t="shared" si="0"/>
        <v>6.3598593422931708</v>
      </c>
      <c r="BZ16" s="180">
        <f t="shared" si="0"/>
        <v>45.896355979637129</v>
      </c>
      <c r="CA16" s="180">
        <f t="shared" si="0"/>
        <v>8.863318879620433</v>
      </c>
      <c r="CB16" s="181">
        <f t="shared" si="20"/>
        <v>0.43714759350872051</v>
      </c>
      <c r="CC16" s="182">
        <f t="shared" si="20"/>
        <v>296717.30000000005</v>
      </c>
      <c r="CD16" s="104">
        <f t="shared" si="1"/>
        <v>0</v>
      </c>
      <c r="CE16" s="178">
        <f t="shared" si="1"/>
        <v>44562</v>
      </c>
      <c r="CF16" s="179">
        <f t="shared" si="1"/>
        <v>61.718937484381861</v>
      </c>
      <c r="CG16" s="180">
        <f t="shared" si="1"/>
        <v>3.7707595558611247</v>
      </c>
      <c r="CH16" s="180">
        <f t="shared" si="1"/>
        <v>2.3386251743794575</v>
      </c>
      <c r="CI16" s="180">
        <f t="shared" si="1"/>
        <v>24.928455119399164</v>
      </c>
      <c r="CJ16" s="180">
        <f t="shared" si="1"/>
        <v>18.600352796218711</v>
      </c>
      <c r="CK16" s="180">
        <f t="shared" si="1"/>
        <v>6.1093847302405822</v>
      </c>
      <c r="CL16" s="181">
        <f t="shared" si="1"/>
        <v>0.62020002594553869</v>
      </c>
      <c r="CM16" s="182">
        <f t="shared" si="1"/>
        <v>225298.9</v>
      </c>
      <c r="CN16" s="109">
        <f t="shared" si="1"/>
        <v>0</v>
      </c>
      <c r="CO16" s="178">
        <f t="shared" si="1"/>
        <v>44562</v>
      </c>
      <c r="CP16" s="179">
        <f t="shared" si="1"/>
        <v>61.852492162152721</v>
      </c>
      <c r="CQ16" s="180">
        <f t="shared" si="1"/>
        <v>4.1245384787004982</v>
      </c>
      <c r="CR16" s="180">
        <f t="shared" si="21"/>
        <v>2.5893409040203075</v>
      </c>
      <c r="CS16" s="180">
        <f t="shared" si="21"/>
        <v>8.0831784520352414</v>
      </c>
      <c r="CT16" s="180">
        <f t="shared" si="21"/>
        <v>41.281641561960427</v>
      </c>
      <c r="CU16" s="180">
        <f t="shared" si="21"/>
        <v>6.7138793827208056</v>
      </c>
      <c r="CV16" s="181">
        <f t="shared" si="21"/>
        <v>0.62778924657677593</v>
      </c>
      <c r="CW16" s="182">
        <f t="shared" si="21"/>
        <v>334817.7</v>
      </c>
      <c r="CX16" s="111">
        <f t="shared" si="2"/>
        <v>0</v>
      </c>
      <c r="CY16" s="178">
        <f t="shared" si="3"/>
        <v>44562</v>
      </c>
      <c r="CZ16" s="179">
        <f t="shared" si="3"/>
        <v>61.21</v>
      </c>
      <c r="DA16" s="180">
        <f t="shared" si="3"/>
        <v>3.81</v>
      </c>
      <c r="DB16" s="180">
        <f t="shared" si="3"/>
        <v>3.69</v>
      </c>
      <c r="DC16" s="180">
        <f t="shared" si="3"/>
        <v>14.5</v>
      </c>
      <c r="DD16" s="180">
        <f t="shared" si="3"/>
        <v>14.5</v>
      </c>
      <c r="DE16" s="180">
        <f t="shared" si="3"/>
        <v>7.5</v>
      </c>
      <c r="DF16" s="181">
        <f t="shared" si="3"/>
        <v>0.96850393700787396</v>
      </c>
      <c r="DG16" s="182">
        <f t="shared" si="3"/>
        <v>53757.5</v>
      </c>
      <c r="DH16" s="111">
        <f t="shared" si="3"/>
        <v>0</v>
      </c>
      <c r="DI16" s="178">
        <f t="shared" si="3"/>
        <v>44562</v>
      </c>
      <c r="DJ16" s="179">
        <f t="shared" si="3"/>
        <v>60.427005031205553</v>
      </c>
      <c r="DK16" s="180">
        <f t="shared" si="3"/>
        <v>4.2074617100132663</v>
      </c>
      <c r="DL16" s="180">
        <f t="shared" si="3"/>
        <v>4.1634907768334024</v>
      </c>
      <c r="DM16" s="180">
        <f t="shared" si="3"/>
        <v>2.1</v>
      </c>
      <c r="DN16" s="180">
        <f t="shared" si="3"/>
        <v>47.1</v>
      </c>
      <c r="DO16" s="180">
        <f t="shared" si="22"/>
        <v>8.3709524868466687</v>
      </c>
      <c r="DP16" s="181">
        <f t="shared" si="22"/>
        <v>0.98954929688956683</v>
      </c>
      <c r="DQ16" s="182">
        <f t="shared" si="22"/>
        <v>103247.62000000001</v>
      </c>
    </row>
    <row r="17" spans="1:121" ht="19" customHeight="1" x14ac:dyDescent="0.35">
      <c r="A17" s="166">
        <f>BSP!A17</f>
        <v>44593</v>
      </c>
      <c r="B17" s="167">
        <f>IFERROR((BSP!B17*BSP!I17+BSL!B17*BSL!I17+DSP!B17*DSP!I17+RSP!B17*RSP!I17+ISP!B17*ISP!I17)/(BSP!I17+BSL!I17+DSP!I17+RSP!I17+ISP!I17),)</f>
        <v>60.919999999999995</v>
      </c>
      <c r="C17" s="168">
        <f>IFERROR((BSP!C17*BSP!I17+BSL!C17*BSL!I17+DSP!C17*DSP!I17+RSP!C17*RSP!I17+ISP!C17*ISP!I17)/(BSP!I17+BSL!I17+DSP!I17+RSP!I17+ISP!I17),)</f>
        <v>4.7300000000000004</v>
      </c>
      <c r="D17" s="168">
        <f>IFERROR((BSP!D17*BSP!I17+BSL!D17*BSL!I17+DSP!D17*DSP!I17+RSP!D17*RSP!I17+ISP!D17*ISP!I17)/(BSP!I17+BSL!I17+DSP!I17+RSP!I17+ISP!I17),)</f>
        <v>2.88</v>
      </c>
      <c r="E17" s="168">
        <f>IFERROR((BSP!E17*BSP!I17+BSL!E17*BSL!I17+DSP!E17*DSP!I17+RSP!E17*RSP!I17+ISP!E17*ISP!I17)/(IF(BSP!F17&gt;0,BSP!I17,0)+IF(BSL!F17&gt;0,BSL!I17,0)+IF(DSP!F17&gt;0,DSP!I17,0)+IF(RSP!F17&gt;0,RSP!I17,0)+IF(ISP!F17&gt;0,ISP!I17,0)),)</f>
        <v>12.67</v>
      </c>
      <c r="F17" s="168">
        <f>IFERROR((BSP!F17*BSP!I17+BSL!F17*BSL!I17+DSP!F17*DSP!I17+RSP!F17*RSP!I17+ISP!F17*ISP!I17)/(IF(BSP!F17&gt;0,BSP!I17,0)+IF(BSL!F17&gt;0,BSL!I17,0)+IF(DSP!F17&gt;0,DSP!I17,0)+IF(RSP!F17&gt;0,RSP!I17,0)+IF(ISP!F17&gt;0,ISP!I17,0)),)</f>
        <v>27.89</v>
      </c>
      <c r="G17" s="168">
        <f t="shared" si="8"/>
        <v>7.61</v>
      </c>
      <c r="H17" s="169">
        <f t="shared" si="9"/>
        <v>0.60887949260042273</v>
      </c>
      <c r="I17" s="170">
        <f>(BSP!I17+BSL!I17+DSP!I17+RSP!I17+ISP!I17)</f>
        <v>86851.6</v>
      </c>
      <c r="J17" s="119"/>
      <c r="K17" s="166">
        <f>BSP!K17</f>
        <v>44593</v>
      </c>
      <c r="L17" s="167">
        <f>IFERROR((BSP!L17*BSP!S17+BSL!L17*BSL!S17+DSP!L17*DSP!S17+RSP!L17*RSP!S17+ISP!L17*ISP!S17)/(BSP!S17+BSL!S17+DSP!S17+RSP!S17+ISP!S17),)</f>
        <v>61.015893043278567</v>
      </c>
      <c r="M17" s="168">
        <f>IFERROR((BSP!M17*BSP!S17+BSL!M17*BSL!S17+DSP!M17*DSP!S17+RSP!M17*RSP!S17+ISP!M17*ISP!S17)/(BSP!S17+BSL!S17+DSP!S17+RSP!S17+ISP!S17),)</f>
        <v>5.2669946516527881</v>
      </c>
      <c r="N17" s="168">
        <f>IFERROR((BSP!N17*BSP!S17+BSL!N17*BSL!S17+DSP!N17*DSP!S17+RSP!N17*RSP!S17+ISP!N17*ISP!S17)/(BSP!S17+BSL!S17+DSP!S17+RSP!S17+ISP!S17),)</f>
        <v>2.8332635140784315</v>
      </c>
      <c r="O17" s="168">
        <f>IFERROR((BSP!O17*BSP!S17+BSL!O17*BSL!S17+DSP!O17*DSP!S17+RSP!O17*RSP!S17+ISP!O17*ISP!S17)/(IF(BSP!P17&gt;0,BSP!S17,0)+IF(BSL!P17&gt;0,BSL!S17,0)+IF(DSP!P17&gt;0,DSP!S17,0)+IF(RSP!P17&gt;0,RSP!S17,0)+IF(ISP!P17&gt;0,ISP!S17,0)),)</f>
        <v>6.9501279455796814</v>
      </c>
      <c r="P17" s="168">
        <f>IFERROR((BSP!P17*BSP!S17+BSL!P17*BSL!S17+DSP!P17*DSP!S17+RSP!P17*RSP!S17+ISP!P17*ISP!S17)/(IF(BSP!P17&gt;0,BSP!S17,0)+IF(BSL!P17&gt;0,BSL!S17,0)+IF(DSP!P17&gt;0,DSP!S17,0)+IF(RSP!P17&gt;0,RSP!S17,0)+IF(ISP!P17&gt;0,ISP!S17,0)),)</f>
        <v>42.766097736490664</v>
      </c>
      <c r="Q17" s="168">
        <f t="shared" si="10"/>
        <v>8.1002581657312192</v>
      </c>
      <c r="R17" s="169">
        <f t="shared" si="11"/>
        <v>0.53792792692306046</v>
      </c>
      <c r="S17" s="170">
        <f>(BSP!S17+BSL!S17+DSP!S17+RSP!S17+ISP!S17)</f>
        <v>273897.7</v>
      </c>
      <c r="U17" s="166">
        <f>BSP!U17</f>
        <v>44593</v>
      </c>
      <c r="V17" s="167">
        <f>IFERROR((BSP!V17*BSP!AC17+BSL!V17*BSL!AC17+DSP!V17*DSP!AC17+RSP!V17*RSP!AC17+ISP!V17*ISP!AC17)/(BSP!AC17+BSL!AC17+DSP!AC17+RSP!AC17+ISP!AC17),)</f>
        <v>61.744337551956484</v>
      </c>
      <c r="W17" s="168">
        <f>IFERROR((BSP!W17*BSP!AC17+BSL!W17*BSL!AC17+DSP!W17*DSP!AC17+RSP!W17*RSP!AC17+ISP!W17*ISP!AC17)/(BSP!AC17+BSL!AC17+DSP!AC17+RSP!AC17+ISP!AC17),)</f>
        <v>3.7836398864168155</v>
      </c>
      <c r="X17" s="168">
        <f>IFERROR((BSP!X17*BSP!AC17+BSL!X17*BSL!AC17+DSP!X17*DSP!AC17+RSP!X17*RSP!AC17+ISP!X17*ISP!AC17)/(BSP!AC17+BSL!AC17+DSP!AC17+RSP!AC17+ISP!AC17),)</f>
        <v>2.3146521481314455</v>
      </c>
      <c r="Y17" s="168">
        <f>IFERROR((BSP!Y17*BSP!AC17+BSL!Y17*BSL!AC17+DSP!Y17*DSP!AC17+RSP!Y17*RSP!AC17+ISP!Y17*ISP!AC17)/(IF(BSP!Z17&gt;0,BSP!AC17,0)+IF(BSL!Z17&gt;0,BSL!AC17,0)+IF(DSP!Z17&gt;0,DSP!AC17,0)+IF(RSP!Z17&gt;0,RSP!AC17,0)+IF(ISP!Z17&gt;0,ISP!AC17,0)),)</f>
        <v>19.736768926622354</v>
      </c>
      <c r="Z17" s="168">
        <f>IFERROR((BSP!Z17*BSP!AC17+BSL!Z17*BSL!AC17+DSP!Z17*DSP!AC17+RSP!Z17*RSP!AC17+ISP!Z17*ISP!AC17)/(IF(BSP!Z17&gt;0,BSP!AC17,0)+IF(BSL!Z17&gt;0,BSL!AC17,0)+IF(DSP!Z17&gt;0,DSP!AC17,0)+IF(RSP!Z17&gt;0,RSP!AC17,0)+IF(ISP!Z17&gt;0,ISP!AC17,0)),)</f>
        <v>22.803300934682294</v>
      </c>
      <c r="AA17" s="168">
        <f t="shared" si="12"/>
        <v>6.098292034548261</v>
      </c>
      <c r="AB17" s="169">
        <f t="shared" si="13"/>
        <v>0.61175276126065703</v>
      </c>
      <c r="AC17" s="170">
        <f>(BSP!AC17+BSL!AC17+DSP!AC17+RSP!AC17+ISP!AC17)</f>
        <v>200631.81</v>
      </c>
      <c r="AD17" s="119"/>
      <c r="AE17" s="172">
        <f>BSP!AE17</f>
        <v>44593</v>
      </c>
      <c r="AF17" s="167">
        <f>IFERROR((BSP!AF17*BSP!AM17+BSL!AF17*BSL!AM17+DSP!AF17*DSP!AM17+RSP!AF17*RSP!AM17+ISP!AF17*ISP!AM17)/(BSP!AM17+BSL!AM17+DSP!AM17+RSP!AM17+ISP!AM17),)</f>
        <v>61.709324993538942</v>
      </c>
      <c r="AG17" s="168">
        <f>IFERROR((BSP!AG17*BSP!AM17+BSL!AG17*BSL!AM17+DSP!AG17*DSP!AM17+RSP!AG17*RSP!AM17+ISP!AG17*ISP!AM17)/(BSP!AM17+BSL!AM17+DSP!AM17+RSP!AM17+ISP!AM17),)</f>
        <v>4.3079654078015919</v>
      </c>
      <c r="AH17" s="168">
        <f>IFERROR((BSP!AH17*BSP!AM17+BSL!AH17*BSL!AM17+DSP!AH17*DSP!AM17+RSP!AH17*RSP!AM17+ISP!AH17*ISP!AM17)/(BSP!AM17+BSL!AM17+DSP!AM17+RSP!AM17+ISP!AM17),)</f>
        <v>2.6781559475958283</v>
      </c>
      <c r="AI17" s="168">
        <f>IFERROR((BSP!AI17*BSP!AM17+BSL!AI17*BSL!AM17+DSP!AI17*DSP!AM17+RSP!AI17*RSP!AM17+ISP!AI17*ISP!AM17)/(IF(BSP!AJ17&gt;0,BSP!AM17,0)+IF(BSL!AJ17&gt;0,BSL!AM17,0)+IF(DSP!AJ17&gt;0,DSP!AM17,0)+IF(RSP!AJ17&gt;0,RSP!AM17,0)+IF(ISP!AJ17&gt;0,ISP!AM17,0)),)</f>
        <v>8.1637440860657087</v>
      </c>
      <c r="AJ17" s="168">
        <f>IFERROR((BSP!AJ17*BSP!AM17+BSL!AJ17*BSL!AM17+DSP!AJ17*DSP!AM17+RSP!AJ17*RSP!AM17+ISP!AJ17*ISP!AM17)/(IF(BSP!AJ17&gt;0,BSP!AM17,0)+IF(BSL!AJ17&gt;0,BSL!AM17,0)+IF(DSP!AJ17&gt;0,DSP!AM17,0)+IF(RSP!AJ17&gt;0,RSP!AM17,0)+IF(ISP!AJ17&gt;0,ISP!AM17,0)),)</f>
        <v>41.119760848095495</v>
      </c>
      <c r="AK17" s="168">
        <f t="shared" si="14"/>
        <v>6.9861213553974206</v>
      </c>
      <c r="AL17" s="169">
        <f t="shared" si="15"/>
        <v>0.6216753604255435</v>
      </c>
      <c r="AM17" s="170">
        <f>(BSP!AM17+BSL!AM17+DSP!AM17+RSP!AM17+ISP!AM17)</f>
        <v>296777.89999999997</v>
      </c>
      <c r="AO17" s="172">
        <f t="shared" si="6"/>
        <v>44593</v>
      </c>
      <c r="AP17" s="167">
        <f>IFERROR((BSP!AP17*BSP!AW17+BSL!AP17*BSL!AW17+DSP!AP17*DSP!AW17+RSP!AP17*RSP!AW17+ISP!AP17*ISP!AW17)/(BSP!AW17+BSL!AW17+DSP!AW17+RSP!AW17+ISP!AW17),)</f>
        <v>60.38000000000001</v>
      </c>
      <c r="AQ17" s="168">
        <f>IFERROR((BSP!AQ17*BSP!AW17+BSL!AQ17*BSL!AW17+DSP!AQ17*DSP!AW17+RSP!AQ17*RSP!AW17+ISP!AQ17*ISP!AW17)/(BSP!AW17+BSL!AW17+DSP!AW17+RSP!AW17+ISP!AW17),)</f>
        <v>5.71</v>
      </c>
      <c r="AR17" s="168">
        <f>IFERROR((BSP!AR17*BSP!AW17+BSL!AR17*BSL!AW17+DSP!AR17*DSP!AW17+RSP!AR17*RSP!AW17+ISP!AR17*ISP!AW17)/(BSP!AW17+BSL!AW17+DSP!AW17+RSP!AW17+ISP!AW17),)</f>
        <v>2.79</v>
      </c>
      <c r="AS17" s="168">
        <f>IFERROR((BSP!AS17*BSP!AW17+BSL!AS17*BSL!AW17+DSP!AS17*DSP!AW17+RSP!AS17*RSP!AW17+ISP!AS17*ISP!AW17)/(IF(BSP!AT17&gt;0,BSP!AW17,0)+IF(BSL!AT17&gt;0,BSL!AW17,0)+IF(DSP!AT17&gt;0,DSP!AW17,0)+IF(RSP!AT17&gt;0,RSP!AW17,0)+IF(ISP!AT17&gt;0,ISP!AW17,0)),)</f>
        <v>13.529999999999998</v>
      </c>
      <c r="AT17" s="168">
        <f>IFERROR((BSP!AT17*BSP!AW17+BSL!AT17*BSL!AW17+DSP!AT17*DSP!AW17+RSP!AT17*RSP!AW17+ISP!AT17*ISP!AW17)/(IF(BSP!AT17&gt;0,BSP!AW17,0)+IF(BSL!AT17&gt;0,BSL!AW17,0)+IF(DSP!AT17&gt;0,DSP!AW17,0)+IF(RSP!AT17&gt;0,RSP!AW17,0)+IF(ISP!AT17&gt;0,ISP!AW17,0)),)</f>
        <v>29.190000000000005</v>
      </c>
      <c r="AU17" s="168">
        <f t="shared" si="16"/>
        <v>8.5</v>
      </c>
      <c r="AV17" s="169">
        <f t="shared" si="17"/>
        <v>0.48861646234676009</v>
      </c>
      <c r="AW17" s="170">
        <f>(BSP!AW17+BSL!AW17+DSP!AW17+RSP!AW17+ISP!AW17)</f>
        <v>79132.5</v>
      </c>
      <c r="AY17" s="172">
        <f t="shared" si="7"/>
        <v>44593</v>
      </c>
      <c r="AZ17" s="167">
        <f>IFERROR((BSP!AZ17*BSP!BG17+BSL!AZ17*BSL!BG17+DSP!AZ17*DSP!BG17+RSP!AZ17*RSP!BG17+ISP!AZ17*ISP!BG17)/(BSP!BG17+BSL!BG17+DSP!BG17+RSP!BG17+ISP!BG17),)</f>
        <v>60.085554953147131</v>
      </c>
      <c r="BA17" s="168">
        <f>IFERROR((BSP!BA17*BSP!BG17+BSL!BA17*BSL!BG17+DSP!BA17*DSP!BG17+RSP!BA17*RSP!BG17+ISP!BA17*ISP!BG17)/(BSP!BG17+BSL!BG17+DSP!BG17+RSP!BG17+ISP!BG17),)</f>
        <v>6.8128143049464951</v>
      </c>
      <c r="BB17" s="168">
        <f>IFERROR((BSP!BB17*BSP!BG17+BSL!BB17*BSL!BG17+DSP!BB17*DSP!BG17+RSP!BB17*RSP!BG17+ISP!BB17*ISP!BG17)/(BSP!BG17+BSL!BG17+DSP!BG17+RSP!BG17+ISP!BG17),)</f>
        <v>2.6209859172416969</v>
      </c>
      <c r="BC17" s="168">
        <f>IFERROR((BSP!BC17*BSP!BG17+BSL!BC17*BSL!BG17+DSP!BC17*DSP!BG17+RSP!BC17*RSP!BG17+ISP!BC17*ISP!BG17)/(IF(BSP!BD17&gt;0,BSP!BG17,0)+IF(BSL!BD17&gt;0,BSL!BG17,0)+IF(DSP!BD17&gt;0,DSP!BG17,0)+IF(RSP!BD17&gt;0,RSP!BG17,0)+IF(ISP!BD17&gt;0,ISP!BG17,0)),)</f>
        <v>5.8965828484668235</v>
      </c>
      <c r="BD17" s="168">
        <f>IFERROR((BSP!BD17*BSP!BG17+BSL!BD17*BSL!BG17+DSP!BD17*DSP!BG17+RSP!BD17*RSP!BG17+ISP!BD17*ISP!BG17)/(IF(BSP!BD17&gt;0,BSP!BG17,0)+IF(BSL!BD17&gt;0,BSL!BG17,0)+IF(DSP!BD17&gt;0,DSP!BG17,0)+IF(RSP!BD17&gt;0,RSP!BG17,0)+IF(ISP!BD17&gt;0,ISP!BG17,0)),)</f>
        <v>42.24995539681403</v>
      </c>
      <c r="BE17" s="168">
        <f t="shared" si="18"/>
        <v>9.4338002221881929</v>
      </c>
      <c r="BF17" s="169">
        <f t="shared" si="19"/>
        <v>0.38471412839459168</v>
      </c>
      <c r="BG17" s="170">
        <f>(BSP!BG17+BSL!BG17+DSP!BG17+RSP!BG17+ISP!BG17)</f>
        <v>169135.90000000002</v>
      </c>
      <c r="BK17" s="178">
        <f t="shared" si="5"/>
        <v>44593</v>
      </c>
      <c r="BL17" s="179">
        <f t="shared" si="5"/>
        <v>60.919999999999995</v>
      </c>
      <c r="BM17" s="180">
        <f t="shared" si="5"/>
        <v>4.7300000000000004</v>
      </c>
      <c r="BN17" s="180">
        <f t="shared" si="5"/>
        <v>2.88</v>
      </c>
      <c r="BO17" s="180">
        <f t="shared" si="5"/>
        <v>12.67</v>
      </c>
      <c r="BP17" s="180">
        <f t="shared" si="5"/>
        <v>27.89</v>
      </c>
      <c r="BQ17" s="180">
        <f t="shared" si="5"/>
        <v>7.61</v>
      </c>
      <c r="BR17" s="181">
        <f t="shared" si="5"/>
        <v>0.60887949260042273</v>
      </c>
      <c r="BS17" s="182">
        <f t="shared" si="5"/>
        <v>86851.6</v>
      </c>
      <c r="BT17" s="117">
        <f t="shared" si="0"/>
        <v>0</v>
      </c>
      <c r="BU17" s="178">
        <f t="shared" si="0"/>
        <v>44593</v>
      </c>
      <c r="BV17" s="179">
        <f t="shared" si="0"/>
        <v>61.015893043278567</v>
      </c>
      <c r="BW17" s="180">
        <f t="shared" si="0"/>
        <v>5.2669946516527881</v>
      </c>
      <c r="BX17" s="180">
        <f t="shared" si="0"/>
        <v>2.8332635140784315</v>
      </c>
      <c r="BY17" s="180">
        <f t="shared" si="0"/>
        <v>6.9501279455796814</v>
      </c>
      <c r="BZ17" s="180">
        <f t="shared" si="0"/>
        <v>42.766097736490664</v>
      </c>
      <c r="CA17" s="180">
        <f t="shared" si="0"/>
        <v>8.1002581657312192</v>
      </c>
      <c r="CB17" s="181">
        <f t="shared" si="20"/>
        <v>0.53792792692306046</v>
      </c>
      <c r="CC17" s="182">
        <f t="shared" si="20"/>
        <v>273897.7</v>
      </c>
      <c r="CD17" s="104">
        <f t="shared" si="1"/>
        <v>0</v>
      </c>
      <c r="CE17" s="178">
        <f t="shared" si="1"/>
        <v>44593</v>
      </c>
      <c r="CF17" s="179">
        <f t="shared" si="1"/>
        <v>61.744337551956484</v>
      </c>
      <c r="CG17" s="180">
        <f t="shared" si="1"/>
        <v>3.7836398864168155</v>
      </c>
      <c r="CH17" s="180">
        <f t="shared" si="1"/>
        <v>2.3146521481314455</v>
      </c>
      <c r="CI17" s="180">
        <f t="shared" si="1"/>
        <v>19.736768926622354</v>
      </c>
      <c r="CJ17" s="180">
        <f t="shared" si="1"/>
        <v>22.803300934682294</v>
      </c>
      <c r="CK17" s="180">
        <f t="shared" si="1"/>
        <v>6.098292034548261</v>
      </c>
      <c r="CL17" s="181">
        <f t="shared" si="1"/>
        <v>0.61175276126065703</v>
      </c>
      <c r="CM17" s="182">
        <f t="shared" si="1"/>
        <v>200631.81</v>
      </c>
      <c r="CN17" s="109">
        <f t="shared" si="1"/>
        <v>0</v>
      </c>
      <c r="CO17" s="178">
        <f t="shared" si="1"/>
        <v>44593</v>
      </c>
      <c r="CP17" s="179">
        <f t="shared" si="1"/>
        <v>61.709324993538942</v>
      </c>
      <c r="CQ17" s="180">
        <f t="shared" si="1"/>
        <v>4.3079654078015919</v>
      </c>
      <c r="CR17" s="180">
        <f t="shared" si="21"/>
        <v>2.6781559475958283</v>
      </c>
      <c r="CS17" s="180">
        <f t="shared" si="21"/>
        <v>8.1637440860657087</v>
      </c>
      <c r="CT17" s="180">
        <f t="shared" si="21"/>
        <v>41.119760848095495</v>
      </c>
      <c r="CU17" s="180">
        <f t="shared" si="21"/>
        <v>6.9861213553974206</v>
      </c>
      <c r="CV17" s="181">
        <f t="shared" si="21"/>
        <v>0.6216753604255435</v>
      </c>
      <c r="CW17" s="182">
        <f t="shared" si="21"/>
        <v>296777.89999999997</v>
      </c>
      <c r="CX17" s="111">
        <f t="shared" si="2"/>
        <v>0</v>
      </c>
      <c r="CY17" s="178">
        <f t="shared" si="3"/>
        <v>44593</v>
      </c>
      <c r="CZ17" s="179">
        <f t="shared" si="3"/>
        <v>61.165398836431457</v>
      </c>
      <c r="DA17" s="180">
        <f t="shared" si="3"/>
        <v>3.1868786361517096</v>
      </c>
      <c r="DB17" s="180">
        <f t="shared" si="3"/>
        <v>4.399271654740426</v>
      </c>
      <c r="DC17" s="180">
        <f t="shared" si="3"/>
        <v>13.634624272769658</v>
      </c>
      <c r="DD17" s="180">
        <f t="shared" si="3"/>
        <v>15.777484002621746</v>
      </c>
      <c r="DE17" s="180">
        <f t="shared" si="3"/>
        <v>7.5861502908921352</v>
      </c>
      <c r="DF17" s="181">
        <f t="shared" si="3"/>
        <v>1.3804327547448534</v>
      </c>
      <c r="DG17" s="182">
        <f t="shared" si="3"/>
        <v>73996.5</v>
      </c>
      <c r="DH17" s="111">
        <f t="shared" si="3"/>
        <v>0</v>
      </c>
      <c r="DI17" s="178">
        <f t="shared" si="3"/>
        <v>44593</v>
      </c>
      <c r="DJ17" s="179">
        <f t="shared" si="3"/>
        <v>60.24</v>
      </c>
      <c r="DK17" s="180">
        <f t="shared" si="3"/>
        <v>4.21</v>
      </c>
      <c r="DL17" s="180">
        <f t="shared" si="3"/>
        <v>4.59</v>
      </c>
      <c r="DM17" s="180">
        <f t="shared" si="3"/>
        <v>3.8700000000000006</v>
      </c>
      <c r="DN17" s="180">
        <f t="shared" si="3"/>
        <v>40.33</v>
      </c>
      <c r="DO17" s="180">
        <f t="shared" si="22"/>
        <v>8.8000000000000007</v>
      </c>
      <c r="DP17" s="181">
        <f t="shared" si="22"/>
        <v>1.0902612826603326</v>
      </c>
      <c r="DQ17" s="182">
        <f t="shared" si="22"/>
        <v>75885.100000000006</v>
      </c>
    </row>
    <row r="18" spans="1:121" ht="19" customHeight="1" thickBot="1" x14ac:dyDescent="0.4">
      <c r="A18" s="166">
        <f>BSP!A18</f>
        <v>44621</v>
      </c>
      <c r="B18" s="183">
        <f>IFERROR((BSP!B18*BSP!I18+BSL!B18*BSL!I18+DSP!B18*DSP!I18+RSP!B18*RSP!I18+ISP!B18*ISP!I18)/(BSP!I18+BSL!I18+DSP!I18+RSP!I18+ISP!I18),)</f>
        <v>61.743439137349142</v>
      </c>
      <c r="C18" s="184">
        <f>IFERROR((BSP!C18*BSP!I18+BSL!C18*BSL!I18+DSP!C18*DSP!I18+RSP!C18*RSP!I18+ISP!C18*ISP!I18)/(BSP!I18+BSL!I18+DSP!I18+RSP!I18+ISP!I18),)</f>
        <v>4.3635019617031663</v>
      </c>
      <c r="D18" s="184">
        <f>IFERROR((BSP!D18*BSP!I18+BSL!D18*BSL!I18+DSP!D18*DSP!I18+RSP!D18*RSP!I18+ISP!D18*ISP!I18)/(BSP!I18+BSL!I18+DSP!I18+RSP!I18+ISP!I18),)</f>
        <v>2.698796466441665</v>
      </c>
      <c r="E18" s="168">
        <f>IFERROR((BSP!E18*BSP!I18+BSL!E18*BSL!I18+DSP!E18*DSP!I18+RSP!E18*RSP!I18+ISP!E18*ISP!I18)/(IF(BSP!F18&gt;0,BSP!I18,0)+IF(BSL!F18&gt;0,BSL!I18,0)+IF(DSP!F18&gt;0,DSP!I18,0)+IF(RSP!F18&gt;0,RSP!I18,0)+IF(ISP!F18&gt;0,ISP!I18,0)),)</f>
        <v>12.83397053706298</v>
      </c>
      <c r="F18" s="168">
        <f>IFERROR((BSP!F18*BSP!I18+BSL!F18*BSL!I18+DSP!F18*DSP!I18+RSP!F18*RSP!I18+ISP!F18*ISP!I18)/(IF(BSP!F18&gt;0,BSP!I18,0)+IF(BSL!F18&gt;0,BSL!I18,0)+IF(DSP!F18&gt;0,DSP!I18,0)+IF(RSP!F18&gt;0,RSP!I18,0)+IF(ISP!F18&gt;0,ISP!I18,0)),)</f>
        <v>28.164980382968331</v>
      </c>
      <c r="G18" s="168">
        <f t="shared" si="8"/>
        <v>7.0622984281448318</v>
      </c>
      <c r="H18" s="169">
        <f t="shared" si="9"/>
        <v>0.61849324009201734</v>
      </c>
      <c r="I18" s="170">
        <f>(BSP!I18+BSL!I18+DSP!I18+RSP!I18+ISP!I18)</f>
        <v>100295.5</v>
      </c>
      <c r="J18" s="119"/>
      <c r="K18" s="166">
        <f>BSP!K18</f>
        <v>44621</v>
      </c>
      <c r="L18" s="183">
        <f>IFERROR((BSP!L18*BSP!S18+BSL!L18*BSL!S18+DSP!L18*DSP!S18+RSP!L18*RSP!S18+ISP!L18*ISP!S18)/(BSP!S18+BSL!S18+DSP!S18+RSP!S18+ISP!S18),)</f>
        <v>61.12767867485983</v>
      </c>
      <c r="M18" s="184">
        <f>IFERROR((BSP!M18*BSP!S18+BSL!M18*BSL!S18+DSP!M18*DSP!S18+RSP!M18*RSP!S18+ISP!M18*ISP!S18)/(BSP!S18+BSL!S18+DSP!S18+RSP!S18+ISP!S18),)</f>
        <v>4.757345817353225</v>
      </c>
      <c r="N18" s="184">
        <f>IFERROR((BSP!N18*BSP!S18+BSL!N18*BSL!S18+DSP!N18*DSP!S18+RSP!N18*RSP!S18+ISP!N18*ISP!S18)/(BSP!S18+BSL!S18+DSP!S18+RSP!S18+ISP!S18),)</f>
        <v>3.1691199754176234</v>
      </c>
      <c r="O18" s="168">
        <f>IFERROR((BSP!O18*BSP!S18+BSL!O18*BSL!S18+DSP!O18*DSP!S18+RSP!O18*RSP!S18+ISP!O18*ISP!S18)/(IF(BSP!P18&gt;0,BSP!S18,0)+IF(BSL!P18&gt;0,BSL!S18,0)+IF(DSP!P18&gt;0,DSP!S18,0)+IF(RSP!P18&gt;0,RSP!S18,0)+IF(ISP!P18&gt;0,ISP!S18,0)),)</f>
        <v>7.3429612964607287</v>
      </c>
      <c r="P18" s="168">
        <f>IFERROR((BSP!P18*BSP!S18+BSL!P18*BSL!S18+DSP!P18*DSP!S18+RSP!P18*RSP!S18+ISP!P18*ISP!S18)/(IF(BSP!P18&gt;0,BSP!S18,0)+IF(BSL!P18&gt;0,BSL!S18,0)+IF(DSP!P18&gt;0,DSP!S18,0)+IF(RSP!P18&gt;0,RSP!S18,0)+IF(ISP!P18&gt;0,ISP!S18,0)),)</f>
        <v>42.861059840921428</v>
      </c>
      <c r="Q18" s="168">
        <f t="shared" si="10"/>
        <v>7.9264657927708484</v>
      </c>
      <c r="R18" s="169">
        <f t="shared" si="11"/>
        <v>0.66615295525873297</v>
      </c>
      <c r="S18" s="170">
        <f>(BSP!S18+BSL!S18+DSP!S18+RSP!S18+ISP!S18)</f>
        <v>277271.8</v>
      </c>
      <c r="U18" s="166">
        <f>BSP!U18</f>
        <v>44621</v>
      </c>
      <c r="V18" s="183">
        <f>IFERROR((BSP!V18*BSP!AC18+BSL!V18*BSL!AC18+DSP!V18*DSP!AC18+RSP!V18*RSP!AC18+ISP!V18*ISP!AC18)/(BSP!AC18+BSL!AC18+DSP!AC18+RSP!AC18+ISP!AC18),)</f>
        <v>61.825363913243258</v>
      </c>
      <c r="W18" s="184">
        <f>IFERROR((BSP!W18*BSP!AC18+BSL!W18*BSL!AC18+DSP!W18*DSP!AC18+RSP!W18*RSP!AC18+ISP!W18*ISP!AC18)/(BSP!AC18+BSL!AC18+DSP!AC18+RSP!AC18+ISP!AC18),)</f>
        <v>3.7736601787166846</v>
      </c>
      <c r="X18" s="184">
        <f>IFERROR((BSP!X18*BSP!AC18+BSL!X18*BSL!AC18+DSP!X18*DSP!AC18+RSP!X18*RSP!AC18+ISP!X18*ISP!AC18)/(BSP!AC18+BSL!AC18+DSP!AC18+RSP!AC18+ISP!AC18),)</f>
        <v>2.1768951036337501</v>
      </c>
      <c r="Y18" s="168">
        <f>IFERROR((BSP!Y18*BSP!AC18+BSL!Y18*BSL!AC18+DSP!Y18*DSP!AC18+RSP!Y18*RSP!AC18+ISP!Y18*ISP!AC18)/(IF(BSP!Z18&gt;0,BSP!AC18,0)+IF(BSL!Z18&gt;0,BSL!AC18,0)+IF(DSP!Z18&gt;0,DSP!AC18,0)+IF(RSP!Z18&gt;0,RSP!AC18,0)+IF(ISP!Z18&gt;0,ISP!AC18,0)),)</f>
        <v>13.637236420713133</v>
      </c>
      <c r="Z18" s="168">
        <f>IFERROR((BSP!Z18*BSP!AC18+BSL!Z18*BSL!AC18+DSP!Z18*DSP!AC18+RSP!Z18*RSP!AC18+ISP!Z18*ISP!AC18)/(IF(BSP!Z18&gt;0,BSP!AC18,0)+IF(BSL!Z18&gt;0,BSL!AC18,0)+IF(DSP!Z18&gt;0,DSP!AC18,0)+IF(RSP!Z18&gt;0,RSP!AC18,0)+IF(ISP!Z18&gt;0,ISP!AC18,0)),)</f>
        <v>21.359563239567223</v>
      </c>
      <c r="AA18" s="168">
        <f t="shared" si="12"/>
        <v>5.9505552823504342</v>
      </c>
      <c r="AB18" s="169">
        <f t="shared" si="13"/>
        <v>0.57686569551528899</v>
      </c>
      <c r="AC18" s="170">
        <f>(BSP!AC18+BSL!AC18+DSP!AC18+RSP!AC18+ISP!AC18)</f>
        <v>211338.96999999997</v>
      </c>
      <c r="AD18" s="119"/>
      <c r="AE18" s="185">
        <f>BSP!AE18</f>
        <v>44621</v>
      </c>
      <c r="AF18" s="183">
        <f>IFERROR((BSP!AF18*BSP!AM18+BSL!AF18*BSL!AM18+DSP!AF18*DSP!AM18+RSP!AF18*RSP!AM18+ISP!AF18*ISP!AM18)/(BSP!AM18+BSL!AM18+DSP!AM18+RSP!AM18+ISP!AM18),)</f>
        <v>61.99045576043865</v>
      </c>
      <c r="AG18" s="184">
        <f>IFERROR((BSP!AG18*BSP!AM18+BSL!AG18*BSL!AM18+DSP!AG18*DSP!AM18+RSP!AG18*RSP!AM18+ISP!AG18*ISP!AM18)/(BSP!AM18+BSL!AM18+DSP!AM18+RSP!AM18+ISP!AM18),)</f>
        <v>4.2848089232308801</v>
      </c>
      <c r="AH18" s="184">
        <f>IFERROR((BSP!AH18*BSP!AM18+BSL!AH18*BSL!AM18+DSP!AH18*DSP!AM18+RSP!AH18*RSP!AM18+ISP!AH18*ISP!AM18)/(BSP!AM18+BSL!AM18+DSP!AM18+RSP!AM18+ISP!AM18),)</f>
        <v>2.2950387363829887</v>
      </c>
      <c r="AI18" s="168">
        <f>IFERROR((BSP!AI18*BSP!AM18+BSL!AI18*BSL!AM18+DSP!AI18*DSP!AM18+RSP!AI18*RSP!AM18+ISP!AI18*ISP!AM18)/(IF(BSP!AJ18&gt;0,BSP!AM18,0)+IF(BSL!AJ18&gt;0,BSL!AM18,0)+IF(DSP!AJ18&gt;0,DSP!AM18,0)+IF(RSP!AJ18&gt;0,RSP!AM18,0)+IF(ISP!AJ18&gt;0,ISP!AM18,0)),)</f>
        <v>6.7099347176081725</v>
      </c>
      <c r="AJ18" s="168">
        <f>IFERROR((BSP!AJ18*BSP!AM18+BSL!AJ18*BSL!AM18+DSP!AJ18*DSP!AM18+RSP!AJ18*RSP!AM18+ISP!AJ18*ISP!AM18)/(IF(BSP!AJ18&gt;0,BSP!AM18,0)+IF(BSL!AJ18&gt;0,BSL!AM18,0)+IF(DSP!AJ18&gt;0,DSP!AM18,0)+IF(RSP!AJ18&gt;0,RSP!AM18,0)+IF(ISP!AJ18&gt;0,ISP!AM18,0)),)</f>
        <v>43.46305054034142</v>
      </c>
      <c r="AK18" s="168">
        <f t="shared" si="14"/>
        <v>6.5798476596138684</v>
      </c>
      <c r="AL18" s="169">
        <f t="shared" si="15"/>
        <v>0.53562218934431682</v>
      </c>
      <c r="AM18" s="170">
        <f>(BSP!AM18+BSL!AM18+DSP!AM18+RSP!AM18+ISP!AM18)</f>
        <v>351227.93999999994</v>
      </c>
      <c r="AO18" s="172">
        <f t="shared" si="6"/>
        <v>44621</v>
      </c>
      <c r="AP18" s="183">
        <f>IFERROR((BSP!AP18*BSP!AW18+BSL!AP18*BSL!AW18+DSP!AP18*DSP!AW18+RSP!AP18*RSP!AW18+ISP!AP18*ISP!AW18)/(BSP!AW18+BSL!AW18+DSP!AW18+RSP!AW18+ISP!AW18),)</f>
        <v>60.809864732230757</v>
      </c>
      <c r="AQ18" s="184">
        <f>IFERROR((BSP!AQ18*BSP!AW18+BSL!AQ18*BSL!AW18+DSP!AQ18*DSP!AW18+RSP!AQ18*RSP!AW18+ISP!AQ18*ISP!AW18)/(BSP!AW18+BSL!AW18+DSP!AW18+RSP!AW18+ISP!AW18),)</f>
        <v>5.7878568728050235</v>
      </c>
      <c r="AR18" s="184">
        <f>IFERROR((BSP!AR18*BSP!AW18+BSL!AR18*BSL!AW18+DSP!AR18*DSP!AW18+RSP!AR18*RSP!AW18+ISP!AR18*ISP!AW18)/(BSP!AW18+BSL!AW18+DSP!AW18+RSP!AW18+ISP!AW18),)</f>
        <v>2.6381096501440044</v>
      </c>
      <c r="AS18" s="168">
        <f>IFERROR((BSP!AS18*BSP!AW18+BSL!AS18*BSL!AW18+DSP!AS18*DSP!AW18+RSP!AS18*RSP!AW18+ISP!AS18*ISP!AW18)/(IF(BSP!AT18&gt;0,BSP!AW18,0)+IF(BSL!AT18&gt;0,BSL!AW18,0)+IF(DSP!AT18&gt;0,DSP!AW18,0)+IF(RSP!AT18&gt;0,RSP!AW18,0)+IF(ISP!AT18&gt;0,ISP!AW18,0)),)</f>
        <v>13.561671389459324</v>
      </c>
      <c r="AT18" s="168">
        <f>IFERROR((BSP!AT18*BSP!AW18+BSL!AT18*BSL!AW18+DSP!AT18*DSP!AW18+RSP!AT18*RSP!AW18+ISP!AT18*ISP!AW18)/(IF(BSP!AT18&gt;0,BSP!AW18,0)+IF(BSL!AT18&gt;0,BSL!AW18,0)+IF(DSP!AT18&gt;0,DSP!AW18,0)+IF(RSP!AT18&gt;0,RSP!AW18,0)+IF(ISP!AT18&gt;0,ISP!AW18,0)),)</f>
        <v>26.913905388924782</v>
      </c>
      <c r="AU18" s="168">
        <f t="shared" si="16"/>
        <v>8.4259665229490288</v>
      </c>
      <c r="AV18" s="169">
        <f t="shared" si="17"/>
        <v>0.45580077533352559</v>
      </c>
      <c r="AW18" s="170">
        <f>(BSP!AW18+BSL!AW18+DSP!AW18+RSP!AW18+ISP!AW18)</f>
        <v>133572.1</v>
      </c>
      <c r="AY18" s="172">
        <f t="shared" si="7"/>
        <v>44621</v>
      </c>
      <c r="AZ18" s="183">
        <f>IFERROR((BSP!AZ18*BSP!BG18+BSL!AZ18*BSL!BG18+DSP!AZ18*DSP!BG18+RSP!AZ18*RSP!BG18+ISP!AZ18*ISP!BG18)/(BSP!BG18+BSL!BG18+DSP!BG18+RSP!BG18+ISP!BG18),)</f>
        <v>60.310905161224476</v>
      </c>
      <c r="BA18" s="184">
        <f>IFERROR((BSP!BA18*BSP!BG18+BSL!BA18*BSL!BG18+DSP!BA18*DSP!BG18+RSP!BA18*RSP!BG18+ISP!BA18*ISP!BG18)/(BSP!BG18+BSL!BG18+DSP!BG18+RSP!BG18+ISP!BG18),)</f>
        <v>6.6582264119462753</v>
      </c>
      <c r="BB18" s="184">
        <f>IFERROR((BSP!BB18*BSP!BG18+BSL!BB18*BSL!BG18+DSP!BB18*DSP!BG18+RSP!BB18*RSP!BG18+ISP!BB18*ISP!BG18)/(BSP!BG18+BSL!BG18+DSP!BG18+RSP!BG18+ISP!BG18),)</f>
        <v>2.9125242383159033</v>
      </c>
      <c r="BC18" s="168">
        <f>IFERROR((BSP!BC18*BSP!BG18+BSL!BC18*BSL!BG18+DSP!BC18*DSP!BG18+RSP!BC18*RSP!BG18+ISP!BC18*ISP!BG18)/(IF(BSP!BD18&gt;0,BSP!BG18,0)+IF(BSL!BD18&gt;0,BSL!BG18,0)+IF(DSP!BD18&gt;0,DSP!BG18,0)+IF(RSP!BD18&gt;0,RSP!BG18,0)+IF(ISP!BD18&gt;0,ISP!BG18,0)),)</f>
        <v>5.3475369872296463</v>
      </c>
      <c r="BD18" s="168">
        <f>IFERROR((BSP!BD18*BSP!BG18+BSL!BD18*BSL!BG18+DSP!BD18*DSP!BG18+RSP!BD18*RSP!BG18+ISP!BD18*ISP!BG18)/(IF(BSP!BD18&gt;0,BSP!BG18,0)+IF(BSL!BD18&gt;0,BSL!BG18,0)+IF(DSP!BD18&gt;0,DSP!BG18,0)+IF(RSP!BD18&gt;0,RSP!BG18,0)+IF(ISP!BD18&gt;0,ISP!BG18,0)),)</f>
        <v>42.64326750627891</v>
      </c>
      <c r="BE18" s="168">
        <f t="shared" si="18"/>
        <v>9.5707506502621786</v>
      </c>
      <c r="BF18" s="169">
        <f t="shared" si="19"/>
        <v>0.43743244193231623</v>
      </c>
      <c r="BG18" s="170">
        <f>(BSP!BG18+BSL!BG18+DSP!BG18+RSP!BG18+ISP!BG18)</f>
        <v>214567.30000000002</v>
      </c>
      <c r="BK18" s="186">
        <f t="shared" si="5"/>
        <v>44621</v>
      </c>
      <c r="BL18" s="187">
        <f t="shared" si="5"/>
        <v>61.743439137349142</v>
      </c>
      <c r="BM18" s="188">
        <f t="shared" si="5"/>
        <v>4.3635019617031663</v>
      </c>
      <c r="BN18" s="188">
        <f t="shared" si="5"/>
        <v>2.698796466441665</v>
      </c>
      <c r="BO18" s="188">
        <f t="shared" si="5"/>
        <v>12.83397053706298</v>
      </c>
      <c r="BP18" s="188">
        <f t="shared" si="5"/>
        <v>28.164980382968331</v>
      </c>
      <c r="BQ18" s="188">
        <f t="shared" si="5"/>
        <v>7.0622984281448318</v>
      </c>
      <c r="BR18" s="189">
        <f t="shared" si="5"/>
        <v>0.61849324009201734</v>
      </c>
      <c r="BS18" s="190">
        <f t="shared" si="5"/>
        <v>100295.5</v>
      </c>
      <c r="BT18" s="117">
        <f t="shared" si="0"/>
        <v>0</v>
      </c>
      <c r="BU18" s="186">
        <f t="shared" si="0"/>
        <v>44621</v>
      </c>
      <c r="BV18" s="187">
        <f t="shared" si="0"/>
        <v>61.12767867485983</v>
      </c>
      <c r="BW18" s="188">
        <f t="shared" si="0"/>
        <v>4.757345817353225</v>
      </c>
      <c r="BX18" s="188">
        <f t="shared" si="0"/>
        <v>3.1691199754176234</v>
      </c>
      <c r="BY18" s="188">
        <f t="shared" si="0"/>
        <v>7.3429612964607287</v>
      </c>
      <c r="BZ18" s="188">
        <f t="shared" si="0"/>
        <v>42.861059840921428</v>
      </c>
      <c r="CA18" s="188">
        <f t="shared" si="0"/>
        <v>7.9264657927708484</v>
      </c>
      <c r="CB18" s="189">
        <f t="shared" si="20"/>
        <v>0.66615295525873297</v>
      </c>
      <c r="CC18" s="190">
        <f t="shared" si="20"/>
        <v>277271.8</v>
      </c>
      <c r="CD18" s="104">
        <f t="shared" si="1"/>
        <v>0</v>
      </c>
      <c r="CE18" s="186">
        <f t="shared" si="1"/>
        <v>44621</v>
      </c>
      <c r="CF18" s="187">
        <f t="shared" si="1"/>
        <v>61.825363913243258</v>
      </c>
      <c r="CG18" s="188">
        <f t="shared" si="1"/>
        <v>3.7736601787166846</v>
      </c>
      <c r="CH18" s="188">
        <f t="shared" si="1"/>
        <v>2.1768951036337501</v>
      </c>
      <c r="CI18" s="188">
        <f t="shared" si="1"/>
        <v>13.637236420713133</v>
      </c>
      <c r="CJ18" s="188">
        <f t="shared" si="1"/>
        <v>21.359563239567223</v>
      </c>
      <c r="CK18" s="188">
        <f t="shared" si="1"/>
        <v>5.9505552823504342</v>
      </c>
      <c r="CL18" s="189">
        <f t="shared" si="1"/>
        <v>0.57686569551528899</v>
      </c>
      <c r="CM18" s="190">
        <f t="shared" si="1"/>
        <v>211338.96999999997</v>
      </c>
      <c r="CN18" s="109">
        <f t="shared" si="1"/>
        <v>0</v>
      </c>
      <c r="CO18" s="186">
        <f t="shared" si="1"/>
        <v>44621</v>
      </c>
      <c r="CP18" s="187">
        <f t="shared" si="1"/>
        <v>61.99045576043865</v>
      </c>
      <c r="CQ18" s="188">
        <f t="shared" si="1"/>
        <v>4.2848089232308801</v>
      </c>
      <c r="CR18" s="188">
        <f t="shared" si="21"/>
        <v>2.2950387363829887</v>
      </c>
      <c r="CS18" s="188">
        <f t="shared" si="21"/>
        <v>6.7099347176081725</v>
      </c>
      <c r="CT18" s="188">
        <f t="shared" si="21"/>
        <v>43.46305054034142</v>
      </c>
      <c r="CU18" s="188">
        <f t="shared" si="21"/>
        <v>6.5798476596138684</v>
      </c>
      <c r="CV18" s="189">
        <f t="shared" si="21"/>
        <v>0.53562218934431682</v>
      </c>
      <c r="CW18" s="190">
        <f t="shared" si="21"/>
        <v>351227.93999999994</v>
      </c>
      <c r="CX18" s="111">
        <f t="shared" si="2"/>
        <v>0</v>
      </c>
      <c r="CY18" s="186">
        <f t="shared" si="3"/>
        <v>44621</v>
      </c>
      <c r="CZ18" s="187">
        <f t="shared" si="3"/>
        <v>61.03</v>
      </c>
      <c r="DA18" s="188">
        <f t="shared" si="3"/>
        <v>3.59</v>
      </c>
      <c r="DB18" s="188">
        <f t="shared" si="3"/>
        <v>4.1100000000000003</v>
      </c>
      <c r="DC18" s="188">
        <f t="shared" si="3"/>
        <v>16.579999999999998</v>
      </c>
      <c r="DD18" s="188">
        <f t="shared" si="3"/>
        <v>16.579999999999998</v>
      </c>
      <c r="DE18" s="188">
        <f t="shared" si="3"/>
        <v>7.7</v>
      </c>
      <c r="DF18" s="189">
        <f t="shared" si="3"/>
        <v>1.1448467966573816</v>
      </c>
      <c r="DG18" s="190">
        <f t="shared" si="3"/>
        <v>90075.3</v>
      </c>
      <c r="DH18" s="111">
        <f t="shared" si="3"/>
        <v>0</v>
      </c>
      <c r="DI18" s="186">
        <f t="shared" si="3"/>
        <v>44621</v>
      </c>
      <c r="DJ18" s="187">
        <f t="shared" si="3"/>
        <v>60.29</v>
      </c>
      <c r="DK18" s="188">
        <f t="shared" ref="DK18:DN19" si="23">AG39</f>
        <v>3.9</v>
      </c>
      <c r="DL18" s="188">
        <f t="shared" si="23"/>
        <v>4.71</v>
      </c>
      <c r="DM18" s="188">
        <f t="shared" si="23"/>
        <v>4.32</v>
      </c>
      <c r="DN18" s="188">
        <f t="shared" si="23"/>
        <v>39.85</v>
      </c>
      <c r="DO18" s="188">
        <f t="shared" si="22"/>
        <v>8.61</v>
      </c>
      <c r="DP18" s="189">
        <f t="shared" si="22"/>
        <v>1.2076923076923076</v>
      </c>
      <c r="DQ18" s="190">
        <f t="shared" si="22"/>
        <v>125678.39999999999</v>
      </c>
    </row>
    <row r="19" spans="1:121" ht="29" thickBot="1" x14ac:dyDescent="0.4">
      <c r="A19" s="191" t="str">
        <f>BSP!A19</f>
        <v>CUMML</v>
      </c>
      <c r="B19" s="192">
        <f>+SUMPRODUCT(B7:B18,I7:I18)/I19</f>
        <v>61.063472510749556</v>
      </c>
      <c r="C19" s="192">
        <f>+SUMPRODUCT(C7:C18,I7:I18)/I19</f>
        <v>5.0830936956049335</v>
      </c>
      <c r="D19" s="192">
        <f>+SUMPRODUCT(D7:D18,I7:I18)/I19</f>
        <v>2.5909057926751591</v>
      </c>
      <c r="E19" s="192">
        <f>+SUMPRODUCT(E7:E18,I7:I18)/SUMIF(E7:E18,"&gt;0",I7:I18)</f>
        <v>12.761981253147995</v>
      </c>
      <c r="F19" s="192">
        <f>+SUMPRODUCT(F7:F18,I7:I18)/SUMIF(F7:F18,"&gt;0",I7:I18)</f>
        <v>26.485548963951267</v>
      </c>
      <c r="G19" s="193">
        <f t="shared" si="8"/>
        <v>7.6739994882800922</v>
      </c>
      <c r="H19" s="194">
        <f t="shared" si="9"/>
        <v>0.50971041413526774</v>
      </c>
      <c r="I19" s="195">
        <f>SUM(I7:I18)</f>
        <v>1032205.2999999999</v>
      </c>
      <c r="J19" s="119"/>
      <c r="K19" s="191" t="str">
        <f>BSP!K19</f>
        <v>CUMML</v>
      </c>
      <c r="L19" s="192">
        <f>+SUMPRODUCT(L7:L18,S7:S18)/S19</f>
        <v>60.780442012563554</v>
      </c>
      <c r="M19" s="192">
        <f>+SUMPRODUCT(M7:M18,S7:S18)/S19</f>
        <v>5.8327329594211736</v>
      </c>
      <c r="N19" s="192">
        <f>+SUMPRODUCT(N7:N18,S7:S18)/S19</f>
        <v>2.6694177959598022</v>
      </c>
      <c r="O19" s="192">
        <f>+SUMPRODUCT(O7:O18,S7:S18)/SUMIF(O7:O18,"&gt;0",S7:S18)</f>
        <v>6.6037702426556555</v>
      </c>
      <c r="P19" s="192">
        <f>+SUMPRODUCT(P7:P18,S7:S18)/SUMIF(P7:P18,"&gt;0",S7:S18)</f>
        <v>44.051840132515942</v>
      </c>
      <c r="Q19" s="193">
        <f t="shared" si="10"/>
        <v>8.5021507553809759</v>
      </c>
      <c r="R19" s="194">
        <f t="shared" si="11"/>
        <v>0.45766158240591026</v>
      </c>
      <c r="S19" s="195">
        <f>SUM(S7:S18)</f>
        <v>3127044.5999999996</v>
      </c>
      <c r="U19" s="191" t="str">
        <f>BSP!U19</f>
        <v>CUMML</v>
      </c>
      <c r="V19" s="192">
        <f>+SUMPRODUCT(V7:V18,AC7:AC18)/AC19</f>
        <v>61.826221423064418</v>
      </c>
      <c r="W19" s="192">
        <f>+SUMPRODUCT(W7:W18,AC7:AC18)/AC19</f>
        <v>3.7284191177042394</v>
      </c>
      <c r="X19" s="192">
        <f>+SUMPRODUCT(X7:X18,AC7:AC18)/AC19</f>
        <v>2.2214180884135732</v>
      </c>
      <c r="Y19" s="192">
        <f>+SUMPRODUCT(Y7:Y18,AC7:AC18)/SUMIF(Y7:Y18,"&gt;0",AC7:AC18)</f>
        <v>21.897152335686258</v>
      </c>
      <c r="Z19" s="192">
        <f>+SUMPRODUCT(Z7:Z18,AC7:AC18)/SUMIF(Z7:Z18,"&gt;0",AC7:AC18)</f>
        <v>18.599526919875746</v>
      </c>
      <c r="AA19" s="193">
        <f t="shared" si="12"/>
        <v>5.9498372061178131</v>
      </c>
      <c r="AB19" s="194">
        <f t="shared" si="13"/>
        <v>0.59580696758721785</v>
      </c>
      <c r="AC19" s="195">
        <f>SUM(AC7:AC18)</f>
        <v>2501130.2299999995</v>
      </c>
      <c r="AD19" s="171"/>
      <c r="AE19" s="196" t="str">
        <f>BSP!AE19</f>
        <v>CUMML</v>
      </c>
      <c r="AF19" s="192">
        <f>+SUMPRODUCT(AF7:AF18,AM7:AM18)/AM19</f>
        <v>61.701813534820992</v>
      </c>
      <c r="AG19" s="192">
        <f>+SUMPRODUCT(AG7:AG18,AM7:AM18)/AM19</f>
        <v>4.2636198610140195</v>
      </c>
      <c r="AH19" s="192">
        <f>+SUMPRODUCT(AH7:AH18,AM7:AM18)/AM19</f>
        <v>2.5466413697848598</v>
      </c>
      <c r="AI19" s="192">
        <f>+SUMPRODUCT(AI7:AI18,AM7:AM18)/SUMIF(AI7:AI18,"&gt;0",AM7:AM18)</f>
        <v>8.4333452277489158</v>
      </c>
      <c r="AJ19" s="192">
        <f>+SUMPRODUCT(AJ7:AJ18,AM7:AM18)/SUMIF(AJ7:AJ18,"&gt;0",AM7:AM18)</f>
        <v>39.299337036958399</v>
      </c>
      <c r="AK19" s="193">
        <f t="shared" si="14"/>
        <v>6.8102612307988792</v>
      </c>
      <c r="AL19" s="194">
        <f t="shared" si="15"/>
        <v>0.59729559688728684</v>
      </c>
      <c r="AM19" s="195">
        <f>SUM(AM7:AM18)</f>
        <v>3399620.58</v>
      </c>
      <c r="AO19" s="197" t="str">
        <f t="shared" ref="AO19" si="24">A40</f>
        <v>CUMML</v>
      </c>
      <c r="AP19" s="192">
        <f>+SUMPRODUCT(AP7:AP18,AW7:AW18)/AW19</f>
        <v>60.620288894412013</v>
      </c>
      <c r="AQ19" s="192">
        <f>+SUMPRODUCT(AQ7:AQ18,AW7:AW18)/AW19</f>
        <v>5.7148051965600475</v>
      </c>
      <c r="AR19" s="192">
        <f>+SUMPRODUCT(AR7:AR18,AW7:AW18)/AW19</f>
        <v>2.628338519321769</v>
      </c>
      <c r="AS19" s="192">
        <f>+SUMPRODUCT(AS7:AS18,AW7:AW18)/SUMIF(AS7:AS18,"&gt;0",AW7:AW18)</f>
        <v>14.285354085481673</v>
      </c>
      <c r="AT19" s="192">
        <f>+SUMPRODUCT(AT7:AT18,AW7:AW18)/SUMIF(AT7:AT18,"&gt;0",AW7:AW18)</f>
        <v>27.248363955699308</v>
      </c>
      <c r="AU19" s="193">
        <f t="shared" si="16"/>
        <v>8.3431437158818156</v>
      </c>
      <c r="AV19" s="194">
        <f t="shared" si="17"/>
        <v>0.45991743006460889</v>
      </c>
      <c r="AW19" s="195">
        <f>SUM(AW7:AW18)</f>
        <v>1147097.3</v>
      </c>
      <c r="AY19" s="197" t="str">
        <f t="shared" si="7"/>
        <v>CUMML</v>
      </c>
      <c r="AZ19" s="192">
        <f>+SUMPRODUCT(AZ7:AZ18,BG7:BG18)/BG19</f>
        <v>60.105785743500661</v>
      </c>
      <c r="BA19" s="192">
        <f>+SUMPRODUCT(BA7:BA18,BG7:BG18)/BG19</f>
        <v>6.7724666797236388</v>
      </c>
      <c r="BB19" s="192">
        <f>+SUMPRODUCT(BB7:BB18,BG7:BG18)/BG19</f>
        <v>2.640206324230117</v>
      </c>
      <c r="BC19" s="192">
        <f>+SUMPRODUCT(BC7:BC18,BG7:BG18)/SUMIF(BC7:BC18,"&gt;0",BG7:BG18)</f>
        <v>6.1994465624257602</v>
      </c>
      <c r="BD19" s="192">
        <f>+SUMPRODUCT(BD7:BD18,BG7:BG18)/SUMIF(BD7:BD18,"&gt;0",BG7:BG18)</f>
        <v>41.949237392879027</v>
      </c>
      <c r="BE19" s="193">
        <f t="shared" si="18"/>
        <v>9.4126730039537563</v>
      </c>
      <c r="BF19" s="194">
        <f t="shared" si="19"/>
        <v>0.38984412166024196</v>
      </c>
      <c r="BG19" s="195">
        <f>SUM(BG7:BG18)</f>
        <v>2520237.1999999997</v>
      </c>
      <c r="BI19" s="198"/>
      <c r="BJ19" s="199"/>
      <c r="BK19" s="200" t="str">
        <f t="shared" si="5"/>
        <v>CUMML</v>
      </c>
      <c r="BL19" s="201">
        <f t="shared" si="5"/>
        <v>61.063472510749556</v>
      </c>
      <c r="BM19" s="202">
        <f t="shared" si="5"/>
        <v>5.0830936956049335</v>
      </c>
      <c r="BN19" s="202">
        <f t="shared" si="5"/>
        <v>2.5909057926751591</v>
      </c>
      <c r="BO19" s="202">
        <f t="shared" si="5"/>
        <v>12.761981253147995</v>
      </c>
      <c r="BP19" s="202">
        <f t="shared" si="5"/>
        <v>26.485548963951267</v>
      </c>
      <c r="BQ19" s="202">
        <f t="shared" si="5"/>
        <v>7.6739994882800922</v>
      </c>
      <c r="BR19" s="203">
        <f t="shared" si="5"/>
        <v>0.50971041413526774</v>
      </c>
      <c r="BS19" s="204">
        <f t="shared" si="5"/>
        <v>1032205.2999999999</v>
      </c>
      <c r="BT19" s="117">
        <f t="shared" si="0"/>
        <v>0</v>
      </c>
      <c r="BU19" s="200" t="str">
        <f t="shared" si="0"/>
        <v>CUMML</v>
      </c>
      <c r="BV19" s="201">
        <f t="shared" si="0"/>
        <v>60.780442012563554</v>
      </c>
      <c r="BW19" s="202">
        <f t="shared" si="0"/>
        <v>5.8327329594211736</v>
      </c>
      <c r="BX19" s="202">
        <f t="shared" si="0"/>
        <v>2.6694177959598022</v>
      </c>
      <c r="BY19" s="202">
        <f t="shared" si="0"/>
        <v>6.6037702426556555</v>
      </c>
      <c r="BZ19" s="202">
        <f t="shared" si="0"/>
        <v>44.051840132515942</v>
      </c>
      <c r="CA19" s="202">
        <f t="shared" si="0"/>
        <v>8.5021507553809759</v>
      </c>
      <c r="CB19" s="203">
        <f t="shared" si="20"/>
        <v>0.45766158240591026</v>
      </c>
      <c r="CC19" s="204">
        <f t="shared" si="20"/>
        <v>3127044.5999999996</v>
      </c>
      <c r="CD19" s="104">
        <f t="shared" si="1"/>
        <v>0</v>
      </c>
      <c r="CE19" s="200" t="str">
        <f t="shared" si="1"/>
        <v>CUMML</v>
      </c>
      <c r="CF19" s="201">
        <f t="shared" si="1"/>
        <v>61.826221423064418</v>
      </c>
      <c r="CG19" s="202">
        <f t="shared" si="1"/>
        <v>3.7284191177042394</v>
      </c>
      <c r="CH19" s="202">
        <f t="shared" si="1"/>
        <v>2.2214180884135732</v>
      </c>
      <c r="CI19" s="202">
        <f t="shared" si="1"/>
        <v>21.897152335686258</v>
      </c>
      <c r="CJ19" s="202">
        <f t="shared" si="1"/>
        <v>18.599526919875746</v>
      </c>
      <c r="CK19" s="202">
        <f t="shared" si="1"/>
        <v>5.9498372061178131</v>
      </c>
      <c r="CL19" s="203">
        <f t="shared" si="1"/>
        <v>0.59580696758721785</v>
      </c>
      <c r="CM19" s="204">
        <f t="shared" si="1"/>
        <v>2501130.2299999995</v>
      </c>
      <c r="CN19" s="111">
        <f t="shared" si="1"/>
        <v>0</v>
      </c>
      <c r="CO19" s="200" t="str">
        <f t="shared" si="1"/>
        <v>CUMML</v>
      </c>
      <c r="CP19" s="201">
        <f t="shared" si="1"/>
        <v>61.701813534820992</v>
      </c>
      <c r="CQ19" s="202">
        <f t="shared" si="1"/>
        <v>4.2636198610140195</v>
      </c>
      <c r="CR19" s="202">
        <f t="shared" si="21"/>
        <v>2.5466413697848598</v>
      </c>
      <c r="CS19" s="202">
        <f t="shared" si="21"/>
        <v>8.4333452277489158</v>
      </c>
      <c r="CT19" s="202">
        <f t="shared" si="21"/>
        <v>39.299337036958399</v>
      </c>
      <c r="CU19" s="202">
        <f t="shared" si="21"/>
        <v>6.8102612307988792</v>
      </c>
      <c r="CV19" s="203">
        <f t="shared" si="21"/>
        <v>0.59729559688728684</v>
      </c>
      <c r="CW19" s="204">
        <f t="shared" si="21"/>
        <v>3399620.58</v>
      </c>
      <c r="CX19" s="111">
        <f t="shared" si="2"/>
        <v>0</v>
      </c>
      <c r="CY19" s="200" t="str">
        <f t="shared" ref="CY19:DJ19" si="25">U40</f>
        <v>CUMML</v>
      </c>
      <c r="CZ19" s="201">
        <f t="shared" si="25"/>
        <v>61.331991960194287</v>
      </c>
      <c r="DA19" s="202">
        <f t="shared" si="25"/>
        <v>3.887329234282308</v>
      </c>
      <c r="DB19" s="202">
        <f t="shared" si="25"/>
        <v>3.4703439620305163</v>
      </c>
      <c r="DC19" s="202">
        <f t="shared" si="25"/>
        <v>15.799288545183696</v>
      </c>
      <c r="DD19" s="202">
        <f t="shared" si="25"/>
        <v>17.292911418781156</v>
      </c>
      <c r="DE19" s="202">
        <f t="shared" si="25"/>
        <v>7.3576731963128239</v>
      </c>
      <c r="DF19" s="203">
        <f t="shared" si="25"/>
        <v>0.89273219552015204</v>
      </c>
      <c r="DG19" s="204">
        <f t="shared" si="25"/>
        <v>706143.93</v>
      </c>
      <c r="DH19" s="111">
        <f t="shared" si="25"/>
        <v>0</v>
      </c>
      <c r="DI19" s="200" t="str">
        <f t="shared" si="25"/>
        <v>CUMML</v>
      </c>
      <c r="DJ19" s="201">
        <f t="shared" si="25"/>
        <v>60.369746981577485</v>
      </c>
      <c r="DK19" s="202">
        <f t="shared" si="23"/>
        <v>4.6679464364232839</v>
      </c>
      <c r="DL19" s="202">
        <f t="shared" si="23"/>
        <v>3.8729704884947003</v>
      </c>
      <c r="DM19" s="202">
        <f t="shared" si="23"/>
        <v>5.2391934599435803</v>
      </c>
      <c r="DN19" s="202">
        <f t="shared" si="23"/>
        <v>45.708742573628115</v>
      </c>
      <c r="DO19" s="202">
        <f t="shared" si="22"/>
        <v>8.5409169249179833</v>
      </c>
      <c r="DP19" s="203">
        <f t="shared" si="22"/>
        <v>0.82969471506238679</v>
      </c>
      <c r="DQ19" s="204">
        <f t="shared" si="22"/>
        <v>1221503.94</v>
      </c>
    </row>
    <row r="20" spans="1:121" s="152" customFormat="1" ht="28.5" hidden="1" x14ac:dyDescent="0.35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U20" s="104"/>
      <c r="V20" s="104"/>
      <c r="W20" s="104"/>
      <c r="X20" s="104"/>
      <c r="Y20" s="104"/>
      <c r="Z20" s="104"/>
      <c r="AA20" s="104"/>
      <c r="AB20" s="119"/>
      <c r="AC20" s="119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>
        <f>AZ14*1.4298+BE14</f>
        <v>95.245636149256043</v>
      </c>
      <c r="BA20" s="205"/>
      <c r="BB20" s="205"/>
      <c r="BC20" s="205"/>
      <c r="BD20" s="205"/>
      <c r="BE20" s="205"/>
      <c r="BF20" s="205"/>
      <c r="BG20" s="205"/>
      <c r="BI20" s="158"/>
      <c r="BK20" s="206">
        <f t="shared" si="5"/>
        <v>0</v>
      </c>
      <c r="BL20" s="207">
        <f t="shared" si="5"/>
        <v>0</v>
      </c>
      <c r="BM20" s="207">
        <f t="shared" si="5"/>
        <v>0</v>
      </c>
      <c r="BN20" s="207">
        <f t="shared" si="5"/>
        <v>0</v>
      </c>
      <c r="BO20" s="207">
        <f t="shared" si="5"/>
        <v>0</v>
      </c>
      <c r="BP20" s="207">
        <f t="shared" si="5"/>
        <v>0</v>
      </c>
      <c r="BQ20" s="207">
        <f t="shared" si="5"/>
        <v>0</v>
      </c>
      <c r="BR20" s="207">
        <f t="shared" si="5"/>
        <v>0</v>
      </c>
      <c r="BS20" s="207">
        <f t="shared" si="5"/>
        <v>0</v>
      </c>
      <c r="BT20" s="207">
        <f t="shared" si="0"/>
        <v>0</v>
      </c>
      <c r="BU20" s="206">
        <f t="shared" si="0"/>
        <v>0</v>
      </c>
      <c r="BV20" s="207">
        <f t="shared" si="0"/>
        <v>0</v>
      </c>
      <c r="BW20" s="207">
        <f t="shared" si="0"/>
        <v>0</v>
      </c>
      <c r="BX20" s="207">
        <f t="shared" si="0"/>
        <v>0</v>
      </c>
      <c r="BY20" s="207">
        <f t="shared" si="0"/>
        <v>0</v>
      </c>
      <c r="BZ20" s="207">
        <f t="shared" si="0"/>
        <v>0</v>
      </c>
      <c r="CA20" s="207">
        <f t="shared" si="0"/>
        <v>0</v>
      </c>
      <c r="CB20" s="207">
        <f t="shared" si="20"/>
        <v>0</v>
      </c>
      <c r="CC20" s="207">
        <f t="shared" si="20"/>
        <v>0</v>
      </c>
      <c r="CD20" s="152">
        <f t="shared" si="1"/>
        <v>0</v>
      </c>
      <c r="CE20" s="208">
        <f t="shared" si="1"/>
        <v>0</v>
      </c>
      <c r="CF20" s="111">
        <f t="shared" si="1"/>
        <v>0</v>
      </c>
      <c r="CG20" s="111">
        <f t="shared" si="1"/>
        <v>0</v>
      </c>
      <c r="CH20" s="111">
        <f t="shared" si="1"/>
        <v>0</v>
      </c>
      <c r="CI20" s="111">
        <f t="shared" si="1"/>
        <v>0</v>
      </c>
      <c r="CJ20" s="111">
        <f t="shared" si="1"/>
        <v>0</v>
      </c>
      <c r="CK20" s="111">
        <f t="shared" ref="CK20:CQ22" si="26">AA20</f>
        <v>0</v>
      </c>
      <c r="CL20" s="109">
        <f t="shared" si="26"/>
        <v>0</v>
      </c>
      <c r="CM20" s="109">
        <f t="shared" si="26"/>
        <v>0</v>
      </c>
      <c r="CN20" s="111">
        <f t="shared" si="26"/>
        <v>0</v>
      </c>
      <c r="CO20" s="208">
        <f t="shared" si="26"/>
        <v>0</v>
      </c>
      <c r="CP20" s="111">
        <f t="shared" si="26"/>
        <v>0</v>
      </c>
      <c r="CQ20" s="111">
        <f t="shared" si="26"/>
        <v>0</v>
      </c>
      <c r="CR20" s="111">
        <f t="shared" si="21"/>
        <v>0</v>
      </c>
      <c r="CS20" s="111">
        <f t="shared" si="21"/>
        <v>0</v>
      </c>
      <c r="CT20" s="111">
        <f t="shared" si="21"/>
        <v>0</v>
      </c>
      <c r="CU20" s="111">
        <f t="shared" si="21"/>
        <v>0</v>
      </c>
      <c r="CV20" s="111">
        <f t="shared" si="21"/>
        <v>0</v>
      </c>
      <c r="CW20" s="111">
        <f t="shared" si="21"/>
        <v>0</v>
      </c>
      <c r="CX20" s="209">
        <f t="shared" si="2"/>
        <v>0</v>
      </c>
      <c r="CY20" s="210">
        <f t="shared" si="2"/>
        <v>0</v>
      </c>
      <c r="CZ20" s="209">
        <f t="shared" si="2"/>
        <v>0</v>
      </c>
      <c r="DA20" s="209">
        <f t="shared" si="2"/>
        <v>0</v>
      </c>
      <c r="DB20" s="209">
        <f t="shared" si="2"/>
        <v>0</v>
      </c>
      <c r="DC20" s="209">
        <f t="shared" si="2"/>
        <v>0</v>
      </c>
      <c r="DD20" s="209">
        <f t="shared" si="2"/>
        <v>0</v>
      </c>
      <c r="DE20" s="209">
        <f t="shared" si="2"/>
        <v>0</v>
      </c>
      <c r="DF20" s="209">
        <f t="shared" si="2"/>
        <v>0</v>
      </c>
      <c r="DG20" s="209">
        <f t="shared" si="2"/>
        <v>0</v>
      </c>
      <c r="DH20" s="209">
        <f t="shared" ref="DH20:DQ22" si="27">AX20</f>
        <v>0</v>
      </c>
      <c r="DI20" s="210">
        <f t="shared" si="27"/>
        <v>0</v>
      </c>
      <c r="DJ20" s="209">
        <f t="shared" si="27"/>
        <v>95.245636149256043</v>
      </c>
      <c r="DK20" s="209">
        <f t="shared" si="27"/>
        <v>0</v>
      </c>
      <c r="DL20" s="209">
        <f t="shared" si="27"/>
        <v>0</v>
      </c>
      <c r="DM20" s="209">
        <f t="shared" si="27"/>
        <v>0</v>
      </c>
      <c r="DN20" s="209">
        <f t="shared" si="27"/>
        <v>0</v>
      </c>
      <c r="DO20" s="209">
        <f t="shared" si="27"/>
        <v>0</v>
      </c>
      <c r="DP20" s="209">
        <f t="shared" si="27"/>
        <v>0</v>
      </c>
      <c r="DQ20" s="209">
        <f t="shared" si="27"/>
        <v>0</v>
      </c>
    </row>
    <row r="21" spans="1:121" s="213" customFormat="1" ht="28.5" hidden="1" x14ac:dyDescent="0.35">
      <c r="A21" s="211"/>
      <c r="B21" s="212"/>
      <c r="C21" s="212"/>
      <c r="D21" s="212"/>
      <c r="E21" s="212"/>
      <c r="F21" s="212"/>
      <c r="G21" s="212"/>
      <c r="H21" s="212"/>
      <c r="I21" s="283"/>
      <c r="J21" s="212"/>
      <c r="K21" s="211"/>
      <c r="L21" s="212"/>
      <c r="M21" s="212"/>
      <c r="N21" s="212"/>
      <c r="O21" s="212"/>
      <c r="P21" s="212"/>
      <c r="Q21" s="212"/>
      <c r="R21" s="212"/>
      <c r="S21" s="283"/>
      <c r="V21" s="212"/>
      <c r="W21" s="212"/>
      <c r="X21" s="212"/>
      <c r="Y21" s="212"/>
      <c r="Z21" s="212"/>
      <c r="AA21" s="212"/>
      <c r="AB21" s="212"/>
      <c r="AC21" s="283"/>
      <c r="AF21" s="212"/>
      <c r="AG21" s="212"/>
      <c r="AH21" s="212"/>
      <c r="AI21" s="212"/>
      <c r="AJ21" s="212"/>
      <c r="AK21" s="212"/>
      <c r="AL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>
        <f>AZ19*1.4298+BE19</f>
        <v>95.351925460011003</v>
      </c>
      <c r="BA21" s="212"/>
      <c r="BB21" s="212"/>
      <c r="BC21" s="212"/>
      <c r="BD21" s="212"/>
      <c r="BE21" s="212"/>
      <c r="BF21" s="212"/>
      <c r="BG21" s="212"/>
      <c r="BK21" s="215"/>
      <c r="BL21" s="216"/>
      <c r="BM21" s="216"/>
      <c r="BN21" s="216"/>
      <c r="BO21" s="216"/>
      <c r="BP21" s="216"/>
      <c r="BQ21" s="216"/>
      <c r="BR21" s="216"/>
      <c r="BS21" s="216"/>
      <c r="BT21" s="216"/>
      <c r="BU21" s="215"/>
      <c r="BV21" s="216"/>
      <c r="BW21" s="216"/>
      <c r="BX21" s="216"/>
      <c r="BY21" s="216"/>
      <c r="BZ21" s="216"/>
      <c r="CA21" s="216"/>
      <c r="CB21" s="216"/>
      <c r="CC21" s="216"/>
      <c r="CE21" s="217"/>
      <c r="CF21" s="447"/>
      <c r="CG21" s="447"/>
      <c r="CH21" s="447"/>
      <c r="CI21" s="447"/>
      <c r="CJ21" s="447"/>
      <c r="CK21" s="447"/>
      <c r="CL21" s="447"/>
      <c r="CM21" s="447"/>
      <c r="CN21" s="447"/>
      <c r="CO21" s="217"/>
      <c r="CP21" s="447"/>
      <c r="CQ21" s="447"/>
      <c r="CR21" s="447"/>
      <c r="CS21" s="447"/>
      <c r="CT21" s="447"/>
      <c r="CU21" s="447"/>
      <c r="CV21" s="447"/>
      <c r="CW21" s="447"/>
      <c r="CX21" s="219"/>
      <c r="CY21" s="220"/>
      <c r="CZ21" s="219"/>
      <c r="DA21" s="219"/>
      <c r="DB21" s="219"/>
      <c r="DC21" s="219"/>
      <c r="DD21" s="219"/>
      <c r="DE21" s="219"/>
      <c r="DF21" s="219"/>
      <c r="DG21" s="219"/>
      <c r="DH21" s="219"/>
      <c r="DI21" s="220"/>
      <c r="DJ21" s="219"/>
      <c r="DK21" s="219"/>
      <c r="DL21" s="219"/>
      <c r="DM21" s="219"/>
      <c r="DN21" s="219"/>
      <c r="DO21" s="219"/>
      <c r="DP21" s="219"/>
      <c r="DQ21" s="219"/>
    </row>
    <row r="22" spans="1:121" s="213" customFormat="1" ht="28.5" hidden="1" x14ac:dyDescent="0.35">
      <c r="A22" s="221"/>
      <c r="B22" s="205"/>
      <c r="C22" s="205"/>
      <c r="D22" s="205"/>
      <c r="E22" s="205"/>
      <c r="F22" s="205"/>
      <c r="G22" s="205"/>
      <c r="H22" s="205"/>
      <c r="I22" s="222"/>
      <c r="J22" s="212"/>
      <c r="K22" s="221"/>
      <c r="L22" s="205"/>
      <c r="M22" s="205"/>
      <c r="N22" s="205"/>
      <c r="O22" s="205"/>
      <c r="P22" s="205"/>
      <c r="Q22" s="205"/>
      <c r="R22" s="205"/>
      <c r="S22" s="222"/>
      <c r="U22" s="223"/>
      <c r="V22" s="224"/>
      <c r="W22" s="224"/>
      <c r="X22" s="224"/>
      <c r="Y22" s="224"/>
      <c r="Z22" s="224"/>
      <c r="AA22" s="224"/>
      <c r="AB22" s="224"/>
      <c r="AC22" s="224"/>
      <c r="AE22" s="223"/>
      <c r="AF22" s="224"/>
      <c r="AG22" s="224"/>
      <c r="AH22" s="224"/>
      <c r="AI22" s="224"/>
      <c r="AJ22" s="224"/>
      <c r="AK22" s="224"/>
      <c r="AL22" s="224"/>
      <c r="AM22" s="224"/>
      <c r="AY22" s="223"/>
      <c r="AZ22" s="224"/>
      <c r="BA22" s="224"/>
      <c r="BB22" s="224"/>
      <c r="BC22" s="224"/>
      <c r="BD22" s="224"/>
      <c r="BE22" s="224"/>
      <c r="BF22" s="224"/>
      <c r="BI22" s="214"/>
      <c r="BK22" s="225">
        <f t="shared" si="5"/>
        <v>0</v>
      </c>
      <c r="BL22" s="207">
        <f t="shared" si="5"/>
        <v>0</v>
      </c>
      <c r="BM22" s="207">
        <f t="shared" si="5"/>
        <v>0</v>
      </c>
      <c r="BN22" s="207">
        <f t="shared" si="5"/>
        <v>0</v>
      </c>
      <c r="BO22" s="207">
        <f t="shared" si="5"/>
        <v>0</v>
      </c>
      <c r="BP22" s="207">
        <f t="shared" si="5"/>
        <v>0</v>
      </c>
      <c r="BQ22" s="207">
        <f t="shared" si="5"/>
        <v>0</v>
      </c>
      <c r="BR22" s="207">
        <f t="shared" si="5"/>
        <v>0</v>
      </c>
      <c r="BS22" s="226">
        <f t="shared" si="5"/>
        <v>0</v>
      </c>
      <c r="BT22" s="216">
        <f t="shared" si="0"/>
        <v>0</v>
      </c>
      <c r="BU22" s="225">
        <f t="shared" si="0"/>
        <v>0</v>
      </c>
      <c r="BV22" s="207">
        <f t="shared" si="0"/>
        <v>0</v>
      </c>
      <c r="BW22" s="207">
        <f t="shared" si="0"/>
        <v>0</v>
      </c>
      <c r="BX22" s="207">
        <f t="shared" si="0"/>
        <v>0</v>
      </c>
      <c r="BY22" s="207">
        <f t="shared" si="0"/>
        <v>0</v>
      </c>
      <c r="BZ22" s="207">
        <f t="shared" si="0"/>
        <v>0</v>
      </c>
      <c r="CA22" s="207">
        <f t="shared" si="0"/>
        <v>0</v>
      </c>
      <c r="CB22" s="207">
        <f t="shared" si="20"/>
        <v>0</v>
      </c>
      <c r="CC22" s="226">
        <f t="shared" si="20"/>
        <v>0</v>
      </c>
      <c r="CD22" s="213">
        <f t="shared" si="20"/>
        <v>0</v>
      </c>
      <c r="CE22" s="227">
        <f t="shared" si="20"/>
        <v>0</v>
      </c>
      <c r="CF22" s="218">
        <f t="shared" si="20"/>
        <v>0</v>
      </c>
      <c r="CG22" s="218">
        <f t="shared" si="20"/>
        <v>0</v>
      </c>
      <c r="CH22" s="218">
        <f t="shared" si="20"/>
        <v>0</v>
      </c>
      <c r="CI22" s="218">
        <f t="shared" si="20"/>
        <v>0</v>
      </c>
      <c r="CJ22" s="218">
        <f t="shared" si="20"/>
        <v>0</v>
      </c>
      <c r="CK22" s="218">
        <f t="shared" si="26"/>
        <v>0</v>
      </c>
      <c r="CL22" s="218">
        <f t="shared" si="26"/>
        <v>0</v>
      </c>
      <c r="CM22" s="218">
        <f t="shared" si="26"/>
        <v>0</v>
      </c>
      <c r="CN22" s="218">
        <f t="shared" si="26"/>
        <v>0</v>
      </c>
      <c r="CO22" s="227">
        <f t="shared" si="26"/>
        <v>0</v>
      </c>
      <c r="CP22" s="218">
        <f t="shared" si="26"/>
        <v>0</v>
      </c>
      <c r="CQ22" s="218">
        <f t="shared" si="26"/>
        <v>0</v>
      </c>
      <c r="CR22" s="218">
        <f t="shared" si="21"/>
        <v>0</v>
      </c>
      <c r="CS22" s="218">
        <f t="shared" si="21"/>
        <v>0</v>
      </c>
      <c r="CT22" s="218">
        <f t="shared" si="21"/>
        <v>0</v>
      </c>
      <c r="CU22" s="218">
        <f t="shared" si="21"/>
        <v>0</v>
      </c>
      <c r="CV22" s="218">
        <f t="shared" si="21"/>
        <v>0</v>
      </c>
      <c r="CW22" s="218">
        <f t="shared" si="21"/>
        <v>0</v>
      </c>
      <c r="CX22" s="218">
        <f t="shared" si="2"/>
        <v>0</v>
      </c>
      <c r="CY22" s="217">
        <f t="shared" si="2"/>
        <v>0</v>
      </c>
      <c r="CZ22" s="218">
        <f t="shared" si="2"/>
        <v>0</v>
      </c>
      <c r="DA22" s="218">
        <f t="shared" si="2"/>
        <v>0</v>
      </c>
      <c r="DB22" s="218">
        <f t="shared" si="2"/>
        <v>0</v>
      </c>
      <c r="DC22" s="218">
        <f t="shared" si="2"/>
        <v>0</v>
      </c>
      <c r="DD22" s="218">
        <f t="shared" si="2"/>
        <v>0</v>
      </c>
      <c r="DE22" s="218">
        <f t="shared" si="2"/>
        <v>0</v>
      </c>
      <c r="DF22" s="218">
        <f t="shared" si="2"/>
        <v>0</v>
      </c>
      <c r="DG22" s="218">
        <f t="shared" si="2"/>
        <v>0</v>
      </c>
      <c r="DH22" s="218">
        <f t="shared" si="27"/>
        <v>0</v>
      </c>
      <c r="DI22" s="227">
        <f t="shared" si="27"/>
        <v>0</v>
      </c>
      <c r="DJ22" s="218">
        <f t="shared" si="27"/>
        <v>0</v>
      </c>
      <c r="DK22" s="218">
        <f t="shared" si="27"/>
        <v>0</v>
      </c>
      <c r="DL22" s="218">
        <f t="shared" si="27"/>
        <v>0</v>
      </c>
      <c r="DM22" s="218">
        <f t="shared" si="27"/>
        <v>0</v>
      </c>
      <c r="DN22" s="218">
        <f t="shared" si="27"/>
        <v>0</v>
      </c>
      <c r="DO22" s="218">
        <f t="shared" si="27"/>
        <v>0</v>
      </c>
      <c r="DP22" s="218">
        <f t="shared" si="27"/>
        <v>0</v>
      </c>
      <c r="DQ22" s="218">
        <f t="shared" si="27"/>
        <v>0</v>
      </c>
    </row>
    <row r="23" spans="1:121" s="111" customFormat="1" ht="29" customHeight="1" x14ac:dyDescent="0.6">
      <c r="A23" s="586" t="s">
        <v>43</v>
      </c>
      <c r="B23" s="586"/>
      <c r="C23" s="586"/>
      <c r="D23" s="585" t="s">
        <v>30</v>
      </c>
      <c r="E23" s="585"/>
      <c r="F23" s="585"/>
      <c r="G23" s="110"/>
      <c r="H23" s="110"/>
      <c r="I23" s="110"/>
      <c r="J23" s="219"/>
      <c r="K23" s="586" t="s">
        <v>43</v>
      </c>
      <c r="L23" s="586"/>
      <c r="M23" s="586"/>
      <c r="N23" s="585" t="s">
        <v>31</v>
      </c>
      <c r="O23" s="585"/>
      <c r="P23" s="585"/>
      <c r="Q23" s="228"/>
      <c r="R23" s="228"/>
      <c r="S23" s="228"/>
      <c r="U23" s="586" t="s">
        <v>44</v>
      </c>
      <c r="V23" s="586"/>
      <c r="W23" s="586"/>
      <c r="X23" s="585" t="s">
        <v>30</v>
      </c>
      <c r="Y23" s="585"/>
      <c r="Z23" s="585"/>
      <c r="AA23" s="110"/>
      <c r="AB23" s="110"/>
      <c r="AC23" s="110"/>
      <c r="AE23" s="586" t="s">
        <v>44</v>
      </c>
      <c r="AF23" s="586"/>
      <c r="AG23" s="586"/>
      <c r="AH23" s="585" t="s">
        <v>31</v>
      </c>
      <c r="AI23" s="585"/>
      <c r="AJ23" s="585"/>
      <c r="AK23" s="110"/>
      <c r="AL23" s="110"/>
      <c r="AM23" s="110"/>
      <c r="AO23" s="586" t="s">
        <v>45</v>
      </c>
      <c r="AP23" s="586"/>
      <c r="AQ23" s="586"/>
      <c r="AR23" s="585" t="s">
        <v>30</v>
      </c>
      <c r="AS23" s="585"/>
      <c r="AT23" s="585"/>
      <c r="AU23" s="110"/>
      <c r="AV23" s="110"/>
      <c r="AW23" s="110"/>
      <c r="AY23" s="586" t="s">
        <v>45</v>
      </c>
      <c r="AZ23" s="586"/>
      <c r="BA23" s="586"/>
      <c r="BB23" s="585" t="s">
        <v>31</v>
      </c>
      <c r="BC23" s="585"/>
      <c r="BD23" s="585"/>
      <c r="BE23" s="110"/>
      <c r="BF23" s="110"/>
      <c r="BG23" s="110"/>
      <c r="BI23" s="112"/>
      <c r="BK23" s="113" t="str">
        <f t="shared" ref="BK23:BZ39" si="28">AO2</f>
        <v>मेघाहातुबुरू</v>
      </c>
      <c r="BL23" s="109">
        <f t="shared" si="28"/>
        <v>0</v>
      </c>
      <c r="BM23" s="109">
        <f t="shared" si="28"/>
        <v>0</v>
      </c>
      <c r="BN23" s="107" t="str">
        <f t="shared" si="28"/>
        <v>लम्प</v>
      </c>
      <c r="BO23" s="109">
        <f t="shared" si="28"/>
        <v>0</v>
      </c>
      <c r="BP23" s="109">
        <f t="shared" si="28"/>
        <v>0</v>
      </c>
      <c r="BQ23" s="110">
        <f t="shared" si="28"/>
        <v>0</v>
      </c>
      <c r="BR23" s="110">
        <f t="shared" si="28"/>
        <v>0</v>
      </c>
      <c r="BS23" s="110">
        <f t="shared" si="28"/>
        <v>0</v>
      </c>
      <c r="BT23" s="111">
        <f t="shared" si="28"/>
        <v>0</v>
      </c>
      <c r="BU23" s="113" t="str">
        <f t="shared" si="28"/>
        <v>मेघाहातुबुरू</v>
      </c>
      <c r="BV23" s="109">
        <f t="shared" si="28"/>
        <v>0</v>
      </c>
      <c r="BW23" s="109">
        <f t="shared" si="28"/>
        <v>0</v>
      </c>
      <c r="BX23" s="107" t="str">
        <f t="shared" si="28"/>
        <v>फाईन्स</v>
      </c>
      <c r="BY23" s="109">
        <f t="shared" si="28"/>
        <v>0</v>
      </c>
      <c r="BZ23" s="109">
        <f t="shared" si="28"/>
        <v>0</v>
      </c>
      <c r="CA23" s="110">
        <f t="shared" ref="CA23:CC25" si="29">BE2</f>
        <v>0</v>
      </c>
      <c r="CB23" s="110">
        <f t="shared" si="29"/>
        <v>0</v>
      </c>
      <c r="CC23" s="111">
        <f t="shared" si="29"/>
        <v>0</v>
      </c>
      <c r="CD23" s="111">
        <f t="shared" si="20"/>
        <v>0</v>
      </c>
      <c r="CE23" s="229" t="str">
        <f t="shared" ref="CE23:CT39" si="30">A23</f>
        <v>गुआ</v>
      </c>
      <c r="CF23" s="106">
        <f t="shared" si="30"/>
        <v>0</v>
      </c>
      <c r="CG23" s="106">
        <f t="shared" si="30"/>
        <v>0</v>
      </c>
      <c r="CH23" s="107" t="str">
        <f t="shared" si="30"/>
        <v>लम्प</v>
      </c>
      <c r="CI23" s="108">
        <f t="shared" si="30"/>
        <v>0</v>
      </c>
      <c r="CJ23" s="109">
        <f t="shared" si="30"/>
        <v>0</v>
      </c>
      <c r="CK23" s="110">
        <f t="shared" si="30"/>
        <v>0</v>
      </c>
      <c r="CL23" s="110">
        <f t="shared" si="30"/>
        <v>0</v>
      </c>
      <c r="CM23" s="110">
        <f t="shared" si="30"/>
        <v>0</v>
      </c>
      <c r="CN23" s="219">
        <f t="shared" si="30"/>
        <v>0</v>
      </c>
      <c r="CO23" s="229" t="str">
        <f t="shared" si="30"/>
        <v>गुआ</v>
      </c>
      <c r="CP23" s="106">
        <f t="shared" si="30"/>
        <v>0</v>
      </c>
      <c r="CQ23" s="106">
        <f t="shared" si="30"/>
        <v>0</v>
      </c>
      <c r="CR23" s="107" t="str">
        <f t="shared" si="30"/>
        <v>फाईन्स</v>
      </c>
      <c r="CS23" s="108">
        <f t="shared" si="30"/>
        <v>0</v>
      </c>
      <c r="CT23" s="109">
        <f t="shared" si="30"/>
        <v>0</v>
      </c>
      <c r="CU23" s="228">
        <f t="shared" ref="CU23:CW25" si="31">Q23</f>
        <v>0</v>
      </c>
      <c r="CV23" s="228">
        <f t="shared" si="31"/>
        <v>0</v>
      </c>
      <c r="CW23" s="228">
        <f t="shared" si="31"/>
        <v>0</v>
      </c>
      <c r="CX23" s="111">
        <f t="shared" si="2"/>
        <v>0</v>
      </c>
      <c r="CY23" s="114" t="str">
        <f t="shared" ref="CY23:DN39" si="32">A44</f>
        <v>तल्डीह</v>
      </c>
      <c r="CZ23" s="106">
        <f t="shared" si="32"/>
        <v>0</v>
      </c>
      <c r="DA23" s="106">
        <f t="shared" si="32"/>
        <v>0</v>
      </c>
      <c r="DB23" s="107" t="str">
        <f t="shared" si="32"/>
        <v>लम्प</v>
      </c>
      <c r="DC23" s="108">
        <f t="shared" si="32"/>
        <v>0</v>
      </c>
      <c r="DD23" s="109">
        <f t="shared" si="32"/>
        <v>0</v>
      </c>
      <c r="DE23" s="110">
        <f t="shared" si="32"/>
        <v>0</v>
      </c>
      <c r="DF23" s="110">
        <f t="shared" si="32"/>
        <v>0</v>
      </c>
      <c r="DG23" s="110">
        <f t="shared" si="32"/>
        <v>0</v>
      </c>
      <c r="DH23" s="111">
        <f t="shared" si="32"/>
        <v>0</v>
      </c>
      <c r="DI23" s="114" t="str">
        <f t="shared" si="32"/>
        <v>तल्डीह</v>
      </c>
      <c r="DJ23" s="106">
        <f t="shared" si="32"/>
        <v>0</v>
      </c>
      <c r="DK23" s="106">
        <f t="shared" si="32"/>
        <v>0</v>
      </c>
      <c r="DL23" s="107" t="str">
        <f t="shared" si="32"/>
        <v>फाईन्स</v>
      </c>
      <c r="DM23" s="108">
        <f t="shared" si="32"/>
        <v>0</v>
      </c>
      <c r="DN23" s="109">
        <f t="shared" si="32"/>
        <v>0</v>
      </c>
      <c r="DO23" s="110">
        <f t="shared" ref="DO23:DQ25" si="33">Q44</f>
        <v>0</v>
      </c>
      <c r="DP23" s="110">
        <f t="shared" si="33"/>
        <v>0</v>
      </c>
      <c r="DQ23" s="111">
        <f t="shared" si="33"/>
        <v>0</v>
      </c>
    </row>
    <row r="24" spans="1:121" ht="6.5" customHeight="1" thickBot="1" x14ac:dyDescent="0.4">
      <c r="A24" s="103"/>
      <c r="B24" s="230"/>
      <c r="C24" s="230"/>
      <c r="D24" s="230"/>
      <c r="E24" s="230"/>
      <c r="F24" s="230"/>
      <c r="G24" s="230"/>
      <c r="H24" s="230"/>
      <c r="I24" s="103"/>
      <c r="J24" s="212"/>
      <c r="K24" s="103"/>
      <c r="L24" s="103"/>
      <c r="M24" s="103"/>
      <c r="N24" s="103"/>
      <c r="O24" s="103"/>
      <c r="P24" s="103"/>
      <c r="Q24" s="103"/>
      <c r="R24" s="103"/>
      <c r="S24" s="103"/>
      <c r="U24" s="103"/>
      <c r="V24" s="103"/>
      <c r="W24" s="103"/>
      <c r="X24" s="103"/>
      <c r="Y24" s="103"/>
      <c r="Z24" s="103"/>
      <c r="AA24" s="103"/>
      <c r="AB24" s="103"/>
      <c r="AC24" s="103"/>
      <c r="AE24" s="103"/>
      <c r="AF24" s="103"/>
      <c r="AG24" s="103"/>
      <c r="AH24" s="103"/>
      <c r="AI24" s="103"/>
      <c r="AJ24" s="103"/>
      <c r="AK24" s="103"/>
      <c r="AL24" s="103"/>
      <c r="AM24" s="103"/>
      <c r="AO24" s="103"/>
      <c r="AP24" s="103"/>
      <c r="AQ24" s="103"/>
      <c r="AR24" s="103"/>
      <c r="AS24" s="103"/>
      <c r="AT24" s="103"/>
      <c r="AU24" s="103"/>
      <c r="AV24" s="103"/>
      <c r="AW24" s="103"/>
      <c r="AY24" s="103"/>
      <c r="AZ24" s="103"/>
      <c r="BA24" s="103"/>
      <c r="BB24" s="103"/>
      <c r="BC24" s="103"/>
      <c r="BD24" s="103"/>
      <c r="BE24" s="103"/>
      <c r="BF24" s="103"/>
      <c r="BG24" s="103"/>
      <c r="BK24" s="116">
        <f t="shared" si="28"/>
        <v>0</v>
      </c>
      <c r="BL24" s="117">
        <f t="shared" si="28"/>
        <v>0</v>
      </c>
      <c r="BM24" s="117">
        <f t="shared" si="28"/>
        <v>0</v>
      </c>
      <c r="BN24" s="117">
        <f t="shared" si="28"/>
        <v>0</v>
      </c>
      <c r="BO24" s="117">
        <f t="shared" si="28"/>
        <v>0</v>
      </c>
      <c r="BP24" s="117">
        <f t="shared" si="28"/>
        <v>0</v>
      </c>
      <c r="BQ24" s="117">
        <f t="shared" si="28"/>
        <v>0</v>
      </c>
      <c r="BR24" s="117">
        <f t="shared" si="28"/>
        <v>0</v>
      </c>
      <c r="BS24" s="117">
        <f t="shared" si="28"/>
        <v>0</v>
      </c>
      <c r="BT24" s="231">
        <f t="shared" si="28"/>
        <v>0</v>
      </c>
      <c r="BU24" s="116">
        <f t="shared" si="28"/>
        <v>0</v>
      </c>
      <c r="BV24" s="117">
        <f t="shared" si="28"/>
        <v>0</v>
      </c>
      <c r="BW24" s="117">
        <f t="shared" si="28"/>
        <v>0</v>
      </c>
      <c r="BX24" s="117">
        <f t="shared" si="28"/>
        <v>0</v>
      </c>
      <c r="BY24" s="117">
        <f t="shared" si="28"/>
        <v>0</v>
      </c>
      <c r="BZ24" s="117">
        <f t="shared" si="28"/>
        <v>0</v>
      </c>
      <c r="CA24" s="117">
        <f t="shared" si="29"/>
        <v>0</v>
      </c>
      <c r="CB24" s="117">
        <f t="shared" si="29"/>
        <v>0</v>
      </c>
      <c r="CC24" s="231">
        <f t="shared" si="29"/>
        <v>0</v>
      </c>
      <c r="CD24" s="104">
        <f t="shared" si="20"/>
        <v>0</v>
      </c>
      <c r="CE24" s="118">
        <f t="shared" si="30"/>
        <v>0</v>
      </c>
      <c r="CF24" s="232">
        <f t="shared" si="30"/>
        <v>0</v>
      </c>
      <c r="CG24" s="232">
        <f t="shared" si="30"/>
        <v>0</v>
      </c>
      <c r="CH24" s="232">
        <f t="shared" si="30"/>
        <v>0</v>
      </c>
      <c r="CI24" s="232">
        <f t="shared" si="30"/>
        <v>0</v>
      </c>
      <c r="CJ24" s="232">
        <f t="shared" si="30"/>
        <v>0</v>
      </c>
      <c r="CK24" s="232">
        <f t="shared" si="30"/>
        <v>0</v>
      </c>
      <c r="CL24" s="232">
        <f t="shared" si="30"/>
        <v>0</v>
      </c>
      <c r="CM24" s="109">
        <f t="shared" si="30"/>
        <v>0</v>
      </c>
      <c r="CN24" s="219">
        <f t="shared" si="30"/>
        <v>0</v>
      </c>
      <c r="CO24" s="118">
        <f t="shared" si="30"/>
        <v>0</v>
      </c>
      <c r="CP24" s="109">
        <f t="shared" si="30"/>
        <v>0</v>
      </c>
      <c r="CQ24" s="109">
        <f t="shared" si="30"/>
        <v>0</v>
      </c>
      <c r="CR24" s="109">
        <f t="shared" si="30"/>
        <v>0</v>
      </c>
      <c r="CS24" s="109">
        <f t="shared" si="30"/>
        <v>0</v>
      </c>
      <c r="CT24" s="109">
        <f t="shared" si="30"/>
        <v>0</v>
      </c>
      <c r="CU24" s="109">
        <f t="shared" si="31"/>
        <v>0</v>
      </c>
      <c r="CV24" s="109">
        <f t="shared" si="31"/>
        <v>0</v>
      </c>
      <c r="CW24" s="109">
        <f t="shared" si="31"/>
        <v>0</v>
      </c>
      <c r="CX24" s="111">
        <f t="shared" si="2"/>
        <v>0</v>
      </c>
      <c r="CY24" s="118">
        <f t="shared" si="32"/>
        <v>0</v>
      </c>
      <c r="CZ24" s="109">
        <f t="shared" si="32"/>
        <v>0</v>
      </c>
      <c r="DA24" s="109">
        <f t="shared" si="32"/>
        <v>0</v>
      </c>
      <c r="DB24" s="109">
        <f t="shared" si="32"/>
        <v>0</v>
      </c>
      <c r="DC24" s="109">
        <f t="shared" si="32"/>
        <v>0</v>
      </c>
      <c r="DD24" s="109">
        <f t="shared" si="32"/>
        <v>0</v>
      </c>
      <c r="DE24" s="109">
        <f t="shared" si="32"/>
        <v>0</v>
      </c>
      <c r="DF24" s="109">
        <f t="shared" si="32"/>
        <v>0</v>
      </c>
      <c r="DG24" s="109">
        <f t="shared" si="32"/>
        <v>0</v>
      </c>
      <c r="DH24" s="111">
        <f t="shared" si="32"/>
        <v>0</v>
      </c>
      <c r="DI24" s="118">
        <f t="shared" si="32"/>
        <v>0</v>
      </c>
      <c r="DJ24" s="109">
        <f t="shared" si="32"/>
        <v>0</v>
      </c>
      <c r="DK24" s="109">
        <f t="shared" si="32"/>
        <v>0</v>
      </c>
      <c r="DL24" s="109">
        <f t="shared" si="32"/>
        <v>0</v>
      </c>
      <c r="DM24" s="109">
        <f t="shared" si="32"/>
        <v>0</v>
      </c>
      <c r="DN24" s="109">
        <f t="shared" si="32"/>
        <v>0</v>
      </c>
      <c r="DO24" s="109">
        <f t="shared" si="33"/>
        <v>0</v>
      </c>
      <c r="DP24" s="109">
        <f t="shared" si="33"/>
        <v>0</v>
      </c>
      <c r="DQ24" s="111">
        <f t="shared" si="33"/>
        <v>0</v>
      </c>
    </row>
    <row r="25" spans="1:121" ht="29" thickBot="1" x14ac:dyDescent="0.4">
      <c r="A25" s="119"/>
      <c r="B25" s="120" t="s">
        <v>34</v>
      </c>
      <c r="C25" s="121" t="s">
        <v>56</v>
      </c>
      <c r="D25" s="121" t="s">
        <v>57</v>
      </c>
      <c r="E25" s="121" t="s">
        <v>37</v>
      </c>
      <c r="F25" s="121" t="s">
        <v>38</v>
      </c>
      <c r="G25" s="124" t="s">
        <v>39</v>
      </c>
      <c r="H25" s="121" t="s">
        <v>40</v>
      </c>
      <c r="I25" s="123" t="s">
        <v>58</v>
      </c>
      <c r="J25" s="212"/>
      <c r="K25" s="119"/>
      <c r="L25" s="120" t="s">
        <v>34</v>
      </c>
      <c r="M25" s="121" t="s">
        <v>56</v>
      </c>
      <c r="N25" s="121" t="s">
        <v>57</v>
      </c>
      <c r="O25" s="121" t="s">
        <v>37</v>
      </c>
      <c r="P25" s="121" t="s">
        <v>38</v>
      </c>
      <c r="Q25" s="124" t="s">
        <v>39</v>
      </c>
      <c r="R25" s="121" t="s">
        <v>40</v>
      </c>
      <c r="S25" s="123" t="s">
        <v>58</v>
      </c>
      <c r="U25" s="126"/>
      <c r="V25" s="120" t="s">
        <v>34</v>
      </c>
      <c r="W25" s="121" t="s">
        <v>56</v>
      </c>
      <c r="X25" s="121" t="s">
        <v>57</v>
      </c>
      <c r="Y25" s="121" t="s">
        <v>37</v>
      </c>
      <c r="Z25" s="125" t="s">
        <v>38</v>
      </c>
      <c r="AA25" s="121" t="s">
        <v>39</v>
      </c>
      <c r="AB25" s="121" t="s">
        <v>40</v>
      </c>
      <c r="AC25" s="123" t="s">
        <v>58</v>
      </c>
      <c r="AE25" s="126"/>
      <c r="AF25" s="120" t="s">
        <v>34</v>
      </c>
      <c r="AG25" s="121" t="s">
        <v>56</v>
      </c>
      <c r="AH25" s="121" t="s">
        <v>57</v>
      </c>
      <c r="AI25" s="121" t="s">
        <v>37</v>
      </c>
      <c r="AJ25" s="125" t="s">
        <v>38</v>
      </c>
      <c r="AK25" s="121" t="s">
        <v>39</v>
      </c>
      <c r="AL25" s="121" t="s">
        <v>40</v>
      </c>
      <c r="AM25" s="123" t="s">
        <v>58</v>
      </c>
      <c r="AO25" s="126"/>
      <c r="AP25" s="120" t="s">
        <v>34</v>
      </c>
      <c r="AQ25" s="121" t="s">
        <v>56</v>
      </c>
      <c r="AR25" s="121" t="s">
        <v>57</v>
      </c>
      <c r="AS25" s="121" t="s">
        <v>37</v>
      </c>
      <c r="AT25" s="125" t="s">
        <v>38</v>
      </c>
      <c r="AU25" s="121" t="s">
        <v>39</v>
      </c>
      <c r="AV25" s="121" t="s">
        <v>40</v>
      </c>
      <c r="AW25" s="123" t="s">
        <v>58</v>
      </c>
      <c r="AY25" s="126"/>
      <c r="AZ25" s="120" t="s">
        <v>34</v>
      </c>
      <c r="BA25" s="121" t="s">
        <v>56</v>
      </c>
      <c r="BB25" s="121" t="s">
        <v>57</v>
      </c>
      <c r="BC25" s="121" t="s">
        <v>37</v>
      </c>
      <c r="BD25" s="125" t="s">
        <v>38</v>
      </c>
      <c r="BE25" s="121" t="s">
        <v>39</v>
      </c>
      <c r="BF25" s="121" t="s">
        <v>40</v>
      </c>
      <c r="BG25" s="123" t="s">
        <v>58</v>
      </c>
      <c r="BK25" s="127">
        <f t="shared" si="28"/>
        <v>0</v>
      </c>
      <c r="BL25" s="128" t="str">
        <f t="shared" si="28"/>
        <v>Fe</v>
      </c>
      <c r="BM25" s="129" t="str">
        <f t="shared" si="28"/>
        <v>SiO2</v>
      </c>
      <c r="BN25" s="129" t="str">
        <f t="shared" si="28"/>
        <v>Al2O3</v>
      </c>
      <c r="BO25" s="129" t="str">
        <f t="shared" si="28"/>
        <v>OS</v>
      </c>
      <c r="BP25" s="129" t="str">
        <f t="shared" si="28"/>
        <v>US</v>
      </c>
      <c r="BQ25" s="129" t="str">
        <f t="shared" si="28"/>
        <v>Al+Si</v>
      </c>
      <c r="BR25" s="130" t="str">
        <f t="shared" si="28"/>
        <v>Al/Si</v>
      </c>
      <c r="BS25" s="131" t="str">
        <f t="shared" si="28"/>
        <v>PLANT RCT</v>
      </c>
      <c r="BT25" s="231">
        <f t="shared" si="28"/>
        <v>0</v>
      </c>
      <c r="BU25" s="127">
        <f t="shared" si="28"/>
        <v>0</v>
      </c>
      <c r="BV25" s="128" t="str">
        <f t="shared" si="28"/>
        <v>Fe</v>
      </c>
      <c r="BW25" s="129" t="str">
        <f t="shared" si="28"/>
        <v>SiO2</v>
      </c>
      <c r="BX25" s="129" t="str">
        <f t="shared" si="28"/>
        <v>Al2O3</v>
      </c>
      <c r="BY25" s="129" t="str">
        <f t="shared" si="28"/>
        <v>OS</v>
      </c>
      <c r="BZ25" s="129" t="str">
        <f t="shared" si="28"/>
        <v>US</v>
      </c>
      <c r="CA25" s="129" t="str">
        <f t="shared" si="29"/>
        <v>Al+Si</v>
      </c>
      <c r="CB25" s="130" t="str">
        <f t="shared" si="29"/>
        <v>Al/Si</v>
      </c>
      <c r="CC25" s="131" t="str">
        <f t="shared" si="29"/>
        <v>PLANT RCT</v>
      </c>
      <c r="CD25" s="104">
        <f t="shared" si="20"/>
        <v>0</v>
      </c>
      <c r="CE25" s="127">
        <f t="shared" si="30"/>
        <v>0</v>
      </c>
      <c r="CF25" s="128" t="str">
        <f t="shared" si="30"/>
        <v>Fe</v>
      </c>
      <c r="CG25" s="129" t="str">
        <f t="shared" si="30"/>
        <v>SiO2</v>
      </c>
      <c r="CH25" s="129" t="str">
        <f t="shared" si="30"/>
        <v>Al2O3</v>
      </c>
      <c r="CI25" s="129" t="str">
        <f t="shared" si="30"/>
        <v>OS</v>
      </c>
      <c r="CJ25" s="129" t="str">
        <f t="shared" si="30"/>
        <v>US</v>
      </c>
      <c r="CK25" s="129" t="str">
        <f t="shared" si="30"/>
        <v>Al+Si</v>
      </c>
      <c r="CL25" s="130" t="str">
        <f t="shared" si="30"/>
        <v>Al/Si</v>
      </c>
      <c r="CM25" s="131" t="str">
        <f t="shared" si="30"/>
        <v>PLANT RCT</v>
      </c>
      <c r="CN25" s="219">
        <f t="shared" si="30"/>
        <v>0</v>
      </c>
      <c r="CO25" s="127">
        <f t="shared" si="30"/>
        <v>0</v>
      </c>
      <c r="CP25" s="128" t="str">
        <f t="shared" si="30"/>
        <v>Fe</v>
      </c>
      <c r="CQ25" s="129" t="str">
        <f t="shared" si="30"/>
        <v>SiO2</v>
      </c>
      <c r="CR25" s="129" t="str">
        <f t="shared" si="30"/>
        <v>Al2O3</v>
      </c>
      <c r="CS25" s="129" t="str">
        <f t="shared" si="30"/>
        <v>OS</v>
      </c>
      <c r="CT25" s="129" t="str">
        <f t="shared" si="30"/>
        <v>US</v>
      </c>
      <c r="CU25" s="129" t="str">
        <f t="shared" si="31"/>
        <v>Al+Si</v>
      </c>
      <c r="CV25" s="130" t="str">
        <f t="shared" si="31"/>
        <v>Al/Si</v>
      </c>
      <c r="CW25" s="131" t="str">
        <f t="shared" si="31"/>
        <v>PLANT RCT</v>
      </c>
      <c r="CX25" s="111">
        <f t="shared" si="2"/>
        <v>0</v>
      </c>
      <c r="CY25" s="127">
        <f t="shared" si="32"/>
        <v>0</v>
      </c>
      <c r="CZ25" s="128" t="str">
        <f t="shared" si="32"/>
        <v>Fe</v>
      </c>
      <c r="DA25" s="129" t="str">
        <f t="shared" si="32"/>
        <v>SiO2</v>
      </c>
      <c r="DB25" s="129" t="str">
        <f t="shared" si="32"/>
        <v>Al2O3</v>
      </c>
      <c r="DC25" s="129" t="str">
        <f t="shared" si="32"/>
        <v>OS</v>
      </c>
      <c r="DD25" s="129" t="str">
        <f t="shared" si="32"/>
        <v>US</v>
      </c>
      <c r="DE25" s="129" t="str">
        <f t="shared" si="32"/>
        <v>Al+Si</v>
      </c>
      <c r="DF25" s="130" t="str">
        <f t="shared" si="32"/>
        <v>Al/Si</v>
      </c>
      <c r="DG25" s="131" t="str">
        <f t="shared" si="32"/>
        <v>PLANT RCT</v>
      </c>
      <c r="DH25" s="111">
        <f t="shared" si="32"/>
        <v>0</v>
      </c>
      <c r="DI25" s="127">
        <f t="shared" si="32"/>
        <v>0</v>
      </c>
      <c r="DJ25" s="128" t="str">
        <f t="shared" si="32"/>
        <v>Fe</v>
      </c>
      <c r="DK25" s="129" t="str">
        <f t="shared" si="32"/>
        <v>SiO2</v>
      </c>
      <c r="DL25" s="129" t="str">
        <f t="shared" si="32"/>
        <v>Al2O3</v>
      </c>
      <c r="DM25" s="129" t="str">
        <f t="shared" si="32"/>
        <v>OS</v>
      </c>
      <c r="DN25" s="129" t="str">
        <f t="shared" si="32"/>
        <v>US</v>
      </c>
      <c r="DO25" s="129" t="str">
        <f t="shared" si="33"/>
        <v>Al+Si</v>
      </c>
      <c r="DP25" s="130" t="str">
        <f t="shared" si="33"/>
        <v>Al/Si</v>
      </c>
      <c r="DQ25" s="131" t="str">
        <f t="shared" si="33"/>
        <v>PLANT RCT</v>
      </c>
    </row>
    <row r="26" spans="1:121" ht="29" thickBot="1" x14ac:dyDescent="0.4">
      <c r="A26" s="132" t="str">
        <f>BSP!A26</f>
        <v>Act 20-21</v>
      </c>
      <c r="B26" s="133">
        <v>62.514654203261941</v>
      </c>
      <c r="C26" s="133">
        <v>3.7009039115357059</v>
      </c>
      <c r="D26" s="133">
        <v>1.8798717225510537</v>
      </c>
      <c r="E26" s="133">
        <v>14.722419148208166</v>
      </c>
      <c r="F26" s="133">
        <v>5.4206285096280906</v>
      </c>
      <c r="G26" s="134">
        <v>5.5807756340867591</v>
      </c>
      <c r="H26" s="134">
        <v>0.5079493462911856</v>
      </c>
      <c r="I26" s="135">
        <f>(BSP!I26+BSL!I26+DSP!I26+RSP!I26+ISP!I26)</f>
        <v>0</v>
      </c>
      <c r="J26" s="212"/>
      <c r="K26" s="132" t="str">
        <f>BSP!K26</f>
        <v>Act 20-21</v>
      </c>
      <c r="L26" s="133">
        <v>62.056053530184954</v>
      </c>
      <c r="M26" s="133">
        <v>4.1099057224673743</v>
      </c>
      <c r="N26" s="133">
        <v>2.7200019669514601</v>
      </c>
      <c r="O26" s="133">
        <v>7.6664441351893666</v>
      </c>
      <c r="P26" s="133">
        <v>42.741020426101016</v>
      </c>
      <c r="Q26" s="134">
        <v>6.8299076894188344</v>
      </c>
      <c r="R26" s="134">
        <v>0.66181614631260011</v>
      </c>
      <c r="S26" s="135">
        <f>(BSP!S26+BSL!S26+DSP!S26+RSP!S26+ISP!S26)</f>
        <v>0</v>
      </c>
      <c r="T26" s="138"/>
      <c r="U26" s="136" t="str">
        <f t="shared" ref="U26:U39" si="34">K26</f>
        <v>Act 20-21</v>
      </c>
      <c r="V26" s="133">
        <v>62.274702349245914</v>
      </c>
      <c r="W26" s="133">
        <v>3.1014643096295202</v>
      </c>
      <c r="X26" s="133">
        <v>2.9464390282709685</v>
      </c>
      <c r="Y26" s="133">
        <v>12.700669180676565</v>
      </c>
      <c r="Z26" s="133">
        <v>19.957845964613746</v>
      </c>
      <c r="AA26" s="134">
        <v>6.0479033379004887</v>
      </c>
      <c r="AB26" s="134">
        <v>0.95001545531985498</v>
      </c>
      <c r="AC26" s="135">
        <f>(BSP!AC26+BSL!AC26+DSP!AC26+RSP!AC26+ISP!AC26)</f>
        <v>0</v>
      </c>
      <c r="AE26" s="136" t="str">
        <f t="shared" ref="AE26:AE39" si="35">K26</f>
        <v>Act 20-21</v>
      </c>
      <c r="AF26" s="139">
        <v>61.367439146112893</v>
      </c>
      <c r="AG26" s="134">
        <v>3.6720624616562012</v>
      </c>
      <c r="AH26" s="134">
        <v>3.4558897877159453</v>
      </c>
      <c r="AI26" s="134">
        <v>7.3020657005628005</v>
      </c>
      <c r="AJ26" s="134">
        <v>40.153003729318719</v>
      </c>
      <c r="AK26" s="134">
        <v>7.1279522493721466</v>
      </c>
      <c r="AL26" s="134">
        <v>0.9411304474807991</v>
      </c>
      <c r="AM26" s="140">
        <f>(BSP!AM26+BSL!AM26+DSP!AM26+RSP!AM26+ISP!AM26)</f>
        <v>0</v>
      </c>
      <c r="AO26" s="136" t="str">
        <f t="shared" ref="AO26:AO39" si="36">K26</f>
        <v>Act 20-21</v>
      </c>
      <c r="AP26" s="133">
        <v>63.149360150474244</v>
      </c>
      <c r="AQ26" s="133">
        <v>2.384007893980935</v>
      </c>
      <c r="AR26" s="133">
        <v>2.3976598717228095</v>
      </c>
      <c r="AS26" s="133">
        <v>5.8068106675624378</v>
      </c>
      <c r="AT26" s="133">
        <v>13.136601742363441</v>
      </c>
      <c r="AU26" s="134">
        <v>4.7816677657037445</v>
      </c>
      <c r="AV26" s="134">
        <v>1.0057264817689331</v>
      </c>
      <c r="AW26" s="140">
        <f>(BSP!AW26+BSL!AW26+DSP!AW26+RSP!AW26+ISP!AW26)</f>
        <v>0</v>
      </c>
      <c r="AY26" s="136" t="str">
        <f>AO26</f>
        <v>Act 20-21</v>
      </c>
      <c r="AZ26" s="133">
        <v>62.823979256084762</v>
      </c>
      <c r="BA26" s="133">
        <v>2.7266738543450781</v>
      </c>
      <c r="BB26" s="133">
        <v>2.3961883459648998</v>
      </c>
      <c r="BC26" s="133">
        <v>5.3343734793341033</v>
      </c>
      <c r="BD26" s="133">
        <v>37.866362052954166</v>
      </c>
      <c r="BE26" s="134">
        <v>5.122862200309978</v>
      </c>
      <c r="BF26" s="134">
        <v>0.87879536532998448</v>
      </c>
      <c r="BG26" s="140">
        <f>(BSP!BG26+BSL!BG26+DSP!BG26+RSP!BG26+ISP!BG26)</f>
        <v>0</v>
      </c>
      <c r="BK26" s="141" t="str">
        <f t="shared" si="28"/>
        <v>Act 20-21</v>
      </c>
      <c r="BL26" s="142">
        <v>62.58</v>
      </c>
      <c r="BM26" s="143">
        <v>3.53</v>
      </c>
      <c r="BN26" s="143">
        <v>2.1800000000000002</v>
      </c>
      <c r="BO26" s="143">
        <v>17.48</v>
      </c>
      <c r="BP26" s="143">
        <v>21.23</v>
      </c>
      <c r="BQ26" s="143">
        <v>5.71</v>
      </c>
      <c r="BR26" s="143">
        <v>0.62</v>
      </c>
      <c r="BS26" s="144">
        <v>1095394</v>
      </c>
      <c r="BT26" s="231">
        <f t="shared" si="28"/>
        <v>0</v>
      </c>
      <c r="BU26" s="141" t="str">
        <f t="shared" si="28"/>
        <v>Act 20-21</v>
      </c>
      <c r="BV26" s="142">
        <v>61.53</v>
      </c>
      <c r="BW26" s="143">
        <v>4.72</v>
      </c>
      <c r="BX26" s="143">
        <v>2.44</v>
      </c>
      <c r="BY26" s="143">
        <v>7.39</v>
      </c>
      <c r="BZ26" s="143">
        <v>37.44</v>
      </c>
      <c r="CA26" s="143">
        <v>7.16</v>
      </c>
      <c r="CB26" s="143">
        <v>0.52</v>
      </c>
      <c r="CC26" s="144">
        <v>2863144</v>
      </c>
      <c r="CD26" s="138">
        <f t="shared" si="20"/>
        <v>0</v>
      </c>
      <c r="CE26" s="141" t="str">
        <f t="shared" si="30"/>
        <v>Act 20-21</v>
      </c>
      <c r="CF26" s="142">
        <v>62.838723386615975</v>
      </c>
      <c r="CG26" s="143">
        <v>3.568747484724752</v>
      </c>
      <c r="CH26" s="143">
        <v>1.8517234755614131</v>
      </c>
      <c r="CI26" s="143">
        <v>14.154278758036302</v>
      </c>
      <c r="CJ26" s="143">
        <v>8.2908308599621154</v>
      </c>
      <c r="CK26" s="143">
        <v>5.4204709602861652</v>
      </c>
      <c r="CL26" s="143">
        <v>0.51887209265640477</v>
      </c>
      <c r="CM26" s="144">
        <v>971413</v>
      </c>
      <c r="CN26" s="219">
        <f t="shared" si="30"/>
        <v>0</v>
      </c>
      <c r="CO26" s="141" t="str">
        <f t="shared" si="30"/>
        <v>Act 20-21</v>
      </c>
      <c r="CP26" s="142">
        <v>62.774276668023944</v>
      </c>
      <c r="CQ26" s="143">
        <v>3.8049421986911414</v>
      </c>
      <c r="CR26" s="143">
        <v>2.1587937506226278</v>
      </c>
      <c r="CS26" s="143">
        <v>5.9180269557073801</v>
      </c>
      <c r="CT26" s="143">
        <v>47.608846299172974</v>
      </c>
      <c r="CU26" s="143">
        <v>5.9637359493137687</v>
      </c>
      <c r="CV26" s="143">
        <v>0.56736571487609699</v>
      </c>
      <c r="CW26" s="144">
        <v>2417238</v>
      </c>
      <c r="CX26" s="111">
        <f t="shared" si="2"/>
        <v>0</v>
      </c>
      <c r="CY26" s="141" t="str">
        <f t="shared" si="32"/>
        <v>Act 20-21</v>
      </c>
      <c r="CZ26" s="142">
        <v>63.13</v>
      </c>
      <c r="DA26" s="143">
        <v>2.34</v>
      </c>
      <c r="DB26" s="143">
        <v>2.4700000000000002</v>
      </c>
      <c r="DC26" s="143">
        <v>8.99</v>
      </c>
      <c r="DD26" s="143">
        <v>12.81</v>
      </c>
      <c r="DE26" s="143">
        <v>4.8099999999999996</v>
      </c>
      <c r="DF26" s="143">
        <v>1.06</v>
      </c>
      <c r="DG26" s="144">
        <v>387144</v>
      </c>
      <c r="DH26" s="111">
        <f t="shared" si="32"/>
        <v>0</v>
      </c>
      <c r="DI26" s="141" t="str">
        <f t="shared" si="32"/>
        <v>Act 20-21</v>
      </c>
      <c r="DJ26" s="142">
        <v>62.35</v>
      </c>
      <c r="DK26" s="143">
        <v>3.09</v>
      </c>
      <c r="DL26" s="143">
        <v>2.66</v>
      </c>
      <c r="DM26" s="143">
        <v>4.92</v>
      </c>
      <c r="DN26" s="143">
        <v>34.79</v>
      </c>
      <c r="DO26" s="143">
        <v>5.75</v>
      </c>
      <c r="DP26" s="143">
        <v>0.86</v>
      </c>
      <c r="DQ26" s="144">
        <v>605598</v>
      </c>
    </row>
    <row r="27" spans="1:121" s="152" customFormat="1" ht="29.5" thickTop="1" thickBot="1" x14ac:dyDescent="0.4">
      <c r="A27" s="145" t="str">
        <f>BSP!A27</f>
        <v>APP 21-22</v>
      </c>
      <c r="B27" s="146">
        <f t="array" ref="B27:F27">BSP!B27:F27</f>
        <v>62.5</v>
      </c>
      <c r="C27" s="147">
        <v>3.6</v>
      </c>
      <c r="D27" s="147">
        <v>2.2000000000000002</v>
      </c>
      <c r="E27" s="147">
        <v>10</v>
      </c>
      <c r="F27" s="147">
        <v>10</v>
      </c>
      <c r="G27" s="147">
        <f t="shared" ref="G27:G40" si="37">IF(C27&lt;&gt;"",+D27+C27,"")</f>
        <v>5.8000000000000007</v>
      </c>
      <c r="H27" s="148">
        <f t="shared" ref="H27:H40" si="38">IF(C27&gt;0,+D27/C27,"")</f>
        <v>0.61111111111111116</v>
      </c>
      <c r="I27" s="149">
        <f>(BSP!I27+BSL!I27+DSP!I27+RSP!I27+ISP!I27)</f>
        <v>0</v>
      </c>
      <c r="J27" s="150"/>
      <c r="K27" s="145" t="str">
        <f>BSP!K27</f>
        <v>APP 21-22</v>
      </c>
      <c r="L27" s="146">
        <f t="array" ref="L27:P27">BSP!L27:P27</f>
        <v>62</v>
      </c>
      <c r="M27" s="147">
        <v>3.8</v>
      </c>
      <c r="N27" s="147">
        <v>2.7</v>
      </c>
      <c r="O27" s="147">
        <v>7</v>
      </c>
      <c r="P27" s="147">
        <v>40</v>
      </c>
      <c r="Q27" s="147">
        <f t="shared" ref="Q27:Q40" si="39">IF(M27&lt;&gt;"",+N27+M27,"")</f>
        <v>6.5</v>
      </c>
      <c r="R27" s="148">
        <f t="shared" ref="R27:R40" si="40">IF(M27&gt;0,+N27/M27,"")</f>
        <v>0.71052631578947378</v>
      </c>
      <c r="S27" s="149">
        <f>(BSP!S27+BSL!S27+DSP!S27+RSP!S27+ISP!S27)</f>
        <v>0</v>
      </c>
      <c r="U27" s="151" t="str">
        <f t="shared" si="34"/>
        <v>APP 21-22</v>
      </c>
      <c r="V27" s="146">
        <f t="array" ref="V27:Z27">BSP!V27:Z27</f>
        <v>62.3</v>
      </c>
      <c r="W27" s="147">
        <v>3</v>
      </c>
      <c r="X27" s="147">
        <v>2.95</v>
      </c>
      <c r="Y27" s="147">
        <v>10</v>
      </c>
      <c r="Z27" s="147">
        <v>10</v>
      </c>
      <c r="AA27" s="147">
        <f t="shared" ref="AA27:AA40" si="41">IF(W27&lt;&gt;"",+X27+W27,"")</f>
        <v>5.95</v>
      </c>
      <c r="AB27" s="148">
        <f t="shared" ref="AB27:AB40" si="42">IF(W27&gt;0,+X27/W27,"")</f>
        <v>0.98333333333333339</v>
      </c>
      <c r="AC27" s="149">
        <f>(BSP!AC27+BSL!AC27+DSP!AC27+RSP!AC27+ISP!AC27)</f>
        <v>0</v>
      </c>
      <c r="AD27" s="104"/>
      <c r="AE27" s="151" t="str">
        <f t="shared" si="35"/>
        <v>APP 21-22</v>
      </c>
      <c r="AF27" s="147">
        <f t="array" ref="AF27:AJ27">BSP!AF27:AJ27</f>
        <v>61.3</v>
      </c>
      <c r="AG27" s="147">
        <v>3.6</v>
      </c>
      <c r="AH27" s="147">
        <v>3.6</v>
      </c>
      <c r="AI27" s="147">
        <v>7</v>
      </c>
      <c r="AJ27" s="147">
        <v>40</v>
      </c>
      <c r="AK27" s="147">
        <f t="shared" ref="AK27:AK40" si="43">IF(AG27&lt;&gt;"",+AH27+AG27,"")</f>
        <v>7.2</v>
      </c>
      <c r="AL27" s="154">
        <f t="shared" ref="AL27:AL40" si="44">IF(AG27&gt;0,+AH27/AG27,"")</f>
        <v>1</v>
      </c>
      <c r="AM27" s="155">
        <f>(BSP!AM27+BSL!AM27+DSP!AM27+RSP!AM27+ISP!AM27)</f>
        <v>0</v>
      </c>
      <c r="AO27" s="151" t="str">
        <f t="shared" si="36"/>
        <v>APP 21-22</v>
      </c>
      <c r="AP27" s="146">
        <f t="array" ref="AP27:AT27">BSP!AP27:AT27</f>
        <v>63</v>
      </c>
      <c r="AQ27" s="147">
        <v>2.6</v>
      </c>
      <c r="AR27" s="147">
        <v>2.2000000000000002</v>
      </c>
      <c r="AS27" s="147">
        <v>5</v>
      </c>
      <c r="AT27" s="147">
        <v>5</v>
      </c>
      <c r="AU27" s="147">
        <f t="shared" ref="AU27:AU40" si="45">IF(AQ27&lt;&gt;"",+AR27+AQ27,"")</f>
        <v>4.8000000000000007</v>
      </c>
      <c r="AV27" s="148">
        <f t="shared" ref="AV27:AV40" si="46">IF(AQ27&gt;0,+AR27/AQ27,"")</f>
        <v>0.84615384615384615</v>
      </c>
      <c r="AW27" s="155">
        <f>(BSP!AW27+BSL!AW27+DSP!AW27+RSP!AW27+ISP!AW27)</f>
        <v>0</v>
      </c>
      <c r="AY27" s="151" t="str">
        <f>AO27</f>
        <v>APP 21-22</v>
      </c>
      <c r="AZ27" s="146">
        <f t="array" ref="AZ27:BD27">BSP!AZ27:BD27</f>
        <v>63</v>
      </c>
      <c r="BA27" s="147">
        <v>2.9</v>
      </c>
      <c r="BB27" s="147">
        <v>2.5</v>
      </c>
      <c r="BC27" s="147">
        <v>5</v>
      </c>
      <c r="BD27" s="147">
        <v>40</v>
      </c>
      <c r="BE27" s="147">
        <f t="shared" ref="BE27:BE40" si="47">IF(BA27&lt;&gt;"",+BB27+BA27,"")</f>
        <v>5.4</v>
      </c>
      <c r="BF27" s="148">
        <f t="shared" ref="BF27:BF40" si="48">IF(BA27&gt;0,+BB27/BA27,"")</f>
        <v>0.86206896551724144</v>
      </c>
      <c r="BG27" s="155">
        <f>(BSP!BG27+BSL!BG27+DSP!BG27+RSP!BG27+ISP!BG27)</f>
        <v>0</v>
      </c>
      <c r="BI27" s="158"/>
      <c r="BK27" s="159" t="str">
        <f t="shared" si="28"/>
        <v>APP 21-22</v>
      </c>
      <c r="BL27" s="160">
        <f t="shared" si="28"/>
        <v>62</v>
      </c>
      <c r="BM27" s="161">
        <f t="shared" si="28"/>
        <v>4.2</v>
      </c>
      <c r="BN27" s="161">
        <f t="shared" si="28"/>
        <v>2.4</v>
      </c>
      <c r="BO27" s="161">
        <f t="shared" si="28"/>
        <v>10</v>
      </c>
      <c r="BP27" s="161">
        <f t="shared" si="28"/>
        <v>10</v>
      </c>
      <c r="BQ27" s="161">
        <f t="shared" si="28"/>
        <v>6.6</v>
      </c>
      <c r="BR27" s="162">
        <f t="shared" si="28"/>
        <v>0.5714285714285714</v>
      </c>
      <c r="BS27" s="163">
        <f t="shared" si="28"/>
        <v>0</v>
      </c>
      <c r="BT27" s="233">
        <f t="shared" si="28"/>
        <v>0</v>
      </c>
      <c r="BU27" s="159" t="str">
        <f t="shared" si="28"/>
        <v>APP 21-22</v>
      </c>
      <c r="BV27" s="160">
        <f t="shared" si="28"/>
        <v>61</v>
      </c>
      <c r="BW27" s="161">
        <f t="shared" si="28"/>
        <v>5</v>
      </c>
      <c r="BX27" s="161">
        <f t="shared" si="28"/>
        <v>3</v>
      </c>
      <c r="BY27" s="161">
        <f t="shared" si="28"/>
        <v>7</v>
      </c>
      <c r="BZ27" s="161">
        <f t="shared" si="28"/>
        <v>40</v>
      </c>
      <c r="CA27" s="161">
        <f t="shared" ref="CA27:CC40" si="49">BE6</f>
        <v>8</v>
      </c>
      <c r="CB27" s="162">
        <f t="shared" si="49"/>
        <v>0.6</v>
      </c>
      <c r="CC27" s="163">
        <f t="shared" si="49"/>
        <v>0</v>
      </c>
      <c r="CD27" s="152">
        <f t="shared" si="20"/>
        <v>0</v>
      </c>
      <c r="CE27" s="159" t="str">
        <f t="shared" si="30"/>
        <v>APP 21-22</v>
      </c>
      <c r="CF27" s="160">
        <f t="shared" si="30"/>
        <v>62.5</v>
      </c>
      <c r="CG27" s="161">
        <f t="shared" si="30"/>
        <v>3.6</v>
      </c>
      <c r="CH27" s="161">
        <f t="shared" si="30"/>
        <v>2.2000000000000002</v>
      </c>
      <c r="CI27" s="161">
        <f t="shared" si="30"/>
        <v>10</v>
      </c>
      <c r="CJ27" s="161">
        <f t="shared" si="30"/>
        <v>10</v>
      </c>
      <c r="CK27" s="161">
        <f t="shared" si="30"/>
        <v>5.8000000000000007</v>
      </c>
      <c r="CL27" s="162">
        <f t="shared" si="30"/>
        <v>0.61111111111111116</v>
      </c>
      <c r="CM27" s="163">
        <f t="shared" si="30"/>
        <v>0</v>
      </c>
      <c r="CN27" s="234">
        <f t="shared" si="30"/>
        <v>0</v>
      </c>
      <c r="CO27" s="159" t="str">
        <f t="shared" si="30"/>
        <v>APP 21-22</v>
      </c>
      <c r="CP27" s="160">
        <f t="shared" si="30"/>
        <v>62</v>
      </c>
      <c r="CQ27" s="161">
        <f t="shared" si="30"/>
        <v>3.8</v>
      </c>
      <c r="CR27" s="161">
        <f t="shared" si="30"/>
        <v>2.7</v>
      </c>
      <c r="CS27" s="161">
        <f t="shared" si="30"/>
        <v>7</v>
      </c>
      <c r="CT27" s="161">
        <f t="shared" si="30"/>
        <v>40</v>
      </c>
      <c r="CU27" s="161">
        <f t="shared" ref="CU27:CW40" si="50">Q27</f>
        <v>6.5</v>
      </c>
      <c r="CV27" s="162">
        <f t="shared" si="50"/>
        <v>0.71052631578947378</v>
      </c>
      <c r="CW27" s="163">
        <f t="shared" si="50"/>
        <v>0</v>
      </c>
      <c r="CX27" s="165">
        <f t="shared" si="2"/>
        <v>0</v>
      </c>
      <c r="CY27" s="159" t="str">
        <f t="shared" si="32"/>
        <v>APP 21-22</v>
      </c>
      <c r="CZ27" s="160">
        <f t="shared" si="32"/>
        <v>62.5</v>
      </c>
      <c r="DA27" s="161">
        <f t="shared" si="32"/>
        <v>2.4</v>
      </c>
      <c r="DB27" s="161">
        <f t="shared" si="32"/>
        <v>2.4</v>
      </c>
      <c r="DC27" s="161">
        <f t="shared" si="32"/>
        <v>5</v>
      </c>
      <c r="DD27" s="161">
        <f t="shared" si="32"/>
        <v>10</v>
      </c>
      <c r="DE27" s="161">
        <f t="shared" si="32"/>
        <v>4.8</v>
      </c>
      <c r="DF27" s="162">
        <f t="shared" si="32"/>
        <v>1</v>
      </c>
      <c r="DG27" s="163">
        <f t="shared" si="32"/>
        <v>0</v>
      </c>
      <c r="DH27" s="165">
        <f t="shared" si="32"/>
        <v>0</v>
      </c>
      <c r="DI27" s="159" t="str">
        <f t="shared" si="32"/>
        <v>APP 21-22</v>
      </c>
      <c r="DJ27" s="160">
        <f t="shared" si="32"/>
        <v>62.2</v>
      </c>
      <c r="DK27" s="161">
        <f t="shared" si="32"/>
        <v>3</v>
      </c>
      <c r="DL27" s="161">
        <f t="shared" si="32"/>
        <v>3</v>
      </c>
      <c r="DM27" s="161">
        <f t="shared" si="32"/>
        <v>5</v>
      </c>
      <c r="DN27" s="161">
        <f t="shared" si="32"/>
        <v>40</v>
      </c>
      <c r="DO27" s="161">
        <f t="shared" ref="DO27:DQ40" si="51">Q48</f>
        <v>6</v>
      </c>
      <c r="DP27" s="162">
        <f t="shared" si="51"/>
        <v>1</v>
      </c>
      <c r="DQ27" s="163">
        <f t="shared" si="51"/>
        <v>0</v>
      </c>
    </row>
    <row r="28" spans="1:121" ht="19" customHeight="1" x14ac:dyDescent="0.35">
      <c r="A28" s="166">
        <f>BSP!A28</f>
        <v>44287</v>
      </c>
      <c r="B28" s="167">
        <f>IFERROR((BSP!B28*BSP!I28+BSL!B28*BSL!I28+DSP!B28*DSP!I28+RSP!B28*RSP!I28+ISP!B28*ISP!I28)/(BSP!I28+BSL!I28+DSP!I28+RSP!I28+ISP!I28),)</f>
        <v>61.341403004962316</v>
      </c>
      <c r="C28" s="168">
        <f>IFERROR((BSP!C28*BSP!I28+BSL!C28*BSL!I28+DSP!C28*DSP!I28+RSP!C28*RSP!I28+ISP!C28*ISP!I28)/(BSP!I28+BSL!I28+DSP!I28+RSP!I28+ISP!I28),)</f>
        <v>3.7147555596397721</v>
      </c>
      <c r="D28" s="168">
        <f>IFERROR((BSP!D28*BSP!I28+BSL!D28*BSL!I28+DSP!D28*DSP!I28+RSP!D28*RSP!I28+ISP!D28*ISP!I28)/(BSP!I28+BSL!I28+DSP!I28+RSP!I28+ISP!I28),)</f>
        <v>2.8232687006065063</v>
      </c>
      <c r="E28" s="168">
        <f>IFERROR((BSP!E28*BSP!I28+BSL!E28*BSL!I28+DSP!E28*DSP!I28+RSP!E28*RSP!I28+ISP!E28*ISP!I28)/(IF(BSP!F28&gt;0,BSP!I28,0)+IF(BSL!F28&gt;0,BSL!I28,0)+IF(DSP!F28&gt;0,DSP!I28,0)+IF(RSP!F28&gt;0,RSP!I28,0)+IF(ISP!F28&gt;0,ISP!I28,0)),)</f>
        <v>13.398787906634809</v>
      </c>
      <c r="F28" s="168">
        <f>IFERROR((BSP!F28*BSP!I28+BSL!F28*BSL!I28+DSP!F28*DSP!I28+RSP!F28*RSP!I28+ISP!F28*ISP!I28)/(IF(BSP!F28&gt;0,BSP!I28,0)+IF(BSL!F28&gt;0,BSL!I28,0)+IF(DSP!F28&gt;0,DSP!I28,0)+IF(RSP!F28&gt;0,RSP!I28,0)+IF(ISP!F28&gt;0,ISP!I28,0)),)</f>
        <v>9.9595253629847456</v>
      </c>
      <c r="G28" s="168">
        <f t="shared" si="37"/>
        <v>6.5380242602462779</v>
      </c>
      <c r="H28" s="169">
        <f t="shared" si="38"/>
        <v>0.76001466456659261</v>
      </c>
      <c r="I28" s="170">
        <f>(BSP!I28+BSL!I28+DSP!I28+RSP!I28+ISP!I28)</f>
        <v>87056</v>
      </c>
      <c r="J28" s="119"/>
      <c r="K28" s="166">
        <f>BSP!K28</f>
        <v>44287</v>
      </c>
      <c r="L28" s="167">
        <f>IFERROR((BSP!L28*BSP!S28+BSL!L28*BSL!S28+DSP!L28*DSP!S28+RSP!L28*RSP!S28+ISP!L28*ISP!S28)/(BSP!S28+BSL!S28+DSP!S28+RSP!S28+ISP!S28),)</f>
        <v>60.321104188160945</v>
      </c>
      <c r="M28" s="168">
        <f>IFERROR((BSP!M28*BSP!S28+BSL!M28*BSL!S28+DSP!M28*DSP!S28+RSP!M28*RSP!S28+ISP!M28*ISP!S28)/(BSP!S28+BSL!S28+DSP!S28+RSP!S28+ISP!S28),)</f>
        <v>4.729473336342533</v>
      </c>
      <c r="N28" s="168">
        <f>IFERROR((BSP!N28*BSP!S28+BSL!N28*BSL!S28+DSP!N28*DSP!S28+RSP!N28*RSP!S28+ISP!N28*ISP!S28)/(BSP!S28+BSL!S28+DSP!S28+RSP!S28+ISP!S28),)</f>
        <v>4.0594224754965182</v>
      </c>
      <c r="O28" s="168">
        <f>IFERROR((BSP!O28*BSP!S28+BSL!O28*BSL!S28+DSP!O28*DSP!S28+RSP!O28*RSP!S28+ISP!O28*ISP!S28)/(IF(BSP!P28&gt;0,BSP!S28,0)+IF(BSL!P28&gt;0,BSL!S28,0)+IF(DSP!P28&gt;0,DSP!S28,0)+IF(RSP!P28&gt;0,RSP!S28,0)+IF(ISP!P28&gt;0,ISP!S28,0)),)</f>
        <v>6.877351931261285</v>
      </c>
      <c r="P28" s="168">
        <f>IFERROR((BSP!P28*BSP!S28+BSL!P28*BSL!S28+DSP!P28*DSP!S28+RSP!P28*RSP!S28+ISP!P28*ISP!S28)/(IF(BSP!P28&gt;0,BSP!S28,0)+IF(BSL!P28&gt;0,BSL!S28,0)+IF(DSP!P28&gt;0,DSP!S28,0)+IF(RSP!P28&gt;0,RSP!S28,0)+IF(ISP!P28&gt;0,ISP!S28,0)),)</f>
        <v>44.02414274084343</v>
      </c>
      <c r="Q28" s="168">
        <f t="shared" si="39"/>
        <v>8.7888958118390512</v>
      </c>
      <c r="R28" s="169">
        <f t="shared" si="40"/>
        <v>0.85832442363145056</v>
      </c>
      <c r="S28" s="170">
        <f>(BSP!S28+BSL!S28+DSP!S28+RSP!S28+ISP!S28)</f>
        <v>248128</v>
      </c>
      <c r="U28" s="172">
        <f t="shared" si="34"/>
        <v>44287</v>
      </c>
      <c r="V28" s="167">
        <f>IFERROR((BSP!V28*BSP!AC28+BSL!V28*BSL!AC28+DSP!V28*DSP!AC28+RSP!V28*RSP!AC28+ISP!V28*ISP!AC28)/(BSP!AC28+BSL!AC28+DSP!AC28+RSP!AC28+ISP!AC28),)</f>
        <v>62.028460249236346</v>
      </c>
      <c r="W28" s="168">
        <f>IFERROR((BSP!W28*BSP!AC28+BSL!W28*BSL!AC28+DSP!W28*DSP!AC28+RSP!W28*RSP!AC28+ISP!W28*ISP!AC28)/(BSP!AC28+BSL!AC28+DSP!AC28+RSP!AC28+ISP!AC28),)</f>
        <v>3.4108146135755408</v>
      </c>
      <c r="X28" s="168">
        <f>IFERROR((BSP!X28*BSP!AC28+BSL!X28*BSL!AC28+DSP!X28*DSP!AC28+RSP!X28*RSP!AC28+ISP!X28*ISP!AC28)/(BSP!AC28+BSL!AC28+DSP!AC28+RSP!AC28+ISP!AC28),)</f>
        <v>3.04217541156435</v>
      </c>
      <c r="Y28" s="168">
        <f>IFERROR((BSP!Y28*BSP!AC28+BSL!Y28*BSL!AC28+DSP!Y28*DSP!AC28+RSP!Y28*RSP!AC28+ISP!Y28*ISP!AC28)/(IF(BSP!Z28&gt;0,BSP!AC28,0)+IF(BSL!Z28&gt;0,BSL!AC28,0)+IF(DSP!Z28&gt;0,DSP!AC28,0)+IF(RSP!Z28&gt;0,RSP!AC28,0)+IF(ISP!Z28&gt;0,ISP!AC28,0)),)</f>
        <v>20.683230476036005</v>
      </c>
      <c r="Z28" s="168">
        <f>IFERROR((BSP!Z28*BSP!AC28+BSL!Z28*BSL!AC28+DSP!Z28*DSP!AC28+RSP!Z28*RSP!AC28+ISP!Z28*ISP!AC28)/(IF(BSP!Z28&gt;0,BSP!AC28,0)+IF(BSL!Z28&gt;0,BSL!AC28,0)+IF(DSP!Z28&gt;0,DSP!AC28,0)+IF(RSP!Z28&gt;0,RSP!AC28,0)+IF(ISP!Z28&gt;0,ISP!AC28,0)),)</f>
        <v>17.505622144730083</v>
      </c>
      <c r="AA28" s="168">
        <f t="shared" si="41"/>
        <v>6.4529900251398908</v>
      </c>
      <c r="AB28" s="169">
        <f t="shared" si="42"/>
        <v>0.89192048124106393</v>
      </c>
      <c r="AC28" s="170">
        <f>(BSP!AC28+BSL!AC28+DSP!AC28+RSP!AC28+ISP!AC28)</f>
        <v>73986</v>
      </c>
      <c r="AE28" s="172">
        <f t="shared" si="35"/>
        <v>44287</v>
      </c>
      <c r="AF28" s="167">
        <f>IFERROR((BSP!AF28*BSP!AM28+BSL!AF28*BSL!AM28+DSP!AF28*DSP!AM28+RSP!AF28*RSP!AM28+ISP!AF28*ISP!AM28)/(BSP!AM28+BSL!AM28+DSP!AM28+RSP!AM28+ISP!AM28),)</f>
        <v>61.909999999999989</v>
      </c>
      <c r="AG28" s="168">
        <f>IFERROR((BSP!AG28*BSP!AM28+BSL!AG28*BSL!AM28+DSP!AG28*DSP!AM28+RSP!AG28*RSP!AM28+ISP!AG28*ISP!AM28)/(BSP!AM28+BSL!AM28+DSP!AM28+RSP!AM28+ISP!AM28),)</f>
        <v>3.43</v>
      </c>
      <c r="AH28" s="168">
        <f>IFERROR((BSP!AH28*BSP!AM28+BSL!AH28*BSL!AM28+DSP!AH28*DSP!AM28+RSP!AH28*RSP!AM28+ISP!AH28*ISP!AM28)/(BSP!AM28+BSL!AM28+DSP!AM28+RSP!AM28+ISP!AM28),)</f>
        <v>2.94</v>
      </c>
      <c r="AI28" s="168">
        <f>IFERROR((BSP!AI28*BSP!AM28+BSL!AI28*BSL!AM28+DSP!AI28*DSP!AM28+RSP!AI28*RSP!AM28+ISP!AI28*ISP!AM28)/(IF(BSP!AJ28&gt;0,BSP!AM28,0)+IF(BSL!AJ28&gt;0,BSL!AM28,0)+IF(DSP!AJ28&gt;0,DSP!AM28,0)+IF(RSP!AJ28&gt;0,RSP!AM28,0)+IF(ISP!AJ28&gt;0,ISP!AM28,0)),)</f>
        <v>6.21</v>
      </c>
      <c r="AJ28" s="168">
        <f>IFERROR((BSP!AJ28*BSP!AM28+BSL!AJ28*BSL!AM28+DSP!AJ28*DSP!AM28+RSP!AJ28*RSP!AM28+ISP!AJ28*ISP!AM28)/(IF(BSP!AJ28&gt;0,BSP!AM28,0)+IF(BSL!AJ28&gt;0,BSL!AM28,0)+IF(DSP!AJ28&gt;0,DSP!AM28,0)+IF(RSP!AJ28&gt;0,RSP!AM28,0)+IF(ISP!AJ28&gt;0,ISP!AM28,0)),)</f>
        <v>38.71</v>
      </c>
      <c r="AK28" s="168">
        <f t="shared" si="43"/>
        <v>6.37</v>
      </c>
      <c r="AL28" s="169">
        <f t="shared" si="44"/>
        <v>0.8571428571428571</v>
      </c>
      <c r="AM28" s="170">
        <f>(BSP!AM28+BSL!AM28+DSP!AM28+RSP!AM28+ISP!AM28)</f>
        <v>68383</v>
      </c>
      <c r="AO28" s="172">
        <f t="shared" si="36"/>
        <v>44287</v>
      </c>
      <c r="AP28" s="167">
        <f>IFERROR((BSP!AP28*BSP!AW28+BSL!AP28*BSL!AW28+DSP!AP28*DSP!AW28+RSP!AP28*RSP!AW28+ISP!AP28*ISP!AW28)/(BSP!AW28+BSL!AW28+DSP!AW28+RSP!AW28+ISP!AW28),)</f>
        <v>63.245650950565782</v>
      </c>
      <c r="AQ28" s="168">
        <f>IFERROR((BSP!AQ28*BSP!AW28+BSL!AQ28*BSL!AW28+DSP!AQ28*DSP!AW28+RSP!AQ28*RSP!AW28+ISP!AQ28*ISP!AW28)/(BSP!AW28+BSL!AW28+DSP!AW28+RSP!AW28+ISP!AW28),)</f>
        <v>2.5844593154645343</v>
      </c>
      <c r="AR28" s="168">
        <f>IFERROR((BSP!AR28*BSP!AW28+BSL!AR28*BSL!AW28+DSP!AR28*DSP!AW28+RSP!AR28*RSP!AW28+ISP!AR28*ISP!AW28)/(BSP!AW28+BSL!AW28+DSP!AW28+RSP!AW28+ISP!AW28),)</f>
        <v>2.2924653992456325</v>
      </c>
      <c r="AS28" s="168">
        <f>IFERROR((BSP!AS28*BSP!AW28+BSL!AS28*BSL!AW28+DSP!AS28*DSP!AW28+RSP!AS28*RSP!AW28+ISP!AS28*ISP!AW28)/(IF(BSP!AT28&gt;0,BSP!AW28,0)+IF(BSL!AT28&gt;0,BSL!AW28,0)+IF(DSP!AT28&gt;0,DSP!AW28,0)+IF(RSP!AT28&gt;0,RSP!AW28,0)+IF(ISP!AT28&gt;0,ISP!AW28,0)),)</f>
        <v>5.4513254742820463</v>
      </c>
      <c r="AT28" s="168">
        <f>IFERROR((BSP!AT28*BSP!AW28+BSL!AT28*BSL!AW28+DSP!AT28*DSP!AW28+RSP!AT28*RSP!AW28+ISP!AT28*ISP!AW28)/(IF(BSP!AT28&gt;0,BSP!AW28,0)+IF(BSL!AT28&gt;0,BSL!AW28,0)+IF(DSP!AT28&gt;0,DSP!AW28,0)+IF(RSP!AT28&gt;0,RSP!AW28,0)+IF(ISP!AT28&gt;0,ISP!AW28,0)),)</f>
        <v>10.190828136186489</v>
      </c>
      <c r="AU28" s="168">
        <f t="shared" si="45"/>
        <v>4.8769247147101673</v>
      </c>
      <c r="AV28" s="169">
        <f t="shared" si="46"/>
        <v>0.88701934115514669</v>
      </c>
      <c r="AW28" s="170">
        <f>(BSP!AW28+BSL!AW28+DSP!AW28+RSP!AW28+ISP!AW28)</f>
        <v>149873.9</v>
      </c>
      <c r="AY28" s="172">
        <f t="shared" ref="AY28:AY39" si="52">AO28</f>
        <v>44287</v>
      </c>
      <c r="AZ28" s="167">
        <f>IFERROR((BSP!AZ28*BSP!BG28+BSL!AZ28*BSL!BG28+DSP!AZ28*DSP!BG28+RSP!AZ28*RSP!BG28+ISP!AZ28*ISP!BG28)/(BSP!BG28+BSL!BG28+DSP!BG28+RSP!BG28+ISP!BG28),)</f>
        <v>62.88</v>
      </c>
      <c r="BA28" s="168">
        <f>IFERROR((BSP!BA28*BSP!BG28+BSL!BA28*BSL!BG28+DSP!BA28*DSP!BG28+RSP!BA28*RSP!BG28+ISP!BA28*ISP!BG28)/(BSP!BG28+BSL!BG28+DSP!BG28+RSP!BG28+ISP!BG28),)</f>
        <v>2.69</v>
      </c>
      <c r="BB28" s="168">
        <f>IFERROR((BSP!BB28*BSP!BG28+BSL!BB28*BSL!BG28+DSP!BB28*DSP!BG28+RSP!BB28*RSP!BG28+ISP!BB28*ISP!BG28)/(BSP!BG28+BSL!BG28+DSP!BG28+RSP!BG28+ISP!BG28),)</f>
        <v>2.31</v>
      </c>
      <c r="BC28" s="168">
        <f>IFERROR((BSP!BC28*BSP!BG28+BSL!BC28*BSL!BG28+DSP!BC28*DSP!BG28+RSP!BC28*RSP!BG28+ISP!BC28*ISP!BG28)/(IF(BSP!BD28&gt;0,BSP!BG28,0)+IF(BSL!BD28&gt;0,BSL!BG28,0)+IF(DSP!BD28&gt;0,DSP!BG28,0)+IF(RSP!BD28&gt;0,RSP!BG28,0)+IF(ISP!BD28&gt;0,ISP!BG28,0)),)</f>
        <v>4.75</v>
      </c>
      <c r="BD28" s="168">
        <f>IFERROR((BSP!BD28*BSP!BG28+BSL!BD28*BSL!BG28+DSP!BD28*DSP!BG28+RSP!BD28*RSP!BG28+ISP!BD28*ISP!BG28)/(IF(BSP!BD28&gt;0,BSP!BG28,0)+IF(BSL!BD28&gt;0,BSL!BG28,0)+IF(DSP!BD28&gt;0,DSP!BG28,0)+IF(RSP!BD28&gt;0,RSP!BG28,0)+IF(ISP!BD28&gt;0,ISP!BG28,0)),)</f>
        <v>37.21</v>
      </c>
      <c r="BE28" s="168">
        <f t="shared" si="47"/>
        <v>5</v>
      </c>
      <c r="BF28" s="169">
        <f t="shared" si="48"/>
        <v>0.85873605947955389</v>
      </c>
      <c r="BG28" s="170">
        <f>(BSP!BG28+BSL!BG28+DSP!BG28+RSP!BG28+ISP!BG28)</f>
        <v>143043.9</v>
      </c>
      <c r="BK28" s="173">
        <f t="shared" si="28"/>
        <v>44287</v>
      </c>
      <c r="BL28" s="174">
        <f t="shared" si="28"/>
        <v>61.30623317029557</v>
      </c>
      <c r="BM28" s="175">
        <f t="shared" si="28"/>
        <v>5.1683255758914486</v>
      </c>
      <c r="BN28" s="175">
        <f t="shared" si="28"/>
        <v>2.3283074313663614</v>
      </c>
      <c r="BO28" s="175">
        <f t="shared" si="28"/>
        <v>19.125171321131798</v>
      </c>
      <c r="BP28" s="175">
        <f t="shared" si="28"/>
        <v>22.68415207215736</v>
      </c>
      <c r="BQ28" s="175">
        <f t="shared" si="28"/>
        <v>7.4966330072578096</v>
      </c>
      <c r="BR28" s="176">
        <f t="shared" si="28"/>
        <v>0.45049550326843868</v>
      </c>
      <c r="BS28" s="177">
        <f t="shared" si="28"/>
        <v>76056</v>
      </c>
      <c r="BT28" s="231">
        <f t="shared" si="28"/>
        <v>0</v>
      </c>
      <c r="BU28" s="173">
        <f t="shared" si="28"/>
        <v>44287</v>
      </c>
      <c r="BV28" s="174">
        <f t="shared" si="28"/>
        <v>60.320070437743993</v>
      </c>
      <c r="BW28" s="175">
        <f t="shared" si="28"/>
        <v>6.4326298695904978</v>
      </c>
      <c r="BX28" s="175">
        <f t="shared" si="28"/>
        <v>2.5773525209735029</v>
      </c>
      <c r="BY28" s="175">
        <f t="shared" si="28"/>
        <v>6.6120927817925077</v>
      </c>
      <c r="BZ28" s="175">
        <f t="shared" si="28"/>
        <v>42.155435833540992</v>
      </c>
      <c r="CA28" s="175">
        <f t="shared" si="49"/>
        <v>9.0099823905640015</v>
      </c>
      <c r="CB28" s="176">
        <f t="shared" si="49"/>
        <v>0.40066855597547035</v>
      </c>
      <c r="CC28" s="177">
        <f t="shared" si="49"/>
        <v>240780</v>
      </c>
      <c r="CD28" s="104">
        <f t="shared" si="20"/>
        <v>0</v>
      </c>
      <c r="CE28" s="173">
        <f t="shared" si="30"/>
        <v>44287</v>
      </c>
      <c r="CF28" s="174">
        <f t="shared" si="30"/>
        <v>61.341403004962316</v>
      </c>
      <c r="CG28" s="175">
        <f t="shared" si="30"/>
        <v>3.7147555596397721</v>
      </c>
      <c r="CH28" s="175">
        <f t="shared" si="30"/>
        <v>2.8232687006065063</v>
      </c>
      <c r="CI28" s="175">
        <f t="shared" si="30"/>
        <v>13.398787906634809</v>
      </c>
      <c r="CJ28" s="175">
        <f t="shared" si="30"/>
        <v>9.9595253629847456</v>
      </c>
      <c r="CK28" s="175">
        <f t="shared" si="30"/>
        <v>6.5380242602462779</v>
      </c>
      <c r="CL28" s="176">
        <f t="shared" si="30"/>
        <v>0.76001466456659261</v>
      </c>
      <c r="CM28" s="177">
        <f t="shared" si="30"/>
        <v>87056</v>
      </c>
      <c r="CN28" s="109">
        <f t="shared" si="30"/>
        <v>0</v>
      </c>
      <c r="CO28" s="173">
        <f t="shared" si="30"/>
        <v>44287</v>
      </c>
      <c r="CP28" s="174">
        <f t="shared" si="30"/>
        <v>60.321104188160945</v>
      </c>
      <c r="CQ28" s="175">
        <f t="shared" si="30"/>
        <v>4.729473336342533</v>
      </c>
      <c r="CR28" s="175">
        <f t="shared" si="30"/>
        <v>4.0594224754965182</v>
      </c>
      <c r="CS28" s="175">
        <f t="shared" si="30"/>
        <v>6.877351931261285</v>
      </c>
      <c r="CT28" s="175">
        <f t="shared" si="30"/>
        <v>44.02414274084343</v>
      </c>
      <c r="CU28" s="175">
        <f t="shared" si="50"/>
        <v>8.7888958118390512</v>
      </c>
      <c r="CV28" s="176">
        <f t="shared" si="50"/>
        <v>0.85832442363145056</v>
      </c>
      <c r="CW28" s="177">
        <f t="shared" si="50"/>
        <v>248128</v>
      </c>
      <c r="CX28" s="111">
        <f t="shared" si="2"/>
        <v>0</v>
      </c>
      <c r="CY28" s="173">
        <f t="shared" si="32"/>
        <v>44287</v>
      </c>
      <c r="CZ28" s="174">
        <f t="shared" si="32"/>
        <v>62.70000000000001</v>
      </c>
      <c r="DA28" s="175">
        <f t="shared" si="32"/>
        <v>2.85</v>
      </c>
      <c r="DB28" s="175">
        <f t="shared" si="32"/>
        <v>2.5499999999999994</v>
      </c>
      <c r="DC28" s="175">
        <f t="shared" si="32"/>
        <v>9.5</v>
      </c>
      <c r="DD28" s="175">
        <f t="shared" si="32"/>
        <v>17</v>
      </c>
      <c r="DE28" s="175">
        <f t="shared" si="32"/>
        <v>5.3999999999999995</v>
      </c>
      <c r="DF28" s="176">
        <f t="shared" si="32"/>
        <v>0.89473684210526294</v>
      </c>
      <c r="DG28" s="177">
        <f t="shared" si="32"/>
        <v>51437</v>
      </c>
      <c r="DH28" s="111">
        <f t="shared" si="32"/>
        <v>0</v>
      </c>
      <c r="DI28" s="173">
        <f t="shared" si="32"/>
        <v>44287</v>
      </c>
      <c r="DJ28" s="174">
        <f t="shared" si="32"/>
        <v>62</v>
      </c>
      <c r="DK28" s="175">
        <f t="shared" si="32"/>
        <v>3.45</v>
      </c>
      <c r="DL28" s="175">
        <f t="shared" si="32"/>
        <v>2.9</v>
      </c>
      <c r="DM28" s="175">
        <f t="shared" si="32"/>
        <v>6.2</v>
      </c>
      <c r="DN28" s="175">
        <f t="shared" si="32"/>
        <v>38.700000000000003</v>
      </c>
      <c r="DO28" s="175">
        <f t="shared" si="51"/>
        <v>6.35</v>
      </c>
      <c r="DP28" s="176">
        <f t="shared" si="51"/>
        <v>0.84057971014492749</v>
      </c>
      <c r="DQ28" s="177">
        <f t="shared" si="51"/>
        <v>99125</v>
      </c>
    </row>
    <row r="29" spans="1:121" ht="19" customHeight="1" x14ac:dyDescent="0.35">
      <c r="A29" s="166">
        <f>BSP!A29</f>
        <v>44317</v>
      </c>
      <c r="B29" s="167">
        <f>IFERROR((BSP!B29*BSP!I29+BSL!B29*BSL!I29+DSP!B29*DSP!I29+RSP!B29*RSP!I29+ISP!B29*ISP!I29)/(BSP!I29+BSL!I29+DSP!I29+RSP!I29+ISP!I29),)</f>
        <v>62.069801032759472</v>
      </c>
      <c r="C29" s="168">
        <f>IFERROR((BSP!C29*BSP!I29+BSL!C29*BSL!I29+DSP!C29*DSP!I29+RSP!C29*RSP!I29+ISP!C29*ISP!I29)/(BSP!I29+BSL!I29+DSP!I29+RSP!I29+ISP!I29),)</f>
        <v>3.80485833324675</v>
      </c>
      <c r="D29" s="168">
        <f>IFERROR((BSP!D29*BSP!I29+BSL!D29*BSL!I29+DSP!D29*DSP!I29+RSP!D29*RSP!I29+ISP!D29*ISP!I29)/(BSP!I29+BSL!I29+DSP!I29+RSP!I29+ISP!I29),)</f>
        <v>2.296353548682037</v>
      </c>
      <c r="E29" s="168">
        <f>IFERROR((BSP!E29*BSP!I29+BSL!E29*BSL!I29+DSP!E29*DSP!I29+RSP!E29*RSP!I29+ISP!E29*ISP!I29)/(IF(BSP!F29&gt;0,BSP!I29,0)+IF(BSL!F29&gt;0,BSL!I29,0)+IF(DSP!F29&gt;0,DSP!I29,0)+IF(RSP!F29&gt;0,RSP!I29,0)+IF(ISP!F29&gt;0,ISP!I29,0)),)</f>
        <v>14.732599042048063</v>
      </c>
      <c r="F29" s="168">
        <f>IFERROR((BSP!F29*BSP!I29+BSL!F29*BSL!I29+DSP!F29*DSP!I29+RSP!F29*RSP!I29+ISP!F29*ISP!I29)/(IF(BSP!F29&gt;0,BSP!I29,0)+IF(BSL!F29&gt;0,BSL!I29,0)+IF(DSP!F29&gt;0,DSP!I29,0)+IF(RSP!F29&gt;0,RSP!I29,0)+IF(ISP!F29&gt;0,ISP!I29,0)),)</f>
        <v>11.234846800419755</v>
      </c>
      <c r="G29" s="168">
        <f t="shared" si="37"/>
        <v>6.1012118819287871</v>
      </c>
      <c r="H29" s="169">
        <f t="shared" si="38"/>
        <v>0.60353194457111881</v>
      </c>
      <c r="I29" s="170">
        <f>(BSP!I29+BSL!I29+DSP!I29+RSP!I29+ISP!I29)</f>
        <v>96247</v>
      </c>
      <c r="J29" s="119"/>
      <c r="K29" s="166">
        <f>BSP!K29</f>
        <v>44317</v>
      </c>
      <c r="L29" s="167">
        <f>IFERROR((BSP!L29*BSP!S29+BSL!L29*BSL!S29+DSP!L29*DSP!S29+RSP!L29*RSP!S29+ISP!L29*ISP!S29)/(BSP!S29+BSL!S29+DSP!S29+RSP!S29+ISP!S29),)</f>
        <v>62.047978846685261</v>
      </c>
      <c r="M29" s="168">
        <f>IFERROR((BSP!M29*BSP!S29+BSL!M29*BSL!S29+DSP!M29*DSP!S29+RSP!M29*RSP!S29+ISP!M29*ISP!S29)/(BSP!S29+BSL!S29+DSP!S29+RSP!S29+ISP!S29),)</f>
        <v>4.0591467360783025</v>
      </c>
      <c r="N29" s="168">
        <f>IFERROR((BSP!N29*BSP!S29+BSL!N29*BSL!S29+DSP!N29*DSP!S29+RSP!N29*RSP!S29+ISP!N29*ISP!S29)/(BSP!S29+BSL!S29+DSP!S29+RSP!S29+ISP!S29),)</f>
        <v>2.4110131394799477</v>
      </c>
      <c r="O29" s="168">
        <f>IFERROR((BSP!O29*BSP!S29+BSL!O29*BSL!S29+DSP!O29*DSP!S29+RSP!O29*RSP!S29+ISP!O29*ISP!S29)/(IF(BSP!P29&gt;0,BSP!S29,0)+IF(BSL!P29&gt;0,BSL!S29,0)+IF(DSP!P29&gt;0,DSP!S29,0)+IF(RSP!P29&gt;0,RSP!S29,0)+IF(ISP!P29&gt;0,ISP!S29,0)),)</f>
        <v>5.5874567440119103</v>
      </c>
      <c r="P29" s="168">
        <f>IFERROR((BSP!P29*BSP!S29+BSL!P29*BSL!S29+DSP!P29*DSP!S29+RSP!P29*RSP!S29+ISP!P29*ISP!S29)/(IF(BSP!P29&gt;0,BSP!S29,0)+IF(BSL!P29&gt;0,BSL!S29,0)+IF(DSP!P29&gt;0,DSP!S29,0)+IF(RSP!P29&gt;0,RSP!S29,0)+IF(ISP!P29&gt;0,ISP!S29,0)),)</f>
        <v>45.225564088392865</v>
      </c>
      <c r="Q29" s="168">
        <f t="shared" si="39"/>
        <v>6.4701598755582506</v>
      </c>
      <c r="R29" s="169">
        <f t="shared" si="40"/>
        <v>0.5939704317783101</v>
      </c>
      <c r="S29" s="170">
        <f>(BSP!S29+BSL!S29+DSP!S29+RSP!S29+ISP!S29)</f>
        <v>224362</v>
      </c>
      <c r="U29" s="172">
        <f t="shared" si="34"/>
        <v>44317</v>
      </c>
      <c r="V29" s="167">
        <f>IFERROR((BSP!V29*BSP!AC29+BSL!V29*BSL!AC29+DSP!V29*DSP!AC29+RSP!V29*RSP!AC29+ISP!V29*ISP!AC29)/(BSP!AC29+BSL!AC29+DSP!AC29+RSP!AC29+ISP!AC29),)</f>
        <v>62.155518793058341</v>
      </c>
      <c r="W29" s="168">
        <f>IFERROR((BSP!W29*BSP!AC29+BSL!W29*BSL!AC29+DSP!W29*DSP!AC29+RSP!W29*RSP!AC29+ISP!W29*ISP!AC29)/(BSP!AC29+BSL!AC29+DSP!AC29+RSP!AC29+ISP!AC29),)</f>
        <v>3.1405031830470045</v>
      </c>
      <c r="X29" s="168">
        <f>IFERROR((BSP!X29*BSP!AC29+BSL!X29*BSL!AC29+DSP!X29*DSP!AC29+RSP!X29*RSP!AC29+ISP!X29*ISP!AC29)/(BSP!AC29+BSL!AC29+DSP!AC29+RSP!AC29+ISP!AC29),)</f>
        <v>3.1114308886369586</v>
      </c>
      <c r="Y29" s="168">
        <f>IFERROR((BSP!Y29*BSP!AC29+BSL!Y29*BSL!AC29+DSP!Y29*DSP!AC29+RSP!Y29*RSP!AC29+ISP!Y29*ISP!AC29)/(IF(BSP!Z29&gt;0,BSP!AC29,0)+IF(BSL!Z29&gt;0,BSL!AC29,0)+IF(DSP!Z29&gt;0,DSP!AC29,0)+IF(RSP!Z29&gt;0,RSP!AC29,0)+IF(ISP!Z29&gt;0,ISP!AC29,0)),)</f>
        <v>16.745598674457138</v>
      </c>
      <c r="Z29" s="168">
        <f>IFERROR((BSP!Z29*BSP!AC29+BSL!Z29*BSL!AC29+DSP!Z29*DSP!AC29+RSP!Z29*RSP!AC29+ISP!Z29*ISP!AC29)/(IF(BSP!Z29&gt;0,BSP!AC29,0)+IF(BSL!Z29&gt;0,BSL!AC29,0)+IF(DSP!Z29&gt;0,DSP!AC29,0)+IF(RSP!Z29&gt;0,RSP!AC29,0)+IF(ISP!Z29&gt;0,ISP!AC29,0)),)</f>
        <v>17.524607307927095</v>
      </c>
      <c r="AA29" s="168">
        <f t="shared" si="41"/>
        <v>6.2519340716839631</v>
      </c>
      <c r="AB29" s="169">
        <f t="shared" si="42"/>
        <v>0.99074279097471285</v>
      </c>
      <c r="AC29" s="170">
        <f>(BSP!AC29+BSL!AC29+DSP!AC29+RSP!AC29+ISP!AC29)</f>
        <v>57335</v>
      </c>
      <c r="AE29" s="172">
        <f t="shared" si="35"/>
        <v>44317</v>
      </c>
      <c r="AF29" s="167">
        <f>IFERROR((BSP!AF29*BSP!AM29+BSL!AF29*BSL!AM29+DSP!AF29*DSP!AM29+RSP!AF29*RSP!AM29+ISP!AF29*ISP!AM29)/(BSP!AM29+BSL!AM29+DSP!AM29+RSP!AM29+ISP!AM29),)</f>
        <v>61.05</v>
      </c>
      <c r="AG29" s="168">
        <f>IFERROR((BSP!AG29*BSP!AM29+BSL!AG29*BSL!AM29+DSP!AG29*DSP!AM29+RSP!AG29*RSP!AM29+ISP!AG29*ISP!AM29)/(BSP!AM29+BSL!AM29+DSP!AM29+RSP!AM29+ISP!AM29),)</f>
        <v>4.08</v>
      </c>
      <c r="AH29" s="168">
        <f>IFERROR((BSP!AH29*BSP!AM29+BSL!AH29*BSL!AM29+DSP!AH29*DSP!AM29+RSP!AH29*RSP!AM29+ISP!AH29*ISP!AM29)/(BSP!AM29+BSL!AM29+DSP!AM29+RSP!AM29+ISP!AM29),)</f>
        <v>3.52</v>
      </c>
      <c r="AI29" s="168">
        <f>IFERROR((BSP!AI29*BSP!AM29+BSL!AI29*BSL!AM29+DSP!AI29*DSP!AM29+RSP!AI29*RSP!AM29+ISP!AI29*ISP!AM29)/(IF(BSP!AJ29&gt;0,BSP!AM29,0)+IF(BSL!AJ29&gt;0,BSL!AM29,0)+IF(DSP!AJ29&gt;0,DSP!AM29,0)+IF(RSP!AJ29&gt;0,RSP!AM29,0)+IF(ISP!AJ29&gt;0,ISP!AM29,0)),)</f>
        <v>6.4</v>
      </c>
      <c r="AJ29" s="168">
        <f>IFERROR((BSP!AJ29*BSP!AM29+BSL!AJ29*BSL!AM29+DSP!AJ29*DSP!AM29+RSP!AJ29*RSP!AM29+ISP!AJ29*ISP!AM29)/(IF(BSP!AJ29&gt;0,BSP!AM29,0)+IF(BSL!AJ29&gt;0,BSL!AM29,0)+IF(DSP!AJ29&gt;0,DSP!AM29,0)+IF(RSP!AJ29&gt;0,RSP!AM29,0)+IF(ISP!AJ29&gt;0,ISP!AM29,0)),)</f>
        <v>39.4</v>
      </c>
      <c r="AK29" s="168">
        <f t="shared" si="43"/>
        <v>7.6</v>
      </c>
      <c r="AL29" s="169">
        <f t="shared" si="44"/>
        <v>0.86274509803921573</v>
      </c>
      <c r="AM29" s="170">
        <f>(BSP!AM29+BSL!AM29+DSP!AM29+RSP!AM29+ISP!AM29)</f>
        <v>115806</v>
      </c>
      <c r="AO29" s="172">
        <f t="shared" si="36"/>
        <v>44317</v>
      </c>
      <c r="AP29" s="167">
        <f>IFERROR((BSP!AP29*BSP!AW29+BSL!AP29*BSL!AW29+DSP!AP29*DSP!AW29+RSP!AP29*RSP!AW29+ISP!AP29*ISP!AW29)/(BSP!AW29+BSL!AW29+DSP!AW29+RSP!AW29+ISP!AW29),)</f>
        <v>63.13</v>
      </c>
      <c r="AQ29" s="168">
        <f>IFERROR((BSP!AQ29*BSP!AW29+BSL!AQ29*BSL!AW29+DSP!AQ29*DSP!AW29+RSP!AQ29*RSP!AW29+ISP!AQ29*ISP!AW29)/(BSP!AW29+BSL!AW29+DSP!AW29+RSP!AW29+ISP!AW29),)</f>
        <v>2.5</v>
      </c>
      <c r="AR29" s="168">
        <f>IFERROR((BSP!AR29*BSP!AW29+BSL!AR29*BSL!AW29+DSP!AR29*DSP!AW29+RSP!AR29*RSP!AW29+ISP!AR29*ISP!AW29)/(BSP!AW29+BSL!AW29+DSP!AW29+RSP!AW29+ISP!AW29),)</f>
        <v>2.3199999999999998</v>
      </c>
      <c r="AS29" s="168">
        <f>IFERROR((BSP!AS29*BSP!AW29+BSL!AS29*BSL!AW29+DSP!AS29*DSP!AW29+RSP!AS29*RSP!AW29+ISP!AS29*ISP!AW29)/(IF(BSP!AT29&gt;0,BSP!AW29,0)+IF(BSL!AT29&gt;0,BSL!AW29,0)+IF(DSP!AT29&gt;0,DSP!AW29,0)+IF(RSP!AT29&gt;0,RSP!AW29,0)+IF(ISP!AT29&gt;0,ISP!AW29,0)),)</f>
        <v>4.7</v>
      </c>
      <c r="AT29" s="168">
        <f>IFERROR((BSP!AT29*BSP!AW29+BSL!AT29*BSL!AW29+DSP!AT29*DSP!AW29+RSP!AT29*RSP!AW29+ISP!AT29*ISP!AW29)/(IF(BSP!AT29&gt;0,BSP!AW29,0)+IF(BSL!AT29&gt;0,BSL!AW29,0)+IF(DSP!AT29&gt;0,DSP!AW29,0)+IF(RSP!AT29&gt;0,RSP!AW29,0)+IF(ISP!AT29&gt;0,ISP!AW29,0)),)</f>
        <v>10.4</v>
      </c>
      <c r="AU29" s="168">
        <f t="shared" si="45"/>
        <v>4.82</v>
      </c>
      <c r="AV29" s="169">
        <f t="shared" si="46"/>
        <v>0.92799999999999994</v>
      </c>
      <c r="AW29" s="170">
        <f>(BSP!AW29+BSL!AW29+DSP!AW29+RSP!AW29+ISP!AW29)</f>
        <v>135426.5</v>
      </c>
      <c r="AY29" s="172">
        <f t="shared" si="52"/>
        <v>44317</v>
      </c>
      <c r="AZ29" s="167">
        <f>IFERROR((BSP!AZ29*BSP!BG29+BSL!AZ29*BSL!BG29+DSP!AZ29*DSP!BG29+RSP!AZ29*RSP!BG29+ISP!AZ29*ISP!BG29)/(BSP!BG29+BSL!BG29+DSP!BG29+RSP!BG29+ISP!BG29),)</f>
        <v>62.91</v>
      </c>
      <c r="BA29" s="168">
        <f>IFERROR((BSP!BA29*BSP!BG29+BSL!BA29*BSL!BG29+DSP!BA29*DSP!BG29+RSP!BA29*RSP!BG29+ISP!BA29*ISP!BG29)/(BSP!BG29+BSL!BG29+DSP!BG29+RSP!BG29+ISP!BG29),)</f>
        <v>2.5700000000000003</v>
      </c>
      <c r="BB29" s="168">
        <f>IFERROR((BSP!BB29*BSP!BG29+BSL!BB29*BSL!BG29+DSP!BB29*DSP!BG29+RSP!BB29*RSP!BG29+ISP!BB29*ISP!BG29)/(BSP!BG29+BSL!BG29+DSP!BG29+RSP!BG29+ISP!BG29),)</f>
        <v>2.38</v>
      </c>
      <c r="BC29" s="168">
        <f>IFERROR((BSP!BC29*BSP!BG29+BSL!BC29*BSL!BG29+DSP!BC29*DSP!BG29+RSP!BC29*RSP!BG29+ISP!BC29*ISP!BG29)/(IF(BSP!BD29&gt;0,BSP!BG29,0)+IF(BSL!BD29&gt;0,BSL!BG29,0)+IF(DSP!BD29&gt;0,DSP!BG29,0)+IF(RSP!BD29&gt;0,RSP!BG29,0)+IF(ISP!BD29&gt;0,ISP!BG29,0)),)</f>
        <v>4.3</v>
      </c>
      <c r="BD29" s="168">
        <f>IFERROR((BSP!BD29*BSP!BG29+BSL!BD29*BSL!BG29+DSP!BD29*DSP!BG29+RSP!BD29*RSP!BG29+ISP!BD29*ISP!BG29)/(IF(BSP!BD29&gt;0,BSP!BG29,0)+IF(BSL!BD29&gt;0,BSL!BG29,0)+IF(DSP!BD29&gt;0,DSP!BG29,0)+IF(RSP!BD29&gt;0,RSP!BG29,0)+IF(ISP!BD29&gt;0,ISP!BG29,0)),)</f>
        <v>37.200000000000003</v>
      </c>
      <c r="BE29" s="168">
        <f t="shared" si="47"/>
        <v>4.95</v>
      </c>
      <c r="BF29" s="169">
        <f t="shared" si="48"/>
        <v>0.92607003891050566</v>
      </c>
      <c r="BG29" s="170">
        <f>(BSP!BG29+BSL!BG29+DSP!BG29+RSP!BG29+ISP!BG29)</f>
        <v>114004.9</v>
      </c>
      <c r="BK29" s="178">
        <f t="shared" si="28"/>
        <v>44317</v>
      </c>
      <c r="BL29" s="179">
        <f t="shared" si="28"/>
        <v>61.97</v>
      </c>
      <c r="BM29" s="180">
        <f t="shared" si="28"/>
        <v>3.93</v>
      </c>
      <c r="BN29" s="180">
        <f t="shared" si="28"/>
        <v>2.57</v>
      </c>
      <c r="BO29" s="180">
        <f t="shared" si="28"/>
        <v>15.56</v>
      </c>
      <c r="BP29" s="180">
        <f t="shared" si="28"/>
        <v>25.04</v>
      </c>
      <c r="BQ29" s="180">
        <f t="shared" si="28"/>
        <v>6.5</v>
      </c>
      <c r="BR29" s="181">
        <f t="shared" si="28"/>
        <v>0.653944020356234</v>
      </c>
      <c r="BS29" s="182">
        <f t="shared" si="28"/>
        <v>59821</v>
      </c>
      <c r="BT29" s="231">
        <f t="shared" si="28"/>
        <v>0</v>
      </c>
      <c r="BU29" s="178">
        <f t="shared" si="28"/>
        <v>44317</v>
      </c>
      <c r="BV29" s="179">
        <f t="shared" si="28"/>
        <v>60.514247062875512</v>
      </c>
      <c r="BW29" s="180">
        <f t="shared" si="28"/>
        <v>5.9608017297462794</v>
      </c>
      <c r="BX29" s="180">
        <f t="shared" si="28"/>
        <v>2.7237486127587922</v>
      </c>
      <c r="BY29" s="180">
        <f t="shared" si="28"/>
        <v>6.2596856224407791</v>
      </c>
      <c r="BZ29" s="180">
        <f t="shared" si="28"/>
        <v>41.695547242738506</v>
      </c>
      <c r="CA29" s="180">
        <f t="shared" si="49"/>
        <v>8.6845503425050712</v>
      </c>
      <c r="CB29" s="181">
        <f t="shared" si="49"/>
        <v>0.45694333350603294</v>
      </c>
      <c r="CC29" s="182">
        <f t="shared" si="49"/>
        <v>104524</v>
      </c>
      <c r="CD29" s="104">
        <f t="shared" si="20"/>
        <v>0</v>
      </c>
      <c r="CE29" s="178">
        <f t="shared" si="30"/>
        <v>44317</v>
      </c>
      <c r="CF29" s="179">
        <f t="shared" si="30"/>
        <v>62.069801032759472</v>
      </c>
      <c r="CG29" s="180">
        <f t="shared" si="30"/>
        <v>3.80485833324675</v>
      </c>
      <c r="CH29" s="180">
        <f t="shared" si="30"/>
        <v>2.296353548682037</v>
      </c>
      <c r="CI29" s="180">
        <f t="shared" si="30"/>
        <v>14.732599042048063</v>
      </c>
      <c r="CJ29" s="180">
        <f t="shared" si="30"/>
        <v>11.234846800419755</v>
      </c>
      <c r="CK29" s="180">
        <f t="shared" si="30"/>
        <v>6.1012118819287871</v>
      </c>
      <c r="CL29" s="181">
        <f t="shared" si="30"/>
        <v>0.60353194457111881</v>
      </c>
      <c r="CM29" s="182">
        <f t="shared" si="30"/>
        <v>96247</v>
      </c>
      <c r="CN29" s="109">
        <f t="shared" si="30"/>
        <v>0</v>
      </c>
      <c r="CO29" s="178">
        <f t="shared" si="30"/>
        <v>44317</v>
      </c>
      <c r="CP29" s="179">
        <f t="shared" si="30"/>
        <v>62.047978846685261</v>
      </c>
      <c r="CQ29" s="180">
        <f t="shared" si="30"/>
        <v>4.0591467360783025</v>
      </c>
      <c r="CR29" s="180">
        <f t="shared" si="30"/>
        <v>2.4110131394799477</v>
      </c>
      <c r="CS29" s="180">
        <f t="shared" si="30"/>
        <v>5.5874567440119103</v>
      </c>
      <c r="CT29" s="180">
        <f t="shared" si="30"/>
        <v>45.225564088392865</v>
      </c>
      <c r="CU29" s="180">
        <f t="shared" si="50"/>
        <v>6.4701598755582506</v>
      </c>
      <c r="CV29" s="181">
        <f t="shared" si="50"/>
        <v>0.5939704317783101</v>
      </c>
      <c r="CW29" s="182">
        <f t="shared" si="50"/>
        <v>224362</v>
      </c>
      <c r="CX29" s="111">
        <f t="shared" si="2"/>
        <v>0</v>
      </c>
      <c r="CY29" s="178">
        <f t="shared" si="32"/>
        <v>44317</v>
      </c>
      <c r="CZ29" s="179">
        <f t="shared" si="32"/>
        <v>62.800000000000004</v>
      </c>
      <c r="DA29" s="180">
        <f t="shared" si="32"/>
        <v>2.2999999999999998</v>
      </c>
      <c r="DB29" s="180">
        <f t="shared" si="32"/>
        <v>3</v>
      </c>
      <c r="DC29" s="180">
        <f t="shared" si="32"/>
        <v>5</v>
      </c>
      <c r="DD29" s="180">
        <f t="shared" si="32"/>
        <v>15</v>
      </c>
      <c r="DE29" s="180">
        <f t="shared" si="32"/>
        <v>5.3</v>
      </c>
      <c r="DF29" s="181">
        <f t="shared" si="32"/>
        <v>1.3043478260869565</v>
      </c>
      <c r="DG29" s="182">
        <f t="shared" si="32"/>
        <v>43372</v>
      </c>
      <c r="DH29" s="111">
        <f t="shared" si="32"/>
        <v>0</v>
      </c>
      <c r="DI29" s="178">
        <f t="shared" si="32"/>
        <v>44317</v>
      </c>
      <c r="DJ29" s="179">
        <f t="shared" si="32"/>
        <v>62.8</v>
      </c>
      <c r="DK29" s="180">
        <f t="shared" si="32"/>
        <v>2.8</v>
      </c>
      <c r="DL29" s="180">
        <f t="shared" si="32"/>
        <v>2.2000000000000002</v>
      </c>
      <c r="DM29" s="180">
        <f t="shared" si="32"/>
        <v>6</v>
      </c>
      <c r="DN29" s="180">
        <f t="shared" si="32"/>
        <v>40</v>
      </c>
      <c r="DO29" s="180">
        <f t="shared" si="51"/>
        <v>5</v>
      </c>
      <c r="DP29" s="181">
        <f t="shared" si="51"/>
        <v>0.78571428571428581</v>
      </c>
      <c r="DQ29" s="182">
        <f t="shared" si="51"/>
        <v>91102</v>
      </c>
    </row>
    <row r="30" spans="1:121" ht="19" customHeight="1" x14ac:dyDescent="0.35">
      <c r="A30" s="166">
        <f>BSP!A30</f>
        <v>44348</v>
      </c>
      <c r="B30" s="167">
        <f>IFERROR((BSP!B30*BSP!I30+BSL!B30*BSL!I30+DSP!B30*DSP!I30+RSP!B30*RSP!I30+ISP!B30*ISP!I30)/(BSP!I30+BSL!I30+DSP!I30+RSP!I30+ISP!I30),)</f>
        <v>60.96159389283283</v>
      </c>
      <c r="C30" s="168">
        <f>IFERROR((BSP!C30*BSP!I30+BSL!C30*BSL!I30+DSP!C30*DSP!I30+RSP!C30*RSP!I30+ISP!C30*ISP!I30)/(BSP!I30+BSL!I30+DSP!I30+RSP!I30+ISP!I30),)</f>
        <v>7.2179827547084185</v>
      </c>
      <c r="D30" s="168">
        <f>IFERROR((BSP!D30*BSP!I30+BSL!D30*BSL!I30+DSP!D30*DSP!I30+RSP!D30*RSP!I30+ISP!D30*ISP!I30)/(BSP!I30+BSL!I30+DSP!I30+RSP!I30+ISP!I30),)</f>
        <v>1.3681665532108009</v>
      </c>
      <c r="E30" s="168">
        <f>IFERROR((BSP!E30*BSP!I30+BSL!E30*BSL!I30+DSP!E30*DSP!I30+RSP!E30*RSP!I30+ISP!E30*ISP!I30)/(IF(BSP!F30&gt;0,BSP!I30,0)+IF(BSL!F30&gt;0,BSL!I30,0)+IF(DSP!F30&gt;0,DSP!I30,0)+IF(RSP!F30&gt;0,RSP!I30,0)+IF(ISP!F30&gt;0,ISP!I30,0)),)</f>
        <v>15.466614476968459</v>
      </c>
      <c r="F30" s="168">
        <f>IFERROR((BSP!F30*BSP!I30+BSL!F30*BSL!I30+DSP!F30*DSP!I30+RSP!F30*RSP!I30+ISP!F30*ISP!I30)/(IF(BSP!F30&gt;0,BSP!I30,0)+IF(BSL!F30&gt;0,BSL!I30,0)+IF(DSP!F30&gt;0,DSP!I30,0)+IF(RSP!F30&gt;0,RSP!I30,0)+IF(ISP!F30&gt;0,ISP!I30,0)),)</f>
        <v>4.239719926091607</v>
      </c>
      <c r="G30" s="168">
        <f t="shared" si="37"/>
        <v>8.5861493079192197</v>
      </c>
      <c r="H30" s="169">
        <f t="shared" si="38"/>
        <v>0.18954971211566302</v>
      </c>
      <c r="I30" s="170">
        <f>(BSP!I30+BSL!I30+DSP!I30+RSP!I30+ISP!I30)</f>
        <v>92547</v>
      </c>
      <c r="J30" s="119"/>
      <c r="K30" s="166">
        <f>BSP!K30</f>
        <v>44348</v>
      </c>
      <c r="L30" s="167">
        <f>IFERROR((BSP!L30*BSP!S30+BSL!L30*BSL!S30+DSP!L30*DSP!S30+RSP!L30*RSP!S30+ISP!L30*ISP!S30)/(BSP!S30+BSL!S30+DSP!S30+RSP!S30+ISP!S30),)</f>
        <v>61.546347326874773</v>
      </c>
      <c r="M30" s="168">
        <f>IFERROR((BSP!M30*BSP!S30+BSL!M30*BSL!S30+DSP!M30*DSP!S30+RSP!M30*RSP!S30+ISP!M30*ISP!S30)/(BSP!S30+BSL!S30+DSP!S30+RSP!S30+ISP!S30),)</f>
        <v>5.5274129888769288</v>
      </c>
      <c r="N30" s="168">
        <f>IFERROR((BSP!N30*BSP!S30+BSL!N30*BSL!S30+DSP!N30*DSP!S30+RSP!N30*RSP!S30+ISP!N30*ISP!S30)/(BSP!S30+BSL!S30+DSP!S30+RSP!S30+ISP!S30),)</f>
        <v>2.047717976318622</v>
      </c>
      <c r="O30" s="168">
        <f>IFERROR((BSP!O30*BSP!S30+BSL!O30*BSL!S30+DSP!O30*DSP!S30+RSP!O30*RSP!S30+ISP!O30*ISP!S30)/(IF(BSP!P30&gt;0,BSP!S30,0)+IF(BSL!P30&gt;0,BSL!S30,0)+IF(DSP!P30&gt;0,DSP!S30,0)+IF(RSP!P30&gt;0,RSP!S30,0)+IF(ISP!P30&gt;0,ISP!S30,0)),)</f>
        <v>7.0255615357014713</v>
      </c>
      <c r="P30" s="168">
        <f>IFERROR((BSP!P30*BSP!S30+BSL!P30*BSL!S30+DSP!P30*DSP!S30+RSP!P30*RSP!S30+ISP!P30*ISP!S30)/(IF(BSP!P30&gt;0,BSP!S30,0)+IF(BSL!P30&gt;0,BSL!S30,0)+IF(DSP!P30&gt;0,DSP!S30,0)+IF(RSP!P30&gt;0,RSP!S30,0)+IF(ISP!P30&gt;0,ISP!S30,0)),)</f>
        <v>42.571851453175455</v>
      </c>
      <c r="Q30" s="168">
        <f t="shared" si="39"/>
        <v>7.5751309651955507</v>
      </c>
      <c r="R30" s="169">
        <f t="shared" si="40"/>
        <v>0.37046589072308156</v>
      </c>
      <c r="S30" s="170">
        <f>(BSP!S30+BSL!S30+DSP!S30+RSP!S30+ISP!S30)</f>
        <v>214599</v>
      </c>
      <c r="U30" s="172">
        <f t="shared" si="34"/>
        <v>44348</v>
      </c>
      <c r="V30" s="167">
        <f>IFERROR((BSP!V30*BSP!AC30+BSL!V30*BSL!AC30+DSP!V30*DSP!AC30+RSP!V30*RSP!AC30+ISP!V30*ISP!AC30)/(BSP!AC30+BSL!AC30+DSP!AC30+RSP!AC30+ISP!AC30),)</f>
        <v>61.333434416415507</v>
      </c>
      <c r="W30" s="168">
        <f>IFERROR((BSP!W30*BSP!AC30+BSL!W30*BSL!AC30+DSP!W30*DSP!AC30+RSP!W30*RSP!AC30+ISP!W30*ISP!AC30)/(BSP!AC30+BSL!AC30+DSP!AC30+RSP!AC30+ISP!AC30),)</f>
        <v>3.8025512984600143</v>
      </c>
      <c r="X30" s="168">
        <f>IFERROR((BSP!X30*BSP!AC30+BSL!X30*BSL!AC30+DSP!X30*DSP!AC30+RSP!X30*RSP!AC30+ISP!X30*ISP!AC30)/(BSP!AC30+BSL!AC30+DSP!AC30+RSP!AC30+ISP!AC30),)</f>
        <v>3.6249331158911691</v>
      </c>
      <c r="Y30" s="168">
        <f>IFERROR((BSP!Y30*BSP!AC30+BSL!Y30*BSL!AC30+DSP!Y30*DSP!AC30+RSP!Y30*RSP!AC30+ISP!Y30*ISP!AC30)/(IF(BSP!Z30&gt;0,BSP!AC30,0)+IF(BSL!Z30&gt;0,BSL!AC30,0)+IF(DSP!Z30&gt;0,DSP!AC30,0)+IF(RSP!Z30&gt;0,RSP!AC30,0)+IF(ISP!Z30&gt;0,ISP!AC30,0)),)</f>
        <v>17.976003880929774</v>
      </c>
      <c r="Z30" s="168">
        <f>IFERROR((BSP!Z30*BSP!AC30+BSL!Z30*BSL!AC30+DSP!Z30*DSP!AC30+RSP!Z30*RSP!AC30+ISP!Z30*ISP!AC30)/(IF(BSP!Z30&gt;0,BSP!AC30,0)+IF(BSL!Z30&gt;0,BSL!AC30,0)+IF(DSP!Z30&gt;0,DSP!AC30,0)+IF(RSP!Z30&gt;0,RSP!AC30,0)+IF(ISP!Z30&gt;0,ISP!AC30,0)),)</f>
        <v>23.06315841625036</v>
      </c>
      <c r="AA30" s="168">
        <f t="shared" si="41"/>
        <v>7.4274844143511833</v>
      </c>
      <c r="AB30" s="169">
        <f t="shared" si="42"/>
        <v>0.95328973401600703</v>
      </c>
      <c r="AC30" s="170">
        <f>(BSP!AC30+BSL!AC30+DSP!AC30+RSP!AC30+ISP!AC30)</f>
        <v>48442</v>
      </c>
      <c r="AD30" s="171"/>
      <c r="AE30" s="172">
        <f t="shared" si="35"/>
        <v>44348</v>
      </c>
      <c r="AF30" s="167">
        <f>IFERROR((BSP!AF30*BSP!AM30+BSL!AF30*BSL!AM30+DSP!AF30*DSP!AM30+RSP!AF30*RSP!AM30+ISP!AF30*ISP!AM30)/(BSP!AM30+BSL!AM30+DSP!AM30+RSP!AM30+ISP!AM30),)</f>
        <v>59.9</v>
      </c>
      <c r="AG30" s="168">
        <f>IFERROR((BSP!AG30*BSP!AM30+BSL!AG30*BSL!AM30+DSP!AG30*DSP!AM30+RSP!AG30*RSP!AM30+ISP!AG30*ISP!AM30)/(BSP!AM30+BSL!AM30+DSP!AM30+RSP!AM30+ISP!AM30),)</f>
        <v>5.32</v>
      </c>
      <c r="AH30" s="168">
        <f>IFERROR((BSP!AH30*BSP!AM30+BSL!AH30*BSL!AM30+DSP!AH30*DSP!AM30+RSP!AH30*RSP!AM30+ISP!AH30*ISP!AM30)/(BSP!AM30+BSL!AM30+DSP!AM30+RSP!AM30+ISP!AM30),)</f>
        <v>3.85</v>
      </c>
      <c r="AI30" s="168">
        <f>IFERROR((BSP!AI30*BSP!AM30+BSL!AI30*BSL!AM30+DSP!AI30*DSP!AM30+RSP!AI30*RSP!AM30+ISP!AI30*ISP!AM30)/(IF(BSP!AJ30&gt;0,BSP!AM30,0)+IF(BSL!AJ30&gt;0,BSL!AM30,0)+IF(DSP!AJ30&gt;0,DSP!AM30,0)+IF(RSP!AJ30&gt;0,RSP!AM30,0)+IF(ISP!AJ30&gt;0,ISP!AM30,0)),)</f>
        <v>7.3</v>
      </c>
      <c r="AJ30" s="168">
        <f>IFERROR((BSP!AJ30*BSP!AM30+BSL!AJ30*BSL!AM30+DSP!AJ30*DSP!AM30+RSP!AJ30*RSP!AM30+ISP!AJ30*ISP!AM30)/(IF(BSP!AJ30&gt;0,BSP!AM30,0)+IF(BSL!AJ30&gt;0,BSL!AM30,0)+IF(DSP!AJ30&gt;0,DSP!AM30,0)+IF(RSP!AJ30&gt;0,RSP!AM30,0)+IF(ISP!AJ30&gt;0,ISP!AM30,0)),)</f>
        <v>40.299999999999997</v>
      </c>
      <c r="AK30" s="168">
        <f t="shared" si="43"/>
        <v>9.17</v>
      </c>
      <c r="AL30" s="169">
        <f t="shared" si="44"/>
        <v>0.72368421052631582</v>
      </c>
      <c r="AM30" s="170">
        <f>(BSP!AM30+BSL!AM30+DSP!AM30+RSP!AM30+ISP!AM30)</f>
        <v>54345</v>
      </c>
      <c r="AO30" s="172">
        <f t="shared" si="36"/>
        <v>44348</v>
      </c>
      <c r="AP30" s="167">
        <f>IFERROR((BSP!AP30*BSP!AW30+BSL!AP30*BSL!AW30+DSP!AP30*DSP!AW30+RSP!AP30*RSP!AW30+ISP!AP30*ISP!AW30)/(BSP!AW30+BSL!AW30+DSP!AW30+RSP!AW30+ISP!AW30),)</f>
        <v>63.17</v>
      </c>
      <c r="AQ30" s="168">
        <f>IFERROR((BSP!AQ30*BSP!AW30+BSL!AQ30*BSL!AW30+DSP!AQ30*DSP!AW30+RSP!AQ30*RSP!AW30+ISP!AQ30*ISP!AW30)/(BSP!AW30+BSL!AW30+DSP!AW30+RSP!AW30+ISP!AW30),)</f>
        <v>2.46</v>
      </c>
      <c r="AR30" s="168">
        <f>IFERROR((BSP!AR30*BSP!AW30+BSL!AR30*BSL!AW30+DSP!AR30*DSP!AW30+RSP!AR30*RSP!AW30+ISP!AR30*ISP!AW30)/(BSP!AW30+BSL!AW30+DSP!AW30+RSP!AW30+ISP!AW30),)</f>
        <v>2.2799999999999998</v>
      </c>
      <c r="AS30" s="168">
        <f>IFERROR((BSP!AS30*BSP!AW30+BSL!AS30*BSL!AW30+DSP!AS30*DSP!AW30+RSP!AS30*RSP!AW30+ISP!AS30*ISP!AW30)/(IF(BSP!AT30&gt;0,BSP!AW30,0)+IF(BSL!AT30&gt;0,BSL!AW30,0)+IF(DSP!AT30&gt;0,DSP!AW30,0)+IF(RSP!AT30&gt;0,RSP!AW30,0)+IF(ISP!AT30&gt;0,ISP!AW30,0)),)</f>
        <v>5</v>
      </c>
      <c r="AT30" s="168">
        <f>IFERROR((BSP!AT30*BSP!AW30+BSL!AT30*BSL!AW30+DSP!AT30*DSP!AW30+RSP!AT30*RSP!AW30+ISP!AT30*ISP!AW30)/(IF(BSP!AT30&gt;0,BSP!AW30,0)+IF(BSL!AT30&gt;0,BSL!AW30,0)+IF(DSP!AT30&gt;0,DSP!AW30,0)+IF(RSP!AT30&gt;0,RSP!AW30,0)+IF(ISP!AT30&gt;0,ISP!AW30,0)),)</f>
        <v>11.9</v>
      </c>
      <c r="AU30" s="168">
        <f t="shared" si="45"/>
        <v>4.74</v>
      </c>
      <c r="AV30" s="169">
        <f t="shared" si="46"/>
        <v>0.92682926829268286</v>
      </c>
      <c r="AW30" s="170">
        <f>(BSP!AW30+BSL!AW30+DSP!AW30+RSP!AW30+ISP!AW30)</f>
        <v>55378.5</v>
      </c>
      <c r="AY30" s="172">
        <f t="shared" si="52"/>
        <v>44348</v>
      </c>
      <c r="AZ30" s="167">
        <f>IFERROR((BSP!AZ30*BSP!BG30+BSL!AZ30*BSL!BG30+DSP!AZ30*DSP!BG30+RSP!AZ30*RSP!BG30+ISP!AZ30*ISP!BG30)/(BSP!BG30+BSL!BG30+DSP!BG30+RSP!BG30+ISP!BG30),)</f>
        <v>62.92</v>
      </c>
      <c r="BA30" s="168">
        <f>IFERROR((BSP!BA30*BSP!BG30+BSL!BA30*BSL!BG30+DSP!BA30*DSP!BG30+RSP!BA30*RSP!BG30+ISP!BA30*ISP!BG30)/(BSP!BG30+BSL!BG30+DSP!BG30+RSP!BG30+ISP!BG30),)</f>
        <v>2.69</v>
      </c>
      <c r="BB30" s="168">
        <f>IFERROR((BSP!BB30*BSP!BG30+BSL!BB30*BSL!BG30+DSP!BB30*DSP!BG30+RSP!BB30*RSP!BG30+ISP!BB30*ISP!BG30)/(BSP!BG30+BSL!BG30+DSP!BG30+RSP!BG30+ISP!BG30),)</f>
        <v>2.2400000000000002</v>
      </c>
      <c r="BC30" s="168">
        <f>IFERROR((BSP!BC30*BSP!BG30+BSL!BC30*BSL!BG30+DSP!BC30*DSP!BG30+RSP!BC30*RSP!BG30+ISP!BC30*ISP!BG30)/(IF(BSP!BD30&gt;0,BSP!BG30,0)+IF(BSL!BD30&gt;0,BSL!BG30,0)+IF(DSP!BD30&gt;0,DSP!BG30,0)+IF(RSP!BD30&gt;0,RSP!BG30,0)+IF(ISP!BD30&gt;0,ISP!BG30,0)),)</f>
        <v>4</v>
      </c>
      <c r="BD30" s="168">
        <f>IFERROR((BSP!BD30*BSP!BG30+BSL!BD30*BSL!BG30+DSP!BD30*DSP!BG30+RSP!BD30*RSP!BG30+ISP!BD30*ISP!BG30)/(IF(BSP!BD30&gt;0,BSP!BG30,0)+IF(BSL!BD30&gt;0,BSL!BG30,0)+IF(DSP!BD30&gt;0,DSP!BG30,0)+IF(RSP!BD30&gt;0,RSP!BG30,0)+IF(ISP!BD30&gt;0,ISP!BG30,0)),)</f>
        <v>37.6</v>
      </c>
      <c r="BE30" s="168">
        <f t="shared" si="47"/>
        <v>4.93</v>
      </c>
      <c r="BF30" s="169">
        <f t="shared" si="48"/>
        <v>0.83271375464684028</v>
      </c>
      <c r="BG30" s="170">
        <f>(BSP!BG30+BSL!BG30+DSP!BG30+RSP!BG30+ISP!BG30)</f>
        <v>40694.300000000003</v>
      </c>
      <c r="BK30" s="178">
        <f t="shared" si="28"/>
        <v>44348</v>
      </c>
      <c r="BL30" s="179">
        <f t="shared" si="28"/>
        <v>61.567768683274025</v>
      </c>
      <c r="BM30" s="180">
        <f t="shared" si="28"/>
        <v>4.6332574905292168</v>
      </c>
      <c r="BN30" s="180">
        <f t="shared" si="28"/>
        <v>2.4764331305246241</v>
      </c>
      <c r="BO30" s="180">
        <f t="shared" si="28"/>
        <v>10.820847204683734</v>
      </c>
      <c r="BP30" s="180">
        <f t="shared" si="28"/>
        <v>29.852249339915048</v>
      </c>
      <c r="BQ30" s="180">
        <f t="shared" si="28"/>
        <v>7.1096906210538409</v>
      </c>
      <c r="BR30" s="181">
        <f t="shared" si="28"/>
        <v>0.53449071966897366</v>
      </c>
      <c r="BS30" s="182">
        <f t="shared" si="28"/>
        <v>87110</v>
      </c>
      <c r="BT30" s="231">
        <f t="shared" si="28"/>
        <v>0</v>
      </c>
      <c r="BU30" s="178">
        <f t="shared" si="28"/>
        <v>44348</v>
      </c>
      <c r="BV30" s="179">
        <f t="shared" si="28"/>
        <v>60.567640841142349</v>
      </c>
      <c r="BW30" s="180">
        <f t="shared" si="28"/>
        <v>5.8362266659229505</v>
      </c>
      <c r="BX30" s="180">
        <f t="shared" si="28"/>
        <v>2.8628400639595415</v>
      </c>
      <c r="BY30" s="180">
        <f t="shared" si="28"/>
        <v>6.7289254239178939</v>
      </c>
      <c r="BZ30" s="180">
        <f t="shared" si="28"/>
        <v>41.104126691952992</v>
      </c>
      <c r="CA30" s="180">
        <f t="shared" si="49"/>
        <v>8.6990667298824924</v>
      </c>
      <c r="CB30" s="181">
        <f t="shared" si="49"/>
        <v>0.49052927993275725</v>
      </c>
      <c r="CC30" s="182">
        <f t="shared" si="49"/>
        <v>215136</v>
      </c>
      <c r="CD30" s="104">
        <f t="shared" si="20"/>
        <v>0</v>
      </c>
      <c r="CE30" s="178">
        <f t="shared" si="30"/>
        <v>44348</v>
      </c>
      <c r="CF30" s="179">
        <f t="shared" si="30"/>
        <v>60.96159389283283</v>
      </c>
      <c r="CG30" s="180">
        <f t="shared" si="30"/>
        <v>7.2179827547084185</v>
      </c>
      <c r="CH30" s="180">
        <f t="shared" si="30"/>
        <v>1.3681665532108009</v>
      </c>
      <c r="CI30" s="180">
        <f t="shared" si="30"/>
        <v>15.466614476968459</v>
      </c>
      <c r="CJ30" s="180">
        <f t="shared" si="30"/>
        <v>4.239719926091607</v>
      </c>
      <c r="CK30" s="180">
        <f t="shared" si="30"/>
        <v>8.5861493079192197</v>
      </c>
      <c r="CL30" s="181">
        <f t="shared" si="30"/>
        <v>0.18954971211566302</v>
      </c>
      <c r="CM30" s="182">
        <f t="shared" si="30"/>
        <v>92547</v>
      </c>
      <c r="CN30" s="109">
        <f t="shared" si="30"/>
        <v>0</v>
      </c>
      <c r="CO30" s="178">
        <f t="shared" si="30"/>
        <v>44348</v>
      </c>
      <c r="CP30" s="179">
        <f t="shared" si="30"/>
        <v>61.546347326874773</v>
      </c>
      <c r="CQ30" s="180">
        <f t="shared" si="30"/>
        <v>5.5274129888769288</v>
      </c>
      <c r="CR30" s="180">
        <f t="shared" si="30"/>
        <v>2.047717976318622</v>
      </c>
      <c r="CS30" s="180">
        <f t="shared" si="30"/>
        <v>7.0255615357014713</v>
      </c>
      <c r="CT30" s="180">
        <f t="shared" si="30"/>
        <v>42.571851453175455</v>
      </c>
      <c r="CU30" s="180">
        <f t="shared" si="50"/>
        <v>7.5751309651955507</v>
      </c>
      <c r="CV30" s="181">
        <f t="shared" si="50"/>
        <v>0.37046589072308156</v>
      </c>
      <c r="CW30" s="182">
        <f t="shared" si="50"/>
        <v>214599</v>
      </c>
      <c r="CX30" s="111">
        <f t="shared" si="2"/>
        <v>0</v>
      </c>
      <c r="CY30" s="178">
        <f t="shared" si="32"/>
        <v>44348</v>
      </c>
      <c r="CZ30" s="179">
        <f t="shared" si="32"/>
        <v>62.72</v>
      </c>
      <c r="DA30" s="180">
        <f t="shared" si="32"/>
        <v>2.94</v>
      </c>
      <c r="DB30" s="180">
        <f t="shared" si="32"/>
        <v>2.48</v>
      </c>
      <c r="DC30" s="180">
        <f t="shared" si="32"/>
        <v>6.7</v>
      </c>
      <c r="DD30" s="180">
        <f t="shared" si="32"/>
        <v>16.2</v>
      </c>
      <c r="DE30" s="180">
        <f t="shared" si="32"/>
        <v>5.42</v>
      </c>
      <c r="DF30" s="181">
        <f t="shared" si="32"/>
        <v>0.84353741496598644</v>
      </c>
      <c r="DG30" s="182">
        <f t="shared" si="32"/>
        <v>33330</v>
      </c>
      <c r="DH30" s="111">
        <f t="shared" si="32"/>
        <v>0</v>
      </c>
      <c r="DI30" s="178">
        <f t="shared" si="32"/>
        <v>44348</v>
      </c>
      <c r="DJ30" s="179">
        <f t="shared" si="32"/>
        <v>62.38000000000001</v>
      </c>
      <c r="DK30" s="180">
        <f t="shared" si="32"/>
        <v>3.06</v>
      </c>
      <c r="DL30" s="180">
        <f t="shared" si="32"/>
        <v>2.67</v>
      </c>
      <c r="DM30" s="180">
        <f t="shared" si="32"/>
        <v>4</v>
      </c>
      <c r="DN30" s="180">
        <f t="shared" si="32"/>
        <v>37.5</v>
      </c>
      <c r="DO30" s="180">
        <f t="shared" si="51"/>
        <v>5.73</v>
      </c>
      <c r="DP30" s="181">
        <f t="shared" si="51"/>
        <v>0.87254901960784315</v>
      </c>
      <c r="DQ30" s="182">
        <f t="shared" si="51"/>
        <v>80261</v>
      </c>
    </row>
    <row r="31" spans="1:121" ht="19" customHeight="1" x14ac:dyDescent="0.35">
      <c r="A31" s="166">
        <f>BSP!A31</f>
        <v>44378</v>
      </c>
      <c r="B31" s="167">
        <f>IFERROR((BSP!B31*BSP!I31+BSL!B31*BSL!I31+DSP!B31*DSP!I31+RSP!B31*RSP!I31+ISP!B31*ISP!I31)/(BSP!I31+BSL!I31+DSP!I31+RSP!I31+ISP!I31),)</f>
        <v>62.776760467053805</v>
      </c>
      <c r="C31" s="168">
        <f>IFERROR((BSP!C31*BSP!I31+BSL!C31*BSL!I31+DSP!C31*DSP!I31+RSP!C31*RSP!I31+ISP!C31*ISP!I31)/(BSP!I31+BSL!I31+DSP!I31+RSP!I31+ISP!I31),)</f>
        <v>4.1416872878299902</v>
      </c>
      <c r="D31" s="168">
        <f>IFERROR((BSP!D31*BSP!I31+BSL!D31*BSL!I31+DSP!D31*DSP!I31+RSP!D31*RSP!I31+ISP!D31*ISP!I31)/(BSP!I31+BSL!I31+DSP!I31+RSP!I31+ISP!I31),)</f>
        <v>1.7760516793295116</v>
      </c>
      <c r="E31" s="168">
        <f>IFERROR((BSP!E31*BSP!I31+BSL!E31*BSL!I31+DSP!E31*DSP!I31+RSP!E31*RSP!I31+ISP!E31*ISP!I31)/(IF(BSP!F31&gt;0,BSP!I31,0)+IF(BSL!F31&gt;0,BSL!I31,0)+IF(DSP!F31&gt;0,DSP!I31,0)+IF(RSP!F31&gt;0,RSP!I31,0)+IF(ISP!F31&gt;0,ISP!I31,0)),)</f>
        <v>3.6284922717268304</v>
      </c>
      <c r="F31" s="168">
        <f>IFERROR((BSP!F31*BSP!I31+BSL!F31*BSL!I31+DSP!F31*DSP!I31+RSP!F31*RSP!I31+ISP!F31*ISP!I31)/(IF(BSP!F31&gt;0,BSP!I31,0)+IF(BSL!F31&gt;0,BSL!I31,0)+IF(DSP!F31&gt;0,DSP!I31,0)+IF(RSP!F31&gt;0,RSP!I31,0)+IF(ISP!F31&gt;0,ISP!I31,0)),)</f>
        <v>15.40561260398662</v>
      </c>
      <c r="G31" s="168">
        <f t="shared" si="37"/>
        <v>5.9177389671595018</v>
      </c>
      <c r="H31" s="169">
        <f t="shared" si="38"/>
        <v>0.4288232200794817</v>
      </c>
      <c r="I31" s="170">
        <f>(BSP!I31+BSL!I31+DSP!I31+RSP!I31+ISP!I31)</f>
        <v>80419</v>
      </c>
      <c r="J31" s="119"/>
      <c r="K31" s="166">
        <f>BSP!K31</f>
        <v>44378</v>
      </c>
      <c r="L31" s="167">
        <f>IFERROR((BSP!L31*BSP!S31+BSL!L31*BSL!S31+DSP!L31*DSP!S31+RSP!L31*RSP!S31+ISP!L31*ISP!S31)/(BSP!S31+BSL!S31+DSP!S31+RSP!S31+ISP!S31),)</f>
        <v>62.502908503637514</v>
      </c>
      <c r="M31" s="168">
        <f>IFERROR((BSP!M31*BSP!S31+BSL!M31*BSL!S31+DSP!M31*DSP!S31+RSP!M31*RSP!S31+ISP!M31*ISP!S31)/(BSP!S31+BSL!S31+DSP!S31+RSP!S31+ISP!S31),)</f>
        <v>4.1599927982784868</v>
      </c>
      <c r="N31" s="168">
        <f>IFERROR((BSP!N31*BSP!S31+BSL!N31*BSL!S31+DSP!N31*DSP!S31+RSP!N31*RSP!S31+ISP!N31*ISP!S31)/(BSP!S31+BSL!S31+DSP!S31+RSP!S31+ISP!S31),)</f>
        <v>2.1660685069149466</v>
      </c>
      <c r="O31" s="168">
        <f>IFERROR((BSP!O31*BSP!S31+BSL!O31*BSL!S31+DSP!O31*DSP!S31+RSP!O31*RSP!S31+ISP!O31*ISP!S31)/(IF(BSP!P31&gt;0,BSP!S31,0)+IF(BSL!P31&gt;0,BSL!S31,0)+IF(DSP!P31&gt;0,DSP!S31,0)+IF(RSP!P31&gt;0,RSP!S31,0)+IF(ISP!P31&gt;0,ISP!S31,0)),)</f>
        <v>8.4372041364618422</v>
      </c>
      <c r="P31" s="168">
        <f>IFERROR((BSP!P31*BSP!S31+BSL!P31*BSL!S31+DSP!P31*DSP!S31+RSP!P31*RSP!S31+ISP!P31*ISP!S31)/(IF(BSP!P31&gt;0,BSP!S31,0)+IF(BSL!P31&gt;0,BSL!S31,0)+IF(DSP!P31&gt;0,DSP!S31,0)+IF(RSP!P31&gt;0,RSP!S31,0)+IF(ISP!P31&gt;0,ISP!S31,0)),)</f>
        <v>41.813032959735047</v>
      </c>
      <c r="Q31" s="168">
        <f t="shared" si="39"/>
        <v>6.3260613051934333</v>
      </c>
      <c r="R31" s="169">
        <f t="shared" si="40"/>
        <v>0.52069044634195571</v>
      </c>
      <c r="S31" s="170">
        <f>(BSP!S31+BSL!S31+DSP!S31+RSP!S31+ISP!S31)</f>
        <v>231889</v>
      </c>
      <c r="U31" s="172">
        <f t="shared" si="34"/>
        <v>44378</v>
      </c>
      <c r="V31" s="167">
        <f>IFERROR((BSP!V31*BSP!AC31+BSL!V31*BSL!AC31+DSP!V31*DSP!AC31+RSP!V31*RSP!AC31+ISP!V31*ISP!AC31)/(BSP!AC31+BSL!AC31+DSP!AC31+RSP!AC31+ISP!AC31),)</f>
        <v>60.531450559886046</v>
      </c>
      <c r="W31" s="168">
        <f>IFERROR((BSP!W31*BSP!AC31+BSL!W31*BSL!AC31+DSP!W31*DSP!AC31+RSP!W31*RSP!AC31+ISP!W31*ISP!AC31)/(BSP!AC31+BSL!AC31+DSP!AC31+RSP!AC31+ISP!AC31),)</f>
        <v>5.3071459660507259</v>
      </c>
      <c r="X31" s="168">
        <f>IFERROR((BSP!X31*BSP!AC31+BSL!X31*BSL!AC31+DSP!X31*DSP!AC31+RSP!X31*RSP!AC31+ISP!X31*ISP!AC31)/(BSP!AC31+BSL!AC31+DSP!AC31+RSP!AC31+ISP!AC31),)</f>
        <v>3.1669105369366517</v>
      </c>
      <c r="Y31" s="168">
        <f>IFERROR((BSP!Y31*BSP!AC31+BSL!Y31*BSL!AC31+DSP!Y31*DSP!AC31+RSP!Y31*RSP!AC31+ISP!Y31*ISP!AC31)/(IF(BSP!Z31&gt;0,BSP!AC31,0)+IF(BSL!Z31&gt;0,BSL!AC31,0)+IF(DSP!Z31&gt;0,DSP!AC31,0)+IF(RSP!Z31&gt;0,RSP!AC31,0)+IF(ISP!Z31&gt;0,ISP!AC31,0)),)</f>
        <v>16.083461599335259</v>
      </c>
      <c r="Z31" s="168">
        <f>IFERROR((BSP!Z31*BSP!AC31+BSL!Z31*BSL!AC31+DSP!Z31*DSP!AC31+RSP!Z31*RSP!AC31+ISP!Z31*ISP!AC31)/(IF(BSP!Z31&gt;0,BSP!AC31,0)+IF(BSL!Z31&gt;0,BSL!AC31,0)+IF(DSP!Z31&gt;0,DSP!AC31,0)+IF(RSP!Z31&gt;0,RSP!AC31,0)+IF(ISP!Z31&gt;0,ISP!AC31,0)),)</f>
        <v>17.778775768606813</v>
      </c>
      <c r="AA31" s="168">
        <f t="shared" si="41"/>
        <v>8.4740565029873771</v>
      </c>
      <c r="AB31" s="169">
        <f t="shared" si="42"/>
        <v>0.59672572738625562</v>
      </c>
      <c r="AC31" s="170">
        <f>(BSP!AC31+BSL!AC31+DSP!AC31+RSP!AC31+ISP!AC31)</f>
        <v>50546</v>
      </c>
      <c r="AD31" s="171"/>
      <c r="AE31" s="172">
        <f t="shared" si="35"/>
        <v>44378</v>
      </c>
      <c r="AF31" s="167">
        <f>IFERROR((BSP!AF31*BSP!AM31+BSL!AF31*BSL!AM31+DSP!AF31*DSP!AM31+RSP!AF31*RSP!AM31+ISP!AF31*ISP!AM31)/(BSP!AM31+BSL!AM31+DSP!AM31+RSP!AM31+ISP!AM31),)</f>
        <v>60.45</v>
      </c>
      <c r="AG31" s="168">
        <f>IFERROR((BSP!AG31*BSP!AM31+BSL!AG31*BSL!AM31+DSP!AG31*DSP!AM31+RSP!AG31*RSP!AM31+ISP!AG31*ISP!AM31)/(BSP!AM31+BSL!AM31+DSP!AM31+RSP!AM31+ISP!AM31),)</f>
        <v>4.47</v>
      </c>
      <c r="AH31" s="168">
        <f>IFERROR((BSP!AH31*BSP!AM31+BSL!AH31*BSL!AM31+DSP!AH31*DSP!AM31+RSP!AH31*RSP!AM31+ISP!AH31*ISP!AM31)/(BSP!AM31+BSL!AM31+DSP!AM31+RSP!AM31+ISP!AM31),)</f>
        <v>3.97</v>
      </c>
      <c r="AI31" s="168">
        <f>IFERROR((BSP!AI31*BSP!AM31+BSL!AI31*BSL!AM31+DSP!AI31*DSP!AM31+RSP!AI31*RSP!AM31+ISP!AI31*ISP!AM31)/(IF(BSP!AJ31&gt;0,BSP!AM31,0)+IF(BSL!AJ31&gt;0,BSL!AM31,0)+IF(DSP!AJ31&gt;0,DSP!AM31,0)+IF(RSP!AJ31&gt;0,RSP!AM31,0)+IF(ISP!AJ31&gt;0,ISP!AM31,0)),)</f>
        <v>0</v>
      </c>
      <c r="AJ31" s="168">
        <f>IFERROR((BSP!AJ31*BSP!AM31+BSL!AJ31*BSL!AM31+DSP!AJ31*DSP!AM31+RSP!AJ31*RSP!AM31+ISP!AJ31*ISP!AM31)/(IF(BSP!AJ31&gt;0,BSP!AM31,0)+IF(BSL!AJ31&gt;0,BSL!AM31,0)+IF(DSP!AJ31&gt;0,DSP!AM31,0)+IF(RSP!AJ31&gt;0,RSP!AM31,0)+IF(ISP!AJ31&gt;0,ISP!AM31,0)),)</f>
        <v>0</v>
      </c>
      <c r="AK31" s="168">
        <f t="shared" si="43"/>
        <v>8.44</v>
      </c>
      <c r="AL31" s="169">
        <f t="shared" si="44"/>
        <v>0.88814317673378085</v>
      </c>
      <c r="AM31" s="170">
        <f>(BSP!AM31+BSL!AM31+DSP!AM31+RSP!AM31+ISP!AM31)</f>
        <v>21729</v>
      </c>
      <c r="AO31" s="172">
        <f t="shared" si="36"/>
        <v>44378</v>
      </c>
      <c r="AP31" s="167">
        <f>IFERROR((BSP!AP31*BSP!AW31+BSL!AP31*BSL!AW31+DSP!AP31*DSP!AW31+RSP!AP31*RSP!AW31+ISP!AP31*ISP!AW31)/(BSP!AW31+BSL!AW31+DSP!AW31+RSP!AW31+ISP!AW31),)</f>
        <v>63.06</v>
      </c>
      <c r="AQ31" s="168">
        <f>IFERROR((BSP!AQ31*BSP!AW31+BSL!AQ31*BSL!AW31+DSP!AQ31*DSP!AW31+RSP!AQ31*RSP!AW31+ISP!AQ31*ISP!AW31)/(BSP!AW31+BSL!AW31+DSP!AW31+RSP!AW31+ISP!AW31),)</f>
        <v>2.41</v>
      </c>
      <c r="AR31" s="168">
        <f>IFERROR((BSP!AR31*BSP!AW31+BSL!AR31*BSL!AW31+DSP!AR31*DSP!AW31+RSP!AR31*RSP!AW31+ISP!AR31*ISP!AW31)/(BSP!AW31+BSL!AW31+DSP!AW31+RSP!AW31+ISP!AW31),)</f>
        <v>2.4700000000000002</v>
      </c>
      <c r="AS31" s="168">
        <f>IFERROR((BSP!AS31*BSP!AW31+BSL!AS31*BSL!AW31+DSP!AS31*DSP!AW31+RSP!AS31*RSP!AW31+ISP!AS31*ISP!AW31)/(IF(BSP!AT31&gt;0,BSP!AW31,0)+IF(BSL!AT31&gt;0,BSL!AW31,0)+IF(DSP!AT31&gt;0,DSP!AW31,0)+IF(RSP!AT31&gt;0,RSP!AW31,0)+IF(ISP!AT31&gt;0,ISP!AW31,0)),)</f>
        <v>4.5999999999999996</v>
      </c>
      <c r="AT31" s="168">
        <f>IFERROR((BSP!AT31*BSP!AW31+BSL!AT31*BSL!AW31+DSP!AT31*DSP!AW31+RSP!AT31*RSP!AW31+ISP!AT31*ISP!AW31)/(IF(BSP!AT31&gt;0,BSP!AW31,0)+IF(BSL!AT31&gt;0,BSL!AW31,0)+IF(DSP!AT31&gt;0,DSP!AW31,0)+IF(RSP!AT31&gt;0,RSP!AW31,0)+IF(ISP!AT31&gt;0,ISP!AW31,0)),)</f>
        <v>13.1</v>
      </c>
      <c r="AU31" s="168">
        <f t="shared" si="45"/>
        <v>4.8800000000000008</v>
      </c>
      <c r="AV31" s="169">
        <f t="shared" si="46"/>
        <v>1.0248962655601659</v>
      </c>
      <c r="AW31" s="170">
        <f>(BSP!AW31+BSL!AW31+DSP!AW31+RSP!AW31+ISP!AW31)</f>
        <v>137310.6</v>
      </c>
      <c r="AY31" s="172">
        <f t="shared" si="52"/>
        <v>44378</v>
      </c>
      <c r="AZ31" s="167">
        <f>IFERROR((BSP!AZ31*BSP!BG31+BSL!AZ31*BSL!BG31+DSP!AZ31*DSP!BG31+RSP!AZ31*RSP!BG31+ISP!AZ31*ISP!BG31)/(BSP!BG31+BSL!BG31+DSP!BG31+RSP!BG31+ISP!BG31),)</f>
        <v>62.76</v>
      </c>
      <c r="BA31" s="168">
        <f>IFERROR((BSP!BA31*BSP!BG31+BSL!BA31*BSL!BG31+DSP!BA31*DSP!BG31+RSP!BA31*RSP!BG31+ISP!BA31*ISP!BG31)/(BSP!BG31+BSL!BG31+DSP!BG31+RSP!BG31+ISP!BG31),)</f>
        <v>2.72</v>
      </c>
      <c r="BB31" s="168">
        <f>IFERROR((BSP!BB31*BSP!BG31+BSL!BB31*BSL!BG31+DSP!BB31*DSP!BG31+RSP!BB31*RSP!BG31+ISP!BB31*ISP!BG31)/(BSP!BG31+BSL!BG31+DSP!BG31+RSP!BG31+ISP!BG31),)</f>
        <v>2.4300000000000002</v>
      </c>
      <c r="BC31" s="168">
        <f>IFERROR((BSP!BC31*BSP!BG31+BSL!BC31*BSL!BG31+DSP!BC31*DSP!BG31+RSP!BC31*RSP!BG31+ISP!BC31*ISP!BG31)/(IF(BSP!BD31&gt;0,BSP!BG31,0)+IF(BSL!BD31&gt;0,BSL!BG31,0)+IF(DSP!BD31&gt;0,DSP!BG31,0)+IF(RSP!BD31&gt;0,RSP!BG31,0)+IF(ISP!BD31&gt;0,ISP!BG31,0)),)</f>
        <v>3.3000000000000003</v>
      </c>
      <c r="BD31" s="168">
        <f>IFERROR((BSP!BD31*BSP!BG31+BSL!BD31*BSL!BG31+DSP!BD31*DSP!BG31+RSP!BD31*RSP!BG31+ISP!BD31*ISP!BG31)/(IF(BSP!BD31&gt;0,BSP!BG31,0)+IF(BSL!BD31&gt;0,BSL!BG31,0)+IF(DSP!BD31&gt;0,DSP!BG31,0)+IF(RSP!BD31&gt;0,RSP!BG31,0)+IF(ISP!BD31&gt;0,ISP!BG31,0)),)</f>
        <v>37</v>
      </c>
      <c r="BE31" s="168">
        <f t="shared" si="47"/>
        <v>5.15</v>
      </c>
      <c r="BF31" s="169">
        <f t="shared" si="48"/>
        <v>0.89338235294117652</v>
      </c>
      <c r="BG31" s="170">
        <f>(BSP!BG31+BSL!BG31+DSP!BG31+RSP!BG31+ISP!BG31)</f>
        <v>207253.9</v>
      </c>
      <c r="BK31" s="178">
        <f t="shared" si="28"/>
        <v>44378</v>
      </c>
      <c r="BL31" s="179">
        <f t="shared" si="28"/>
        <v>61.238201728138421</v>
      </c>
      <c r="BM31" s="180">
        <f t="shared" si="28"/>
        <v>4.9755089399141186</v>
      </c>
      <c r="BN31" s="180">
        <f t="shared" si="28"/>
        <v>2.628763110649154</v>
      </c>
      <c r="BO31" s="180">
        <f t="shared" si="28"/>
        <v>12.84</v>
      </c>
      <c r="BP31" s="180">
        <f t="shared" si="28"/>
        <v>29.49</v>
      </c>
      <c r="BQ31" s="180">
        <f t="shared" si="28"/>
        <v>7.6042720505632726</v>
      </c>
      <c r="BR31" s="181">
        <f t="shared" si="28"/>
        <v>0.52834054614210557</v>
      </c>
      <c r="BS31" s="182">
        <f t="shared" si="28"/>
        <v>95247</v>
      </c>
      <c r="BT31" s="231">
        <f t="shared" si="28"/>
        <v>0</v>
      </c>
      <c r="BU31" s="178">
        <f t="shared" si="28"/>
        <v>44378</v>
      </c>
      <c r="BV31" s="179">
        <f t="shared" si="28"/>
        <v>60.330767605833486</v>
      </c>
      <c r="BW31" s="180">
        <f t="shared" si="28"/>
        <v>6.310313270890239</v>
      </c>
      <c r="BX31" s="180">
        <f t="shared" si="28"/>
        <v>2.8411314423976632</v>
      </c>
      <c r="BY31" s="180">
        <f t="shared" si="28"/>
        <v>6.2941411396652267</v>
      </c>
      <c r="BZ31" s="180">
        <f t="shared" si="28"/>
        <v>41.832601533037817</v>
      </c>
      <c r="CA31" s="180">
        <f t="shared" si="49"/>
        <v>9.1514447132879013</v>
      </c>
      <c r="CB31" s="181">
        <f t="shared" si="49"/>
        <v>0.45023619595938785</v>
      </c>
      <c r="CC31" s="182">
        <f t="shared" si="49"/>
        <v>211606</v>
      </c>
      <c r="CD31" s="104">
        <f t="shared" si="20"/>
        <v>0</v>
      </c>
      <c r="CE31" s="178">
        <f t="shared" si="30"/>
        <v>44378</v>
      </c>
      <c r="CF31" s="179">
        <f t="shared" si="30"/>
        <v>62.776760467053805</v>
      </c>
      <c r="CG31" s="180">
        <f t="shared" si="30"/>
        <v>4.1416872878299902</v>
      </c>
      <c r="CH31" s="180">
        <f t="shared" si="30"/>
        <v>1.7760516793295116</v>
      </c>
      <c r="CI31" s="180">
        <f t="shared" si="30"/>
        <v>3.6284922717268304</v>
      </c>
      <c r="CJ31" s="180">
        <f t="shared" si="30"/>
        <v>15.40561260398662</v>
      </c>
      <c r="CK31" s="180">
        <f t="shared" si="30"/>
        <v>5.9177389671595018</v>
      </c>
      <c r="CL31" s="181">
        <f t="shared" si="30"/>
        <v>0.4288232200794817</v>
      </c>
      <c r="CM31" s="182">
        <f t="shared" si="30"/>
        <v>80419</v>
      </c>
      <c r="CN31" s="109">
        <f t="shared" si="30"/>
        <v>0</v>
      </c>
      <c r="CO31" s="178">
        <f t="shared" si="30"/>
        <v>44378</v>
      </c>
      <c r="CP31" s="179">
        <f t="shared" si="30"/>
        <v>62.502908503637514</v>
      </c>
      <c r="CQ31" s="180">
        <f t="shared" si="30"/>
        <v>4.1599927982784868</v>
      </c>
      <c r="CR31" s="180">
        <f t="shared" si="30"/>
        <v>2.1660685069149466</v>
      </c>
      <c r="CS31" s="180">
        <f t="shared" si="30"/>
        <v>8.4372041364618422</v>
      </c>
      <c r="CT31" s="180">
        <f t="shared" si="30"/>
        <v>41.813032959735047</v>
      </c>
      <c r="CU31" s="180">
        <f t="shared" si="50"/>
        <v>6.3260613051934333</v>
      </c>
      <c r="CV31" s="181">
        <f t="shared" si="50"/>
        <v>0.52069044634195571</v>
      </c>
      <c r="CW31" s="182">
        <f t="shared" si="50"/>
        <v>231889</v>
      </c>
      <c r="CX31" s="111">
        <f t="shared" si="2"/>
        <v>0</v>
      </c>
      <c r="CY31" s="178">
        <f t="shared" si="32"/>
        <v>44378</v>
      </c>
      <c r="CZ31" s="179">
        <f t="shared" si="32"/>
        <v>62.76</v>
      </c>
      <c r="DA31" s="180">
        <f t="shared" si="32"/>
        <v>2.66</v>
      </c>
      <c r="DB31" s="180">
        <f t="shared" si="32"/>
        <v>2.67</v>
      </c>
      <c r="DC31" s="180">
        <f t="shared" si="32"/>
        <v>9.6</v>
      </c>
      <c r="DD31" s="180">
        <f t="shared" si="32"/>
        <v>16.899999999999999</v>
      </c>
      <c r="DE31" s="180">
        <f t="shared" si="32"/>
        <v>5.33</v>
      </c>
      <c r="DF31" s="181">
        <f t="shared" si="32"/>
        <v>1.0037593984962405</v>
      </c>
      <c r="DG31" s="182">
        <f t="shared" si="32"/>
        <v>56042</v>
      </c>
      <c r="DH31" s="111">
        <f t="shared" si="32"/>
        <v>0</v>
      </c>
      <c r="DI31" s="178">
        <f t="shared" si="32"/>
        <v>44378</v>
      </c>
      <c r="DJ31" s="179">
        <f t="shared" si="32"/>
        <v>62.269999999999996</v>
      </c>
      <c r="DK31" s="180">
        <f t="shared" si="32"/>
        <v>3</v>
      </c>
      <c r="DL31" s="180">
        <f t="shared" si="32"/>
        <v>2.82</v>
      </c>
      <c r="DM31" s="180">
        <f t="shared" si="32"/>
        <v>0</v>
      </c>
      <c r="DN31" s="180">
        <f t="shared" si="32"/>
        <v>0</v>
      </c>
      <c r="DO31" s="180">
        <f t="shared" si="51"/>
        <v>5.82</v>
      </c>
      <c r="DP31" s="181">
        <f t="shared" si="51"/>
        <v>0.94</v>
      </c>
      <c r="DQ31" s="182">
        <f t="shared" si="51"/>
        <v>90871</v>
      </c>
    </row>
    <row r="32" spans="1:121" ht="19" customHeight="1" x14ac:dyDescent="0.35">
      <c r="A32" s="166">
        <f>BSP!A32</f>
        <v>44409</v>
      </c>
      <c r="B32" s="167">
        <f>IFERROR((BSP!B32*BSP!I32+BSL!B32*BSL!I32+DSP!B32*DSP!I32+RSP!B32*RSP!I32+ISP!B32*ISP!I32)/(BSP!I32+BSL!I32+DSP!I32+RSP!I32+ISP!I32),)</f>
        <v>62.759149158444572</v>
      </c>
      <c r="C32" s="168">
        <f>IFERROR((BSP!C32*BSP!I32+BSL!C32*BSL!I32+DSP!C32*DSP!I32+RSP!C32*RSP!I32+ISP!C32*ISP!I32)/(BSP!I32+BSL!I32+DSP!I32+RSP!I32+ISP!I32),)</f>
        <v>4.1229906611090597</v>
      </c>
      <c r="D32" s="168">
        <f>IFERROR((BSP!D32*BSP!I32+BSL!D32*BSL!I32+DSP!D32*DSP!I32+RSP!D32*RSP!I32+ISP!D32*ISP!I32)/(BSP!I32+BSL!I32+DSP!I32+RSP!I32+ISP!I32),)</f>
        <v>1.4866755658734765</v>
      </c>
      <c r="E32" s="168">
        <f>IFERROR((BSP!E32*BSP!I32+BSL!E32*BSL!I32+DSP!E32*DSP!I32+RSP!E32*RSP!I32+ISP!E32*ISP!I32)/(IF(BSP!F32&gt;0,BSP!I32,0)+IF(BSL!F32&gt;0,BSL!I32,0)+IF(DSP!F32&gt;0,DSP!I32,0)+IF(RSP!F32&gt;0,RSP!I32,0)+IF(ISP!F32&gt;0,ISP!I32,0)),)</f>
        <v>11.006181396085053</v>
      </c>
      <c r="F32" s="168">
        <f>IFERROR((BSP!F32*BSP!I32+BSL!F32*BSL!I32+DSP!F32*DSP!I32+RSP!F32*RSP!I32+ISP!F32*ISP!I32)/(IF(BSP!F32&gt;0,BSP!I32,0)+IF(BSL!F32&gt;0,BSL!I32,0)+IF(DSP!F32&gt;0,DSP!I32,0)+IF(RSP!F32&gt;0,RSP!I32,0)+IF(ISP!F32&gt;0,ISP!I32,0)),)</f>
        <v>12.46708141191368</v>
      </c>
      <c r="G32" s="168">
        <f t="shared" si="37"/>
        <v>5.6096662269825366</v>
      </c>
      <c r="H32" s="169">
        <f t="shared" si="38"/>
        <v>0.36058184169487539</v>
      </c>
      <c r="I32" s="170">
        <f>(BSP!I32+BSL!I32+DSP!I32+RSP!I32+ISP!I32)</f>
        <v>94765</v>
      </c>
      <c r="J32" s="119"/>
      <c r="K32" s="166">
        <f>BSP!K32</f>
        <v>44409</v>
      </c>
      <c r="L32" s="167">
        <f>IFERROR((BSP!L32*BSP!S32+BSL!L32*BSL!S32+DSP!L32*DSP!S32+RSP!L32*RSP!S32+ISP!L32*ISP!S32)/(BSP!S32+BSL!S32+DSP!S32+RSP!S32+ISP!S32),)</f>
        <v>61.99490439220461</v>
      </c>
      <c r="M32" s="168">
        <f>IFERROR((BSP!M32*BSP!S32+BSL!M32*BSL!S32+DSP!M32*DSP!S32+RSP!M32*RSP!S32+ISP!M32*ISP!S32)/(BSP!S32+BSL!S32+DSP!S32+RSP!S32+ISP!S32),)</f>
        <v>5.0212152572195778</v>
      </c>
      <c r="N32" s="168">
        <f>IFERROR((BSP!N32*BSP!S32+BSL!N32*BSL!S32+DSP!N32*DSP!S32+RSP!N32*RSP!S32+ISP!N32*ISP!S32)/(BSP!S32+BSL!S32+DSP!S32+RSP!S32+ISP!S32),)</f>
        <v>1.9112712959797193</v>
      </c>
      <c r="O32" s="168">
        <f>IFERROR((BSP!O32*BSP!S32+BSL!O32*BSL!S32+DSP!O32*DSP!S32+RSP!O32*RSP!S32+ISP!O32*ISP!S32)/(IF(BSP!P32&gt;0,BSP!S32,0)+IF(BSL!P32&gt;0,BSL!S32,0)+IF(DSP!P32&gt;0,DSP!S32,0)+IF(RSP!P32&gt;0,RSP!S32,0)+IF(ISP!P32&gt;0,ISP!S32,0)),)</f>
        <v>6.8267949498403064</v>
      </c>
      <c r="P32" s="168">
        <f>IFERROR((BSP!P32*BSP!S32+BSL!P32*BSL!S32+DSP!P32*DSP!S32+RSP!P32*RSP!S32+ISP!P32*ISP!S32)/(IF(BSP!P32&gt;0,BSP!S32,0)+IF(BSL!P32&gt;0,BSL!S32,0)+IF(DSP!P32&gt;0,DSP!S32,0)+IF(RSP!P32&gt;0,RSP!S32,0)+IF(ISP!P32&gt;0,ISP!S32,0)),)</f>
        <v>41.079123894026701</v>
      </c>
      <c r="Q32" s="168">
        <f t="shared" si="39"/>
        <v>6.932486553199297</v>
      </c>
      <c r="R32" s="169">
        <f t="shared" si="40"/>
        <v>0.3806391875416345</v>
      </c>
      <c r="S32" s="170">
        <f>(BSP!S32+BSL!S32+DSP!S32+RSP!S32+ISP!S32)</f>
        <v>239834</v>
      </c>
      <c r="U32" s="172">
        <f t="shared" si="34"/>
        <v>44409</v>
      </c>
      <c r="V32" s="167">
        <f>IFERROR((BSP!V32*BSP!AC32+BSL!V32*BSL!AC32+DSP!V32*DSP!AC32+RSP!V32*RSP!AC32+ISP!V32*ISP!AC32)/(BSP!AC32+BSL!AC32+DSP!AC32+RSP!AC32+ISP!AC32),)</f>
        <v>61.236706541490008</v>
      </c>
      <c r="W32" s="168">
        <f>IFERROR((BSP!W32*BSP!AC32+BSL!W32*BSL!AC32+DSP!W32*DSP!AC32+RSP!W32*RSP!AC32+ISP!W32*ISP!AC32)/(BSP!AC32+BSL!AC32+DSP!AC32+RSP!AC32+ISP!AC32),)</f>
        <v>4.3137780133252575</v>
      </c>
      <c r="X32" s="168">
        <f>IFERROR((BSP!X32*BSP!AC32+BSL!X32*BSL!AC32+DSP!X32*DSP!AC32+RSP!X32*RSP!AC32+ISP!X32*ISP!AC32)/(BSP!AC32+BSL!AC32+DSP!AC32+RSP!AC32+ISP!AC32),)</f>
        <v>3.2033403997577223</v>
      </c>
      <c r="Y32" s="168">
        <f>IFERROR((BSP!Y32*BSP!AC32+BSL!Y32*BSL!AC32+DSP!Y32*DSP!AC32+RSP!Y32*RSP!AC32+ISP!Y32*ISP!AC32)/(IF(BSP!Z32&gt;0,BSP!AC32,0)+IF(BSL!Z32&gt;0,BSL!AC32,0)+IF(DSP!Z32&gt;0,DSP!AC32,0)+IF(RSP!Z32&gt;0,RSP!AC32,0)+IF(ISP!Z32&gt;0,ISP!AC32,0)),)</f>
        <v>16.650181708055722</v>
      </c>
      <c r="Z32" s="168">
        <f>IFERROR((BSP!Z32*BSP!AC32+BSL!Z32*BSL!AC32+DSP!Z32*DSP!AC32+RSP!Z32*RSP!AC32+ISP!Z32*ISP!AC32)/(IF(BSP!Z32&gt;0,BSP!AC32,0)+IF(BSL!Z32&gt;0,BSL!AC32,0)+IF(DSP!Z32&gt;0,DSP!AC32,0)+IF(RSP!Z32&gt;0,RSP!AC32,0)+IF(ISP!Z32&gt;0,ISP!AC32,0)),)</f>
        <v>16.755239248940036</v>
      </c>
      <c r="AA32" s="168">
        <f t="shared" si="41"/>
        <v>7.5171184130829793</v>
      </c>
      <c r="AB32" s="169">
        <f t="shared" si="42"/>
        <v>0.74258350565620346</v>
      </c>
      <c r="AC32" s="170">
        <f>(BSP!AC32+BSL!AC32+DSP!AC32+RSP!AC32+ISP!AC32)</f>
        <v>46228</v>
      </c>
      <c r="AD32" s="171"/>
      <c r="AE32" s="172">
        <f t="shared" si="35"/>
        <v>44409</v>
      </c>
      <c r="AF32" s="167">
        <f>IFERROR((BSP!AF32*BSP!AM32+BSL!AF32*BSL!AM32+DSP!AF32*DSP!AM32+RSP!AF32*RSP!AM32+ISP!AF32*ISP!AM32)/(BSP!AM32+BSL!AM32+DSP!AM32+RSP!AM32+ISP!AM32),)</f>
        <v>59.925455673006901</v>
      </c>
      <c r="AG32" s="168">
        <f>IFERROR((BSP!AG32*BSP!AM32+BSL!AG32*BSL!AM32+DSP!AG32*DSP!AM32+RSP!AG32*RSP!AM32+ISP!AG32*ISP!AM32)/(BSP!AM32+BSL!AM32+DSP!AM32+RSP!AM32+ISP!AM32),)</f>
        <v>5.6636945962598721</v>
      </c>
      <c r="AH32" s="168">
        <f>IFERROR((BSP!AH32*BSP!AM32+BSL!AH32*BSL!AM32+DSP!AH32*DSP!AM32+RSP!AH32*RSP!AM32+ISP!AH32*ISP!AM32)/(BSP!AM32+BSL!AM32+DSP!AM32+RSP!AM32+ISP!AM32),)</f>
        <v>3.5741876785442792</v>
      </c>
      <c r="AI32" s="168">
        <f>IFERROR((BSP!AI32*BSP!AM32+BSL!AI32*BSL!AM32+DSP!AI32*DSP!AM32+RSP!AI32*RSP!AM32+ISP!AI32*ISP!AM32)/(IF(BSP!AJ32&gt;0,BSP!AM32,0)+IF(BSL!AJ32&gt;0,BSL!AM32,0)+IF(DSP!AJ32&gt;0,DSP!AM32,0)+IF(RSP!AJ32&gt;0,RSP!AM32,0)+IF(ISP!AJ32&gt;0,ISP!AM32,0)),)</f>
        <v>6.5972937000887306</v>
      </c>
      <c r="AJ32" s="168">
        <f>IFERROR((BSP!AJ32*BSP!AM32+BSL!AJ32*BSL!AM32+DSP!AJ32*DSP!AM32+RSP!AJ32*RSP!AM32+ISP!AJ32*ISP!AM32)/(IF(BSP!AJ32&gt;0,BSP!AM32,0)+IF(BSL!AJ32&gt;0,BSL!AM32,0)+IF(DSP!AJ32&gt;0,DSP!AM32,0)+IF(RSP!AJ32&gt;0,RSP!AM32,0)+IF(ISP!AJ32&gt;0,ISP!AM32,0)),)</f>
        <v>51.643509950564074</v>
      </c>
      <c r="AK32" s="168">
        <f t="shared" si="43"/>
        <v>9.2378822748041518</v>
      </c>
      <c r="AL32" s="169">
        <f t="shared" si="44"/>
        <v>0.63106998758452859</v>
      </c>
      <c r="AM32" s="170">
        <f>(BSP!AM32+BSL!AM32+DSP!AM32+RSP!AM32+ISP!AM32)</f>
        <v>124969</v>
      </c>
      <c r="AO32" s="172">
        <f t="shared" si="36"/>
        <v>44409</v>
      </c>
      <c r="AP32" s="167">
        <f>IFERROR((BSP!AP32*BSP!AW32+BSL!AP32*BSL!AW32+DSP!AP32*DSP!AW32+RSP!AP32*RSP!AW32+ISP!AP32*ISP!AW32)/(BSP!AW32+BSL!AW32+DSP!AW32+RSP!AW32+ISP!AW32),)</f>
        <v>62.94</v>
      </c>
      <c r="AQ32" s="168">
        <f>IFERROR((BSP!AQ32*BSP!AW32+BSL!AQ32*BSL!AW32+DSP!AQ32*DSP!AW32+RSP!AQ32*RSP!AW32+ISP!AQ32*ISP!AW32)/(BSP!AW32+BSL!AW32+DSP!AW32+RSP!AW32+ISP!AW32),)</f>
        <v>2.7</v>
      </c>
      <c r="AR32" s="168">
        <f>IFERROR((BSP!AR32*BSP!AW32+BSL!AR32*BSL!AW32+DSP!AR32*DSP!AW32+RSP!AR32*RSP!AW32+ISP!AR32*ISP!AW32)/(BSP!AW32+BSL!AW32+DSP!AW32+RSP!AW32+ISP!AW32),)</f>
        <v>2.35</v>
      </c>
      <c r="AS32" s="168">
        <f>IFERROR((BSP!AS32*BSP!AW32+BSL!AS32*BSL!AW32+DSP!AS32*DSP!AW32+RSP!AS32*RSP!AW32+ISP!AS32*ISP!AW32)/(IF(BSP!AT32&gt;0,BSP!AW32,0)+IF(BSL!AT32&gt;0,BSL!AW32,0)+IF(DSP!AT32&gt;0,DSP!AW32,0)+IF(RSP!AT32&gt;0,RSP!AW32,0)+IF(ISP!AT32&gt;0,ISP!AW32,0)),)</f>
        <v>4</v>
      </c>
      <c r="AT32" s="168">
        <f>IFERROR((BSP!AT32*BSP!AW32+BSL!AT32*BSL!AW32+DSP!AT32*DSP!AW32+RSP!AT32*RSP!AW32+ISP!AT32*ISP!AW32)/(IF(BSP!AT32&gt;0,BSP!AW32,0)+IF(BSL!AT32&gt;0,BSL!AW32,0)+IF(DSP!AT32&gt;0,DSP!AW32,0)+IF(RSP!AT32&gt;0,RSP!AW32,0)+IF(ISP!AT32&gt;0,ISP!AW32,0)),)</f>
        <v>12.6</v>
      </c>
      <c r="AU32" s="168">
        <f t="shared" si="45"/>
        <v>5.0500000000000007</v>
      </c>
      <c r="AV32" s="169">
        <f t="shared" si="46"/>
        <v>0.87037037037037035</v>
      </c>
      <c r="AW32" s="170">
        <f>(BSP!AW32+BSL!AW32+DSP!AW32+RSP!AW32+ISP!AW32)</f>
        <v>95691.4</v>
      </c>
      <c r="AY32" s="172">
        <f t="shared" si="52"/>
        <v>44409</v>
      </c>
      <c r="AZ32" s="167">
        <f>IFERROR((BSP!AZ32*BSP!BG32+BSL!AZ32*BSL!BG32+DSP!AZ32*DSP!BG32+RSP!AZ32*RSP!BG32+ISP!AZ32*ISP!BG32)/(BSP!BG32+BSL!BG32+DSP!BG32+RSP!BG32+ISP!BG32),)</f>
        <v>62.709999999999994</v>
      </c>
      <c r="BA32" s="168">
        <f>IFERROR((BSP!BA32*BSP!BG32+BSL!BA32*BSL!BG32+DSP!BA32*DSP!BG32+RSP!BA32*RSP!BG32+ISP!BA32*ISP!BG32)/(BSP!BG32+BSL!BG32+DSP!BG32+RSP!BG32+ISP!BG32),)</f>
        <v>2.85</v>
      </c>
      <c r="BB32" s="168">
        <f>IFERROR((BSP!BB32*BSP!BG32+BSL!BB32*BSL!BG32+DSP!BB32*DSP!BG32+RSP!BB32*RSP!BG32+ISP!BB32*ISP!BG32)/(BSP!BG32+BSL!BG32+DSP!BG32+RSP!BG32+ISP!BG32),)</f>
        <v>2.35</v>
      </c>
      <c r="BC32" s="168">
        <f>IFERROR((BSP!BC32*BSP!BG32+BSL!BC32*BSL!BG32+DSP!BC32*DSP!BG32+RSP!BC32*RSP!BG32+ISP!BC32*ISP!BG32)/(IF(BSP!BD32&gt;0,BSP!BG32,0)+IF(BSL!BD32&gt;0,BSL!BG32,0)+IF(DSP!BD32&gt;0,DSP!BG32,0)+IF(RSP!BD32&gt;0,RSP!BG32,0)+IF(ISP!BD32&gt;0,ISP!BG32,0)),)</f>
        <v>3.6000000000000005</v>
      </c>
      <c r="BD32" s="168">
        <f>IFERROR((BSP!BD32*BSP!BG32+BSL!BD32*BSL!BG32+DSP!BD32*DSP!BG32+RSP!BD32*RSP!BG32+ISP!BD32*ISP!BG32)/(IF(BSP!BD32&gt;0,BSP!BG32,0)+IF(BSL!BD32&gt;0,BSL!BG32,0)+IF(DSP!BD32&gt;0,DSP!BG32,0)+IF(RSP!BD32&gt;0,RSP!BG32,0)+IF(ISP!BD32&gt;0,ISP!BG32,0)),)</f>
        <v>37.299999999999997</v>
      </c>
      <c r="BE32" s="168">
        <f t="shared" si="47"/>
        <v>5.2</v>
      </c>
      <c r="BF32" s="169">
        <f t="shared" si="48"/>
        <v>0.82456140350877194</v>
      </c>
      <c r="BG32" s="170">
        <f>(BSP!BG32+BSL!BG32+DSP!BG32+RSP!BG32+ISP!BG32)</f>
        <v>181008.9</v>
      </c>
      <c r="BK32" s="178">
        <f t="shared" si="28"/>
        <v>44409</v>
      </c>
      <c r="BL32" s="179">
        <f t="shared" si="28"/>
        <v>60.835413388157541</v>
      </c>
      <c r="BM32" s="180">
        <f t="shared" si="28"/>
        <v>5.3006695155161836</v>
      </c>
      <c r="BN32" s="180">
        <f t="shared" si="28"/>
        <v>2.7369894405993347</v>
      </c>
      <c r="BO32" s="180">
        <f t="shared" si="28"/>
        <v>13.220272972885699</v>
      </c>
      <c r="BP32" s="180">
        <f t="shared" si="28"/>
        <v>25.235534697480166</v>
      </c>
      <c r="BQ32" s="180">
        <f t="shared" si="28"/>
        <v>8.0376589561155178</v>
      </c>
      <c r="BR32" s="181">
        <f t="shared" si="28"/>
        <v>0.51634787503495294</v>
      </c>
      <c r="BS32" s="182">
        <f t="shared" si="28"/>
        <v>92903</v>
      </c>
      <c r="BT32" s="231">
        <f t="shared" si="28"/>
        <v>0</v>
      </c>
      <c r="BU32" s="178">
        <f t="shared" si="28"/>
        <v>44409</v>
      </c>
      <c r="BV32" s="179">
        <f t="shared" si="28"/>
        <v>60.819511236394959</v>
      </c>
      <c r="BW32" s="180">
        <f t="shared" si="28"/>
        <v>5.7265398167723758</v>
      </c>
      <c r="BX32" s="180">
        <f t="shared" si="28"/>
        <v>2.7228953096860073</v>
      </c>
      <c r="BY32" s="180">
        <f t="shared" si="28"/>
        <v>7.1893927639466817</v>
      </c>
      <c r="BZ32" s="180">
        <f t="shared" si="28"/>
        <v>39.548521757528746</v>
      </c>
      <c r="CA32" s="180">
        <f t="shared" si="49"/>
        <v>8.4494351264583827</v>
      </c>
      <c r="CB32" s="181">
        <f t="shared" si="49"/>
        <v>0.47548701254306491</v>
      </c>
      <c r="CC32" s="182">
        <f t="shared" si="49"/>
        <v>191565</v>
      </c>
      <c r="CD32" s="104">
        <f t="shared" si="20"/>
        <v>0</v>
      </c>
      <c r="CE32" s="178">
        <f t="shared" si="30"/>
        <v>44409</v>
      </c>
      <c r="CF32" s="179">
        <f t="shared" si="30"/>
        <v>62.759149158444572</v>
      </c>
      <c r="CG32" s="180">
        <f t="shared" si="30"/>
        <v>4.1229906611090597</v>
      </c>
      <c r="CH32" s="180">
        <f t="shared" si="30"/>
        <v>1.4866755658734765</v>
      </c>
      <c r="CI32" s="180">
        <f t="shared" si="30"/>
        <v>11.006181396085053</v>
      </c>
      <c r="CJ32" s="180">
        <f t="shared" si="30"/>
        <v>12.46708141191368</v>
      </c>
      <c r="CK32" s="180">
        <f t="shared" si="30"/>
        <v>5.6096662269825366</v>
      </c>
      <c r="CL32" s="181">
        <f t="shared" si="30"/>
        <v>0.36058184169487539</v>
      </c>
      <c r="CM32" s="182">
        <f t="shared" si="30"/>
        <v>94765</v>
      </c>
      <c r="CN32" s="109">
        <f t="shared" si="30"/>
        <v>0</v>
      </c>
      <c r="CO32" s="178">
        <f t="shared" si="30"/>
        <v>44409</v>
      </c>
      <c r="CP32" s="179">
        <f t="shared" si="30"/>
        <v>61.99490439220461</v>
      </c>
      <c r="CQ32" s="180">
        <f t="shared" si="30"/>
        <v>5.0212152572195778</v>
      </c>
      <c r="CR32" s="180">
        <f t="shared" si="30"/>
        <v>1.9112712959797193</v>
      </c>
      <c r="CS32" s="180">
        <f t="shared" si="30"/>
        <v>6.8267949498403064</v>
      </c>
      <c r="CT32" s="180">
        <f t="shared" si="30"/>
        <v>41.079123894026701</v>
      </c>
      <c r="CU32" s="180">
        <f t="shared" si="50"/>
        <v>6.932486553199297</v>
      </c>
      <c r="CV32" s="181">
        <f t="shared" si="50"/>
        <v>0.3806391875416345</v>
      </c>
      <c r="CW32" s="182">
        <f t="shared" si="50"/>
        <v>239834</v>
      </c>
      <c r="CX32" s="111">
        <f t="shared" si="2"/>
        <v>0</v>
      </c>
      <c r="CY32" s="178">
        <f t="shared" si="32"/>
        <v>44409</v>
      </c>
      <c r="CZ32" s="179">
        <f t="shared" si="32"/>
        <v>62.53</v>
      </c>
      <c r="DA32" s="180">
        <f t="shared" si="32"/>
        <v>2.99</v>
      </c>
      <c r="DB32" s="180">
        <f t="shared" si="32"/>
        <v>2.79</v>
      </c>
      <c r="DC32" s="180">
        <f t="shared" si="32"/>
        <v>7.5</v>
      </c>
      <c r="DD32" s="180">
        <f t="shared" si="32"/>
        <v>16.3</v>
      </c>
      <c r="DE32" s="180">
        <f t="shared" si="32"/>
        <v>5.78</v>
      </c>
      <c r="DF32" s="181">
        <f t="shared" si="32"/>
        <v>0.93311036789297652</v>
      </c>
      <c r="DG32" s="182">
        <f t="shared" si="32"/>
        <v>29374</v>
      </c>
      <c r="DH32" s="111">
        <f t="shared" si="32"/>
        <v>0</v>
      </c>
      <c r="DI32" s="178">
        <f t="shared" si="32"/>
        <v>44409</v>
      </c>
      <c r="DJ32" s="179">
        <f t="shared" si="32"/>
        <v>62.43</v>
      </c>
      <c r="DK32" s="180">
        <f t="shared" si="32"/>
        <v>3.01</v>
      </c>
      <c r="DL32" s="180">
        <f t="shared" si="32"/>
        <v>2.5400000000000005</v>
      </c>
      <c r="DM32" s="180">
        <f t="shared" si="32"/>
        <v>0</v>
      </c>
      <c r="DN32" s="180">
        <f t="shared" si="32"/>
        <v>0</v>
      </c>
      <c r="DO32" s="180">
        <f t="shared" si="51"/>
        <v>5.5500000000000007</v>
      </c>
      <c r="DP32" s="181">
        <f t="shared" si="51"/>
        <v>0.84385382059800684</v>
      </c>
      <c r="DQ32" s="182">
        <f t="shared" si="51"/>
        <v>103429</v>
      </c>
    </row>
    <row r="33" spans="1:121" ht="19" customHeight="1" x14ac:dyDescent="0.35">
      <c r="A33" s="166">
        <f>BSP!A33</f>
        <v>44440</v>
      </c>
      <c r="B33" s="167">
        <f>IFERROR((BSP!B33*BSP!I33+BSL!B33*BSL!I33+DSP!B33*DSP!I33+RSP!B33*RSP!I33+ISP!B33*ISP!I33)/(BSP!I33+BSL!I33+DSP!I33+RSP!I33+ISP!I33),)</f>
        <v>63.772681317013962</v>
      </c>
      <c r="C33" s="168">
        <f>IFERROR((BSP!C33*BSP!I33+BSL!C33*BSL!I33+DSP!C33*DSP!I33+RSP!C33*RSP!I33+ISP!C33*ISP!I33)/(BSP!I33+BSL!I33+DSP!I33+RSP!I33+ISP!I33),)</f>
        <v>2.7079521545620073</v>
      </c>
      <c r="D33" s="168">
        <f>IFERROR((BSP!D33*BSP!I33+BSL!D33*BSL!I33+DSP!D33*DSP!I33+RSP!D33*RSP!I33+ISP!D33*ISP!I33)/(BSP!I33+BSL!I33+DSP!I33+RSP!I33+ISP!I33),)</f>
        <v>1.3888526704430511</v>
      </c>
      <c r="E33" s="168">
        <f>IFERROR((BSP!E33*BSP!I33+BSL!E33*BSL!I33+DSP!E33*DSP!I33+RSP!E33*RSP!I33+ISP!E33*ISP!I33)/(IF(BSP!F33&gt;0,BSP!I33,0)+IF(BSL!F33&gt;0,BSL!I33,0)+IF(DSP!F33&gt;0,DSP!I33,0)+IF(RSP!F33&gt;0,RSP!I33,0)+IF(ISP!F33&gt;0,ISP!I33,0)),)</f>
        <v>2.6673490289298001</v>
      </c>
      <c r="F33" s="168">
        <f>IFERROR((BSP!F33*BSP!I33+BSL!F33*BSL!I33+DSP!F33*DSP!I33+RSP!F33*RSP!I33+ISP!F33*ISP!I33)/(IF(BSP!F33&gt;0,BSP!I33,0)+IF(BSL!F33&gt;0,BSL!I33,0)+IF(DSP!F33&gt;0,DSP!I33,0)+IF(RSP!F33&gt;0,RSP!I33,0)+IF(ISP!F33&gt;0,ISP!I33,0)),)</f>
        <v>4.5840089520534084</v>
      </c>
      <c r="G33" s="168">
        <f t="shared" si="37"/>
        <v>4.0968048250050586</v>
      </c>
      <c r="H33" s="169">
        <f t="shared" si="38"/>
        <v>0.5128793239951791</v>
      </c>
      <c r="I33" s="170">
        <f>(BSP!I33+BSL!I33+DSP!I33+RSP!I33+ISP!I33)</f>
        <v>79088</v>
      </c>
      <c r="J33" s="119"/>
      <c r="K33" s="166">
        <f>BSP!K33</f>
        <v>44440</v>
      </c>
      <c r="L33" s="167">
        <f>IFERROR((BSP!L33*BSP!S33+BSL!L33*BSL!S33+DSP!L33*DSP!S33+RSP!L33*RSP!S33+ISP!L33*ISP!S33)/(BSP!S33+BSL!S33+DSP!S33+RSP!S33+ISP!S33),)</f>
        <v>62.525798516561686</v>
      </c>
      <c r="M33" s="168">
        <f>IFERROR((BSP!M33*BSP!S33+BSL!M33*BSL!S33+DSP!M33*DSP!S33+RSP!M33*RSP!S33+ISP!M33*ISP!S33)/(BSP!S33+BSL!S33+DSP!S33+RSP!S33+ISP!S33),)</f>
        <v>4.0959375127006705</v>
      </c>
      <c r="N33" s="168">
        <f>IFERROR((BSP!N33*BSP!S33+BSL!N33*BSL!S33+DSP!N33*DSP!S33+RSP!N33*RSP!S33+ISP!N33*ISP!S33)/(BSP!S33+BSL!S33+DSP!S33+RSP!S33+ISP!S33),)</f>
        <v>2.0996875635033532</v>
      </c>
      <c r="O33" s="168">
        <f>IFERROR((BSP!O33*BSP!S33+BSL!O33*BSL!S33+DSP!O33*DSP!S33+RSP!O33*RSP!S33+ISP!O33*ISP!S33)/(IF(BSP!P33&gt;0,BSP!S33,0)+IF(BSL!P33&gt;0,BSL!S33,0)+IF(DSP!P33&gt;0,DSP!S33,0)+IF(RSP!P33&gt;0,RSP!S33,0)+IF(ISP!P33&gt;0,ISP!S33,0)),)</f>
        <v>7.182326458036985</v>
      </c>
      <c r="P33" s="168">
        <f>IFERROR((BSP!P33*BSP!S33+BSL!P33*BSL!S33+DSP!P33*DSP!S33+RSP!P33*RSP!S33+ISP!P33*ISP!S33)/(IF(BSP!P33&gt;0,BSP!S33,0)+IF(BSL!P33&gt;0,BSL!S33,0)+IF(DSP!P33&gt;0,DSP!S33,0)+IF(RSP!P33&gt;0,RSP!S33,0)+IF(ISP!P33&gt;0,ISP!S33,0)),)</f>
        <v>42.261822343019716</v>
      </c>
      <c r="Q33" s="168">
        <f t="shared" si="39"/>
        <v>6.1956250762040241</v>
      </c>
      <c r="R33" s="169">
        <f t="shared" si="40"/>
        <v>0.51262685453394941</v>
      </c>
      <c r="S33" s="170">
        <f>(BSP!S33+BSL!S33+DSP!S33+RSP!S33+ISP!S33)</f>
        <v>196840</v>
      </c>
      <c r="U33" s="172">
        <f t="shared" si="34"/>
        <v>44440</v>
      </c>
      <c r="V33" s="167">
        <f>IFERROR((BSP!V33*BSP!AC33+BSL!V33*BSL!AC33+DSP!V33*DSP!AC33+RSP!V33*RSP!AC33+ISP!V33*ISP!AC33)/(BSP!AC33+BSL!AC33+DSP!AC33+RSP!AC33+ISP!AC33),)</f>
        <v>60.43</v>
      </c>
      <c r="W33" s="168">
        <f>IFERROR((BSP!W33*BSP!AC33+BSL!W33*BSL!AC33+DSP!W33*DSP!AC33+RSP!W33*RSP!AC33+ISP!W33*ISP!AC33)/(BSP!AC33+BSL!AC33+DSP!AC33+RSP!AC33+ISP!AC33),)</f>
        <v>4.96</v>
      </c>
      <c r="X33" s="168">
        <f>IFERROR((BSP!X33*BSP!AC33+BSL!X33*BSL!AC33+DSP!X33*DSP!AC33+RSP!X33*RSP!AC33+ISP!X33*ISP!AC33)/(BSP!AC33+BSL!AC33+DSP!AC33+RSP!AC33+ISP!AC33),)</f>
        <v>3.7099999999999995</v>
      </c>
      <c r="Y33" s="168">
        <f>IFERROR((BSP!Y33*BSP!AC33+BSL!Y33*BSL!AC33+DSP!Y33*DSP!AC33+RSP!Y33*RSP!AC33+ISP!Y33*ISP!AC33)/(IF(BSP!Z33&gt;0,BSP!AC33,0)+IF(BSL!Z33&gt;0,BSL!AC33,0)+IF(DSP!Z33&gt;0,DSP!AC33,0)+IF(RSP!Z33&gt;0,RSP!AC33,0)+IF(ISP!Z33&gt;0,ISP!AC33,0)),)</f>
        <v>9.64</v>
      </c>
      <c r="Z33" s="168">
        <f>IFERROR((BSP!Z33*BSP!AC33+BSL!Z33*BSL!AC33+DSP!Z33*DSP!AC33+RSP!Z33*RSP!AC33+ISP!Z33*ISP!AC33)/(IF(BSP!Z33&gt;0,BSP!AC33,0)+IF(BSL!Z33&gt;0,BSL!AC33,0)+IF(DSP!Z33&gt;0,DSP!AC33,0)+IF(RSP!Z33&gt;0,RSP!AC33,0)+IF(ISP!Z33&gt;0,ISP!AC33,0)),)</f>
        <v>19.14</v>
      </c>
      <c r="AA33" s="168">
        <f t="shared" si="41"/>
        <v>8.67</v>
      </c>
      <c r="AB33" s="169">
        <f t="shared" si="42"/>
        <v>0.74798387096774188</v>
      </c>
      <c r="AC33" s="170">
        <f>(BSP!AC33+BSL!AC33+DSP!AC33+RSP!AC33+ISP!AC33)</f>
        <v>49598</v>
      </c>
      <c r="AD33" s="171"/>
      <c r="AE33" s="172">
        <f t="shared" si="35"/>
        <v>44440</v>
      </c>
      <c r="AF33" s="167">
        <f>IFERROR((BSP!AF33*BSP!AM33+BSL!AF33*BSL!AM33+DSP!AF33*DSP!AM33+RSP!AF33*RSP!AM33+ISP!AF33*ISP!AM33)/(BSP!AM33+BSL!AM33+DSP!AM33+RSP!AM33+ISP!AM33),)</f>
        <v>60.197202555230241</v>
      </c>
      <c r="AG33" s="168">
        <f>IFERROR((BSP!AG33*BSP!AM33+BSL!AG33*BSL!AM33+DSP!AG33*DSP!AM33+RSP!AG33*RSP!AM33+ISP!AG33*ISP!AM33)/(BSP!AM33+BSL!AM33+DSP!AM33+RSP!AM33+ISP!AM33),)</f>
        <v>5.2675219590098488</v>
      </c>
      <c r="AH33" s="168">
        <f>IFERROR((BSP!AH33*BSP!AM33+BSL!AH33*BSL!AM33+DSP!AH33*DSP!AM33+RSP!AH33*RSP!AM33+ISP!AH33*ISP!AM33)/(BSP!AM33+BSL!AM33+DSP!AM33+RSP!AM33+ISP!AM33),)</f>
        <v>3.6267128027681665</v>
      </c>
      <c r="AI33" s="168">
        <f>IFERROR((BSP!AI33*BSP!AM33+BSL!AI33*BSL!AM33+DSP!AI33*DSP!AM33+RSP!AI33*RSP!AM33+ISP!AI33*ISP!AM33)/(IF(BSP!AJ33&gt;0,BSP!AM33,0)+IF(BSL!AJ33&gt;0,BSL!AM33,0)+IF(DSP!AJ33&gt;0,DSP!AM33,0)+IF(RSP!AJ33&gt;0,RSP!AM33,0)+IF(ISP!AJ33&gt;0,ISP!AM33,0)),)</f>
        <v>5.48</v>
      </c>
      <c r="AJ33" s="168">
        <f>IFERROR((BSP!AJ33*BSP!AM33+BSL!AJ33*BSL!AM33+DSP!AJ33*DSP!AM33+RSP!AJ33*RSP!AM33+ISP!AJ33*ISP!AM33)/(IF(BSP!AJ33&gt;0,BSP!AM33,0)+IF(BSL!AJ33&gt;0,BSL!AM33,0)+IF(DSP!AJ33&gt;0,DSP!AM33,0)+IF(RSP!AJ33&gt;0,RSP!AM33,0)+IF(ISP!AJ33&gt;0,ISP!AM33,0)),)</f>
        <v>44.19</v>
      </c>
      <c r="AK33" s="168">
        <f t="shared" si="43"/>
        <v>8.8942347617780158</v>
      </c>
      <c r="AL33" s="169">
        <f t="shared" si="44"/>
        <v>0.68850454369057634</v>
      </c>
      <c r="AM33" s="170">
        <f>(BSP!AM33+BSL!AM33+DSP!AM33+RSP!AM33+ISP!AM33)</f>
        <v>120224</v>
      </c>
      <c r="AO33" s="172">
        <f t="shared" si="36"/>
        <v>44440</v>
      </c>
      <c r="AP33" s="167">
        <f>IFERROR((BSP!AP33*BSP!AW33+BSL!AP33*BSL!AW33+DSP!AP33*DSP!AW33+RSP!AP33*RSP!AW33+ISP!AP33*ISP!AW33)/(BSP!AW33+BSL!AW33+DSP!AW33+RSP!AW33+ISP!AW33),)</f>
        <v>63.17</v>
      </c>
      <c r="AQ33" s="168">
        <f>IFERROR((BSP!AQ33*BSP!AW33+BSL!AQ33*BSL!AW33+DSP!AQ33*DSP!AW33+RSP!AQ33*RSP!AW33+ISP!AQ33*ISP!AW33)/(BSP!AW33+BSL!AW33+DSP!AW33+RSP!AW33+ISP!AW33),)</f>
        <v>2.5099999999999998</v>
      </c>
      <c r="AR33" s="168">
        <f>IFERROR((BSP!AR33*BSP!AW33+BSL!AR33*BSL!AW33+DSP!AR33*DSP!AW33+RSP!AR33*RSP!AW33+ISP!AR33*ISP!AW33)/(BSP!AW33+BSL!AW33+DSP!AW33+RSP!AW33+ISP!AW33),)</f>
        <v>2.2200000000000002</v>
      </c>
      <c r="AS33" s="168">
        <f>IFERROR((BSP!AS33*BSP!AW33+BSL!AS33*BSL!AW33+DSP!AS33*DSP!AW33+RSP!AS33*RSP!AW33+ISP!AS33*ISP!AW33)/(IF(BSP!AT33&gt;0,BSP!AW33,0)+IF(BSL!AT33&gt;0,BSL!AW33,0)+IF(DSP!AT33&gt;0,DSP!AW33,0)+IF(RSP!AT33&gt;0,RSP!AW33,0)+IF(ISP!AT33&gt;0,ISP!AW33,0)),)</f>
        <v>3.91</v>
      </c>
      <c r="AT33" s="168">
        <f>IFERROR((BSP!AT33*BSP!AW33+BSL!AT33*BSL!AW33+DSP!AT33*DSP!AW33+RSP!AT33*RSP!AW33+ISP!AT33*ISP!AW33)/(IF(BSP!AT33&gt;0,BSP!AW33,0)+IF(BSL!AT33&gt;0,BSL!AW33,0)+IF(DSP!AT33&gt;0,DSP!AW33,0)+IF(RSP!AT33&gt;0,RSP!AW33,0)+IF(ISP!AT33&gt;0,ISP!AW33,0)),)</f>
        <v>13.77</v>
      </c>
      <c r="AU33" s="168">
        <f t="shared" si="45"/>
        <v>4.7300000000000004</v>
      </c>
      <c r="AV33" s="169">
        <f t="shared" si="46"/>
        <v>0.88446215139442241</v>
      </c>
      <c r="AW33" s="170">
        <f>(BSP!AW33+BSL!AW33+DSP!AW33+RSP!AW33+ISP!AW33)</f>
        <v>94563</v>
      </c>
      <c r="AY33" s="172">
        <f t="shared" si="52"/>
        <v>44440</v>
      </c>
      <c r="AZ33" s="167">
        <f>IFERROR((BSP!AZ33*BSP!BG33+BSL!AZ33*BSL!BG33+DSP!AZ33*DSP!BG33+RSP!AZ33*RSP!BG33+ISP!AZ33*ISP!BG33)/(BSP!BG33+BSL!BG33+DSP!BG33+RSP!BG33+ISP!BG33),)</f>
        <v>62.8</v>
      </c>
      <c r="BA33" s="168">
        <f>IFERROR((BSP!BA33*BSP!BG33+BSL!BA33*BSL!BG33+DSP!BA33*DSP!BG33+RSP!BA33*RSP!BG33+ISP!BA33*ISP!BG33)/(BSP!BG33+BSL!BG33+DSP!BG33+RSP!BG33+ISP!BG33),)</f>
        <v>2.73</v>
      </c>
      <c r="BB33" s="168">
        <f>IFERROR((BSP!BB33*BSP!BG33+BSL!BB33*BSL!BG33+DSP!BB33*DSP!BG33+RSP!BB33*RSP!BG33+ISP!BB33*ISP!BG33)/(BSP!BG33+BSL!BG33+DSP!BG33+RSP!BG33+ISP!BG33),)</f>
        <v>2.33</v>
      </c>
      <c r="BC33" s="168">
        <f>IFERROR((BSP!BC33*BSP!BG33+BSL!BC33*BSL!BG33+DSP!BC33*DSP!BG33+RSP!BC33*RSP!BG33+ISP!BC33*ISP!BG33)/(IF(BSP!BD33&gt;0,BSP!BG33,0)+IF(BSL!BD33&gt;0,BSL!BG33,0)+IF(DSP!BD33&gt;0,DSP!BG33,0)+IF(RSP!BD33&gt;0,RSP!BG33,0)+IF(ISP!BD33&gt;0,ISP!BG33,0)),)</f>
        <v>3</v>
      </c>
      <c r="BD33" s="168">
        <f>IFERROR((BSP!BD33*BSP!BG33+BSL!BD33*BSL!BG33+DSP!BD33*DSP!BG33+RSP!BD33*RSP!BG33+ISP!BD33*ISP!BG33)/(IF(BSP!BD33&gt;0,BSP!BG33,0)+IF(BSL!BD33&gt;0,BSL!BG33,0)+IF(DSP!BD33&gt;0,DSP!BG33,0)+IF(RSP!BD33&gt;0,RSP!BG33,0)+IF(ISP!BD33&gt;0,ISP!BG33,0)),)</f>
        <v>37</v>
      </c>
      <c r="BE33" s="168">
        <f t="shared" si="47"/>
        <v>5.0600000000000005</v>
      </c>
      <c r="BF33" s="169">
        <f t="shared" si="48"/>
        <v>0.85347985347985356</v>
      </c>
      <c r="BG33" s="170">
        <f>(BSP!BG33+BSL!BG33+DSP!BG33+RSP!BG33+ISP!BG33)</f>
        <v>173397.2</v>
      </c>
      <c r="BK33" s="178">
        <f t="shared" si="28"/>
        <v>44440</v>
      </c>
      <c r="BL33" s="179">
        <f t="shared" si="28"/>
        <v>60.755388230240555</v>
      </c>
      <c r="BM33" s="180">
        <f t="shared" si="28"/>
        <v>5.6542667525773194</v>
      </c>
      <c r="BN33" s="180">
        <f t="shared" si="28"/>
        <v>2.4497414089347083</v>
      </c>
      <c r="BO33" s="180">
        <f t="shared" si="28"/>
        <v>11.709914948453608</v>
      </c>
      <c r="BP33" s="180">
        <f t="shared" si="28"/>
        <v>29.954957474226802</v>
      </c>
      <c r="BQ33" s="180">
        <f t="shared" si="28"/>
        <v>8.1040081615120272</v>
      </c>
      <c r="BR33" s="181">
        <f t="shared" si="28"/>
        <v>0.4332553655729226</v>
      </c>
      <c r="BS33" s="182">
        <f t="shared" si="28"/>
        <v>116400</v>
      </c>
      <c r="BT33" s="231">
        <f t="shared" si="28"/>
        <v>0</v>
      </c>
      <c r="BU33" s="178">
        <f t="shared" si="28"/>
        <v>44440</v>
      </c>
      <c r="BV33" s="179">
        <f t="shared" si="28"/>
        <v>60.379844674624501</v>
      </c>
      <c r="BW33" s="180">
        <f t="shared" si="28"/>
        <v>6.9447921917264424</v>
      </c>
      <c r="BX33" s="180">
        <f t="shared" si="28"/>
        <v>2.1481686838193887</v>
      </c>
      <c r="BY33" s="180">
        <f t="shared" si="28"/>
        <v>7.4433005603714886</v>
      </c>
      <c r="BZ33" s="180">
        <f t="shared" si="28"/>
        <v>40.187471866027821</v>
      </c>
      <c r="CA33" s="180">
        <f t="shared" si="49"/>
        <v>9.0929608755458311</v>
      </c>
      <c r="CB33" s="181">
        <f t="shared" si="49"/>
        <v>0.30932080104262477</v>
      </c>
      <c r="CC33" s="182">
        <f t="shared" si="49"/>
        <v>216642</v>
      </c>
      <c r="CD33" s="104">
        <f t="shared" si="20"/>
        <v>0</v>
      </c>
      <c r="CE33" s="178">
        <f t="shared" si="30"/>
        <v>44440</v>
      </c>
      <c r="CF33" s="179">
        <f t="shared" si="30"/>
        <v>63.772681317013962</v>
      </c>
      <c r="CG33" s="180">
        <f t="shared" si="30"/>
        <v>2.7079521545620073</v>
      </c>
      <c r="CH33" s="180">
        <f t="shared" si="30"/>
        <v>1.3888526704430511</v>
      </c>
      <c r="CI33" s="180">
        <f t="shared" si="30"/>
        <v>2.6673490289298001</v>
      </c>
      <c r="CJ33" s="180">
        <f t="shared" si="30"/>
        <v>4.5840089520534084</v>
      </c>
      <c r="CK33" s="180">
        <f t="shared" si="30"/>
        <v>4.0968048250050586</v>
      </c>
      <c r="CL33" s="181">
        <f t="shared" si="30"/>
        <v>0.5128793239951791</v>
      </c>
      <c r="CM33" s="182">
        <f t="shared" si="30"/>
        <v>79088</v>
      </c>
      <c r="CN33" s="109">
        <f t="shared" si="30"/>
        <v>0</v>
      </c>
      <c r="CO33" s="178">
        <f t="shared" si="30"/>
        <v>44440</v>
      </c>
      <c r="CP33" s="179">
        <f t="shared" si="30"/>
        <v>62.525798516561686</v>
      </c>
      <c r="CQ33" s="180">
        <f t="shared" si="30"/>
        <v>4.0959375127006705</v>
      </c>
      <c r="CR33" s="180">
        <f t="shared" si="30"/>
        <v>2.0996875635033532</v>
      </c>
      <c r="CS33" s="180">
        <f t="shared" si="30"/>
        <v>7.182326458036985</v>
      </c>
      <c r="CT33" s="180">
        <f t="shared" si="30"/>
        <v>42.261822343019716</v>
      </c>
      <c r="CU33" s="180">
        <f t="shared" si="50"/>
        <v>6.1956250762040241</v>
      </c>
      <c r="CV33" s="181">
        <f t="shared" si="50"/>
        <v>0.51262685453394941</v>
      </c>
      <c r="CW33" s="182">
        <f t="shared" si="50"/>
        <v>196840</v>
      </c>
      <c r="CX33" s="111">
        <f t="shared" si="2"/>
        <v>0</v>
      </c>
      <c r="CY33" s="178">
        <f t="shared" si="32"/>
        <v>44440</v>
      </c>
      <c r="CZ33" s="179">
        <f t="shared" si="32"/>
        <v>62.69</v>
      </c>
      <c r="DA33" s="180">
        <f t="shared" si="32"/>
        <v>3.07</v>
      </c>
      <c r="DB33" s="180">
        <f t="shared" si="32"/>
        <v>2.37</v>
      </c>
      <c r="DC33" s="180">
        <f t="shared" si="32"/>
        <v>5.6700000000000008</v>
      </c>
      <c r="DD33" s="180">
        <f t="shared" si="32"/>
        <v>16.829999999999998</v>
      </c>
      <c r="DE33" s="180">
        <f t="shared" si="32"/>
        <v>5.4399999999999995</v>
      </c>
      <c r="DF33" s="181">
        <f t="shared" si="32"/>
        <v>0.77198697068403921</v>
      </c>
      <c r="DG33" s="182">
        <f t="shared" si="32"/>
        <v>27310</v>
      </c>
      <c r="DH33" s="111">
        <f t="shared" si="32"/>
        <v>0</v>
      </c>
      <c r="DI33" s="178">
        <f t="shared" si="32"/>
        <v>44440</v>
      </c>
      <c r="DJ33" s="179">
        <f t="shared" si="32"/>
        <v>62.59</v>
      </c>
      <c r="DK33" s="180">
        <f t="shared" si="32"/>
        <v>2.8700000000000006</v>
      </c>
      <c r="DL33" s="180">
        <f t="shared" si="32"/>
        <v>2.5</v>
      </c>
      <c r="DM33" s="180">
        <f t="shared" si="32"/>
        <v>0</v>
      </c>
      <c r="DN33" s="180">
        <f t="shared" si="32"/>
        <v>0</v>
      </c>
      <c r="DO33" s="180">
        <f t="shared" si="51"/>
        <v>5.370000000000001</v>
      </c>
      <c r="DP33" s="181">
        <f t="shared" si="51"/>
        <v>0.87108013937282214</v>
      </c>
      <c r="DQ33" s="182">
        <f t="shared" si="51"/>
        <v>95655</v>
      </c>
    </row>
    <row r="34" spans="1:121" ht="19" customHeight="1" x14ac:dyDescent="0.35">
      <c r="A34" s="166">
        <f>BSP!A34</f>
        <v>44470</v>
      </c>
      <c r="B34" s="167">
        <f>IFERROR((BSP!B34*BSP!I34+BSL!B34*BSL!I34+DSP!B34*DSP!I34+RSP!B34*RSP!I34+ISP!B34*ISP!I34)/(BSP!I34+BSL!I34+DSP!I34+RSP!I34+ISP!I34),)</f>
        <v>62.21925818938017</v>
      </c>
      <c r="C34" s="168">
        <f>IFERROR((BSP!C34*BSP!I34+BSL!C34*BSL!I34+DSP!C34*DSP!I34+RSP!C34*RSP!I34+ISP!C34*ISP!I34)/(BSP!I34+BSL!I34+DSP!I34+RSP!I34+ISP!I34),)</f>
        <v>4.743549714347</v>
      </c>
      <c r="D34" s="168">
        <f>IFERROR((BSP!D34*BSP!I34+BSL!D34*BSL!I34+DSP!D34*DSP!I34+RSP!D34*RSP!I34+ISP!D34*ISP!I34)/(BSP!I34+BSL!I34+DSP!I34+RSP!I34+ISP!I34),)</f>
        <v>1.7730975319667688</v>
      </c>
      <c r="E34" s="168">
        <f>IFERROR((BSP!E34*BSP!I34+BSL!E34*BSL!I34+DSP!E34*DSP!I34+RSP!E34*RSP!I34+ISP!E34*ISP!I34)/(IF(BSP!F34&gt;0,BSP!I34,0)+IF(BSL!F34&gt;0,BSL!I34,0)+IF(DSP!F34&gt;0,DSP!I34,0)+IF(RSP!F34&gt;0,RSP!I34,0)+IF(ISP!F34&gt;0,ISP!I34,0)),)</f>
        <v>20.766357309579071</v>
      </c>
      <c r="F34" s="168">
        <f>IFERROR((BSP!F34*BSP!I34+BSL!F34*BSL!I34+DSP!F34*DSP!I34+RSP!F34*RSP!I34+ISP!F34*ISP!I34)/(IF(BSP!F34&gt;0,BSP!I34,0)+IF(BSL!F34&gt;0,BSL!I34,0)+IF(DSP!F34&gt;0,DSP!I34,0)+IF(RSP!F34&gt;0,RSP!I34,0)+IF(ISP!F34&gt;0,ISP!I34,0)),)</f>
        <v>9.423951841845124</v>
      </c>
      <c r="G34" s="168">
        <f t="shared" si="37"/>
        <v>6.5166472463137683</v>
      </c>
      <c r="H34" s="169">
        <f t="shared" si="38"/>
        <v>0.37379128263460276</v>
      </c>
      <c r="I34" s="170">
        <f>(BSP!I34+BSL!I34+DSP!I34+RSP!I34+ISP!I34)</f>
        <v>96597.97</v>
      </c>
      <c r="J34" s="119"/>
      <c r="K34" s="166">
        <f>BSP!K34</f>
        <v>44470</v>
      </c>
      <c r="L34" s="167">
        <f>IFERROR((BSP!L34*BSP!S34+BSL!L34*BSL!S34+DSP!L34*DSP!S34+RSP!L34*RSP!S34+ISP!L34*ISP!S34)/(BSP!S34+BSL!S34+DSP!S34+RSP!S34+ISP!S34),)</f>
        <v>61.062843139547041</v>
      </c>
      <c r="M34" s="168">
        <f>IFERROR((BSP!M34*BSP!S34+BSL!M34*BSL!S34+DSP!M34*DSP!S34+RSP!M34*RSP!S34+ISP!M34*ISP!S34)/(BSP!S34+BSL!S34+DSP!S34+RSP!S34+ISP!S34),)</f>
        <v>6.3340107512381323</v>
      </c>
      <c r="N34" s="168">
        <f>IFERROR((BSP!N34*BSP!S34+BSL!N34*BSL!S34+DSP!N34*DSP!S34+RSP!N34*RSP!S34+ISP!N34*ISP!S34)/(BSP!S34+BSL!S34+DSP!S34+RSP!S34+ISP!S34),)</f>
        <v>2.0218676625264953</v>
      </c>
      <c r="O34" s="168">
        <f>IFERROR((BSP!O34*BSP!S34+BSL!O34*BSL!S34+DSP!O34*DSP!S34+RSP!O34*RSP!S34+ISP!O34*ISP!S34)/(IF(BSP!P34&gt;0,BSP!S34,0)+IF(BSL!P34&gt;0,BSL!S34,0)+IF(DSP!P34&gt;0,DSP!S34,0)+IF(RSP!P34&gt;0,RSP!S34,0)+IF(ISP!P34&gt;0,ISP!S34,0)),)</f>
        <v>6.5726310903043412</v>
      </c>
      <c r="P34" s="168">
        <f>IFERROR((BSP!P34*BSP!S34+BSL!P34*BSL!S34+DSP!P34*DSP!S34+RSP!P34*RSP!S34+ISP!P34*ISP!S34)/(IF(BSP!P34&gt;0,BSP!S34,0)+IF(BSL!P34&gt;0,BSL!S34,0)+IF(DSP!P34&gt;0,DSP!S34,0)+IF(RSP!P34&gt;0,RSP!S34,0)+IF(ISP!P34&gt;0,ISP!S34,0)),)</f>
        <v>42.45770636620604</v>
      </c>
      <c r="Q34" s="168">
        <f t="shared" si="39"/>
        <v>8.3558784137646285</v>
      </c>
      <c r="R34" s="169">
        <f t="shared" si="40"/>
        <v>0.31920811977328478</v>
      </c>
      <c r="S34" s="170">
        <f>(BSP!S34+BSL!S34+DSP!S34+RSP!S34+ISP!S34)</f>
        <v>208299.72999999998</v>
      </c>
      <c r="U34" s="172">
        <f t="shared" si="34"/>
        <v>44470</v>
      </c>
      <c r="V34" s="167">
        <f>IFERROR((BSP!V34*BSP!AC34+BSL!V34*BSL!AC34+DSP!V34*DSP!AC34+RSP!V34*RSP!AC34+ISP!V34*ISP!AC34)/(BSP!AC34+BSL!AC34+DSP!AC34+RSP!AC34+ISP!AC34),)</f>
        <v>61.25</v>
      </c>
      <c r="W34" s="168">
        <f>IFERROR((BSP!W34*BSP!AC34+BSL!W34*BSL!AC34+DSP!W34*DSP!AC34+RSP!W34*RSP!AC34+ISP!W34*ISP!AC34)/(BSP!AC34+BSL!AC34+DSP!AC34+RSP!AC34+ISP!AC34),)</f>
        <v>4.49</v>
      </c>
      <c r="X34" s="168">
        <f>IFERROR((BSP!X34*BSP!AC34+BSL!X34*BSL!AC34+DSP!X34*DSP!AC34+RSP!X34*RSP!AC34+ISP!X34*ISP!AC34)/(BSP!AC34+BSL!AC34+DSP!AC34+RSP!AC34+ISP!AC34),)</f>
        <v>2.9600000000000004</v>
      </c>
      <c r="Y34" s="168">
        <f>IFERROR((BSP!Y34*BSP!AC34+BSL!Y34*BSL!AC34+DSP!Y34*DSP!AC34+RSP!Y34*RSP!AC34+ISP!Y34*ISP!AC34)/(IF(BSP!Z34&gt;0,BSP!AC34,0)+IF(BSL!Z34&gt;0,BSL!AC34,0)+IF(DSP!Z34&gt;0,DSP!AC34,0)+IF(RSP!Z34&gt;0,RSP!AC34,0)+IF(ISP!Z34&gt;0,ISP!AC34,0)),)</f>
        <v>12.850000000000001</v>
      </c>
      <c r="Z34" s="168">
        <f>IFERROR((BSP!Z34*BSP!AC34+BSL!Z34*BSL!AC34+DSP!Z34*DSP!AC34+RSP!Z34*RSP!AC34+ISP!Z34*ISP!AC34)/(IF(BSP!Z34&gt;0,BSP!AC34,0)+IF(BSL!Z34&gt;0,BSL!AC34,0)+IF(DSP!Z34&gt;0,DSP!AC34,0)+IF(RSP!Z34&gt;0,RSP!AC34,0)+IF(ISP!Z34&gt;0,ISP!AC34,0)),)</f>
        <v>20.38</v>
      </c>
      <c r="AA34" s="168">
        <f t="shared" si="41"/>
        <v>7.4500000000000011</v>
      </c>
      <c r="AB34" s="169">
        <f t="shared" si="42"/>
        <v>0.65924276169265039</v>
      </c>
      <c r="AC34" s="170">
        <f>(BSP!AC34+BSL!AC34+DSP!AC34+RSP!AC34+ISP!AC34)</f>
        <v>44550.53</v>
      </c>
      <c r="AD34" s="171"/>
      <c r="AE34" s="172">
        <f t="shared" si="35"/>
        <v>44470</v>
      </c>
      <c r="AF34" s="167">
        <f>IFERROR((BSP!AF34*BSP!AM34+BSL!AF34*BSL!AM34+DSP!AF34*DSP!AM34+RSP!AF34*RSP!AM34+ISP!AF34*ISP!AM34)/(BSP!AM34+BSL!AM34+DSP!AM34+RSP!AM34+ISP!AM34),)</f>
        <v>60.372640061789831</v>
      </c>
      <c r="AG34" s="168">
        <f>IFERROR((BSP!AG34*BSP!AM34+BSL!AG34*BSL!AM34+DSP!AG34*DSP!AM34+RSP!AG34*RSP!AM34+ISP!AG34*ISP!AM34)/(BSP!AM34+BSL!AM34+DSP!AM34+RSP!AM34+ISP!AM34),)</f>
        <v>4.8355497904732143</v>
      </c>
      <c r="AH34" s="168">
        <f>IFERROR((BSP!AH34*BSP!AM34+BSL!AH34*BSL!AM34+DSP!AH34*DSP!AM34+RSP!AH34*RSP!AM34+ISP!AH34*ISP!AM34)/(BSP!AM34+BSL!AM34+DSP!AM34+RSP!AM34+ISP!AM34),)</f>
        <v>3.6546937988672328</v>
      </c>
      <c r="AI34" s="168">
        <f>IFERROR((BSP!AI34*BSP!AM34+BSL!AI34*BSL!AM34+DSP!AI34*DSP!AM34+RSP!AI34*RSP!AM34+ISP!AI34*ISP!AM34)/(IF(BSP!AJ34&gt;0,BSP!AM34,0)+IF(BSL!AJ34&gt;0,BSL!AM34,0)+IF(DSP!AJ34&gt;0,DSP!AM34,0)+IF(RSP!AJ34&gt;0,RSP!AM34,0)+IF(ISP!AJ34&gt;0,ISP!AM34,0)),)</f>
        <v>6.4681908871594613</v>
      </c>
      <c r="AJ34" s="168">
        <f>IFERROR((BSP!AJ34*BSP!AM34+BSL!AJ34*BSL!AM34+DSP!AJ34*DSP!AM34+RSP!AJ34*RSP!AM34+ISP!AJ34*ISP!AM34)/(IF(BSP!AJ34&gt;0,BSP!AM34,0)+IF(BSL!AJ34&gt;0,BSL!AM34,0)+IF(DSP!AJ34&gt;0,DSP!AM34,0)+IF(RSP!AJ34&gt;0,RSP!AM34,0)+IF(ISP!AJ34&gt;0,ISP!AM34,0)),)</f>
        <v>44.015871786030907</v>
      </c>
      <c r="AK34" s="168">
        <f t="shared" si="43"/>
        <v>8.490243589340448</v>
      </c>
      <c r="AL34" s="169">
        <f t="shared" si="44"/>
        <v>0.75579695323736473</v>
      </c>
      <c r="AM34" s="170">
        <f>(BSP!AM34+BSL!AM34+DSP!AM34+RSP!AM34+ISP!AM34)</f>
        <v>172999.36</v>
      </c>
      <c r="AO34" s="172">
        <f t="shared" si="36"/>
        <v>44470</v>
      </c>
      <c r="AP34" s="167">
        <f>IFERROR((BSP!AP34*BSP!AW34+BSL!AP34*BSL!AW34+DSP!AP34*DSP!AW34+RSP!AP34*RSP!AW34+ISP!AP34*ISP!AW34)/(BSP!AW34+BSL!AW34+DSP!AW34+RSP!AW34+ISP!AW34),)</f>
        <v>63.14</v>
      </c>
      <c r="AQ34" s="168">
        <f>IFERROR((BSP!AQ34*BSP!AW34+BSL!AQ34*BSL!AW34+DSP!AQ34*DSP!AW34+RSP!AQ34*RSP!AW34+ISP!AQ34*ISP!AW34)/(BSP!AW34+BSL!AW34+DSP!AW34+RSP!AW34+ISP!AW34),)</f>
        <v>2.56</v>
      </c>
      <c r="AR34" s="168">
        <f>IFERROR((BSP!AR34*BSP!AW34+BSL!AR34*BSL!AW34+DSP!AR34*DSP!AW34+RSP!AR34*RSP!AW34+ISP!AR34*ISP!AW34)/(BSP!AW34+BSL!AW34+DSP!AW34+RSP!AW34+ISP!AW34),)</f>
        <v>2.21</v>
      </c>
      <c r="AS34" s="168">
        <f>IFERROR((BSP!AS34*BSP!AW34+BSL!AS34*BSL!AW34+DSP!AS34*DSP!AW34+RSP!AS34*RSP!AW34+ISP!AS34*ISP!AW34)/(IF(BSP!AT34&gt;0,BSP!AW34,0)+IF(BSL!AT34&gt;0,BSL!AW34,0)+IF(DSP!AT34&gt;0,DSP!AW34,0)+IF(RSP!AT34&gt;0,RSP!AW34,0)+IF(ISP!AT34&gt;0,ISP!AW34,0)),)</f>
        <v>3.54</v>
      </c>
      <c r="AT34" s="168">
        <f>IFERROR((BSP!AT34*BSP!AW34+BSL!AT34*BSL!AW34+DSP!AT34*DSP!AW34+RSP!AT34*RSP!AW34+ISP!AT34*ISP!AW34)/(IF(BSP!AT34&gt;0,BSP!AW34,0)+IF(BSL!AT34&gt;0,BSL!AW34,0)+IF(DSP!AT34&gt;0,DSP!AW34,0)+IF(RSP!AT34&gt;0,RSP!AW34,0)+IF(ISP!AT34&gt;0,ISP!AW34,0)),)</f>
        <v>14.65</v>
      </c>
      <c r="AU34" s="168">
        <f t="shared" si="45"/>
        <v>4.7699999999999996</v>
      </c>
      <c r="AV34" s="169">
        <f t="shared" si="46"/>
        <v>0.86328125</v>
      </c>
      <c r="AW34" s="170">
        <f>(BSP!AW34+BSL!AW34+DSP!AW34+RSP!AW34+ISP!AW34)</f>
        <v>99961.5</v>
      </c>
      <c r="AY34" s="172">
        <f t="shared" si="52"/>
        <v>44470</v>
      </c>
      <c r="AZ34" s="167">
        <f>IFERROR((BSP!AZ34*BSP!BG34+BSL!AZ34*BSL!BG34+DSP!AZ34*DSP!BG34+RSP!AZ34*RSP!BG34+ISP!AZ34*ISP!BG34)/(BSP!BG34+BSL!BG34+DSP!BG34+RSP!BG34+ISP!BG34),)</f>
        <v>62.8</v>
      </c>
      <c r="BA34" s="168">
        <f>IFERROR((BSP!BA34*BSP!BG34+BSL!BA34*BSL!BG34+DSP!BA34*DSP!BG34+RSP!BA34*RSP!BG34+ISP!BA34*ISP!BG34)/(BSP!BG34+BSL!BG34+DSP!BG34+RSP!BG34+ISP!BG34),)</f>
        <v>2.73</v>
      </c>
      <c r="BB34" s="168">
        <f>IFERROR((BSP!BB34*BSP!BG34+BSL!BB34*BSL!BG34+DSP!BB34*DSP!BG34+RSP!BB34*RSP!BG34+ISP!BB34*ISP!BG34)/(BSP!BG34+BSL!BG34+DSP!BG34+RSP!BG34+ISP!BG34),)</f>
        <v>2.33</v>
      </c>
      <c r="BC34" s="168">
        <f>IFERROR((BSP!BC34*BSP!BG34+BSL!BC34*BSL!BG34+DSP!BC34*DSP!BG34+RSP!BC34*RSP!BG34+ISP!BC34*ISP!BG34)/(IF(BSP!BD34&gt;0,BSP!BG34,0)+IF(BSL!BD34&gt;0,BSL!BG34,0)+IF(DSP!BD34&gt;0,DSP!BG34,0)+IF(RSP!BD34&gt;0,RSP!BG34,0)+IF(ISP!BD34&gt;0,ISP!BG34,0)),)</f>
        <v>0</v>
      </c>
      <c r="BD34" s="168">
        <f>IFERROR((BSP!BD34*BSP!BG34+BSL!BD34*BSL!BG34+DSP!BD34*DSP!BG34+RSP!BD34*RSP!BG34+ISP!BD34*ISP!BG34)/(IF(BSP!BD34&gt;0,BSP!BG34,0)+IF(BSL!BD34&gt;0,BSL!BG34,0)+IF(DSP!BD34&gt;0,DSP!BG34,0)+IF(RSP!BD34&gt;0,RSP!BG34,0)+IF(ISP!BD34&gt;0,ISP!BG34,0)),)</f>
        <v>0</v>
      </c>
      <c r="BE34" s="168">
        <f t="shared" si="47"/>
        <v>5.0600000000000005</v>
      </c>
      <c r="BF34" s="169">
        <f t="shared" si="48"/>
        <v>0.85347985347985356</v>
      </c>
      <c r="BG34" s="170">
        <f>(BSP!BG34+BSL!BG34+DSP!BG34+RSP!BG34+ISP!BG34)</f>
        <v>209031.1</v>
      </c>
      <c r="BK34" s="178">
        <f t="shared" si="28"/>
        <v>44470</v>
      </c>
      <c r="BL34" s="179">
        <f t="shared" si="28"/>
        <v>59.232928369700566</v>
      </c>
      <c r="BM34" s="180">
        <f t="shared" si="28"/>
        <v>7.7656491165243731</v>
      </c>
      <c r="BN34" s="180">
        <f t="shared" si="28"/>
        <v>2.4657278195121557</v>
      </c>
      <c r="BO34" s="180">
        <f t="shared" si="28"/>
        <v>13.8287110452766</v>
      </c>
      <c r="BP34" s="180">
        <f t="shared" si="28"/>
        <v>27.10757274125681</v>
      </c>
      <c r="BQ34" s="180">
        <f t="shared" si="28"/>
        <v>10.231376936036529</v>
      </c>
      <c r="BR34" s="181">
        <f t="shared" si="28"/>
        <v>0.31751728445538208</v>
      </c>
      <c r="BS34" s="182">
        <f t="shared" si="28"/>
        <v>98293.599999999991</v>
      </c>
      <c r="BT34" s="231">
        <f t="shared" si="28"/>
        <v>0</v>
      </c>
      <c r="BU34" s="178">
        <f t="shared" si="28"/>
        <v>44470</v>
      </c>
      <c r="BV34" s="179">
        <f t="shared" si="28"/>
        <v>59.947995403685979</v>
      </c>
      <c r="BW34" s="180">
        <f t="shared" si="28"/>
        <v>6.8209524788858644</v>
      </c>
      <c r="BX34" s="180">
        <f t="shared" si="28"/>
        <v>2.5892919755613466</v>
      </c>
      <c r="BY34" s="180">
        <f t="shared" si="28"/>
        <v>6.4022575099968382</v>
      </c>
      <c r="BZ34" s="180">
        <f t="shared" si="28"/>
        <v>42.235164770776059</v>
      </c>
      <c r="CA34" s="180">
        <f t="shared" si="49"/>
        <v>9.410244454447211</v>
      </c>
      <c r="CB34" s="181">
        <f t="shared" si="49"/>
        <v>0.37960856399109266</v>
      </c>
      <c r="CC34" s="182">
        <f t="shared" si="49"/>
        <v>206165.19999999998</v>
      </c>
      <c r="CD34" s="104">
        <f t="shared" si="20"/>
        <v>0</v>
      </c>
      <c r="CE34" s="178">
        <f t="shared" si="30"/>
        <v>44470</v>
      </c>
      <c r="CF34" s="179">
        <f t="shared" si="30"/>
        <v>62.21925818938017</v>
      </c>
      <c r="CG34" s="180">
        <f t="shared" si="30"/>
        <v>4.743549714347</v>
      </c>
      <c r="CH34" s="180">
        <f t="shared" si="30"/>
        <v>1.7730975319667688</v>
      </c>
      <c r="CI34" s="180">
        <f t="shared" si="30"/>
        <v>20.766357309579071</v>
      </c>
      <c r="CJ34" s="180">
        <f t="shared" si="30"/>
        <v>9.423951841845124</v>
      </c>
      <c r="CK34" s="180">
        <f t="shared" si="30"/>
        <v>6.5166472463137683</v>
      </c>
      <c r="CL34" s="181">
        <f t="shared" si="30"/>
        <v>0.37379128263460276</v>
      </c>
      <c r="CM34" s="182">
        <f t="shared" si="30"/>
        <v>96597.97</v>
      </c>
      <c r="CN34" s="109">
        <f t="shared" si="30"/>
        <v>0</v>
      </c>
      <c r="CO34" s="178">
        <f t="shared" si="30"/>
        <v>44470</v>
      </c>
      <c r="CP34" s="179">
        <f t="shared" si="30"/>
        <v>61.062843139547041</v>
      </c>
      <c r="CQ34" s="180">
        <f t="shared" si="30"/>
        <v>6.3340107512381323</v>
      </c>
      <c r="CR34" s="180">
        <f t="shared" si="30"/>
        <v>2.0218676625264953</v>
      </c>
      <c r="CS34" s="180">
        <f t="shared" si="30"/>
        <v>6.5726310903043412</v>
      </c>
      <c r="CT34" s="180">
        <f t="shared" si="30"/>
        <v>42.45770636620604</v>
      </c>
      <c r="CU34" s="180">
        <f t="shared" si="50"/>
        <v>8.3558784137646285</v>
      </c>
      <c r="CV34" s="181">
        <f t="shared" si="50"/>
        <v>0.31920811977328478</v>
      </c>
      <c r="CW34" s="182">
        <f t="shared" si="50"/>
        <v>208299.72999999998</v>
      </c>
      <c r="CX34" s="111">
        <f t="shared" si="2"/>
        <v>0</v>
      </c>
      <c r="CY34" s="178">
        <f t="shared" si="32"/>
        <v>44470</v>
      </c>
      <c r="CZ34" s="179">
        <f t="shared" si="32"/>
        <v>62.800000000000004</v>
      </c>
      <c r="DA34" s="180">
        <f t="shared" si="32"/>
        <v>2.85</v>
      </c>
      <c r="DB34" s="180">
        <f t="shared" si="32"/>
        <v>2.35</v>
      </c>
      <c r="DC34" s="180">
        <f t="shared" si="32"/>
        <v>4</v>
      </c>
      <c r="DD34" s="180">
        <f t="shared" si="32"/>
        <v>16.5</v>
      </c>
      <c r="DE34" s="180">
        <f t="shared" si="32"/>
        <v>5.2</v>
      </c>
      <c r="DF34" s="181">
        <f t="shared" si="32"/>
        <v>0.82456140350877194</v>
      </c>
      <c r="DG34" s="182">
        <f t="shared" si="32"/>
        <v>15062.8</v>
      </c>
      <c r="DH34" s="109">
        <f t="shared" si="32"/>
        <v>0</v>
      </c>
      <c r="DI34" s="178">
        <f t="shared" si="32"/>
        <v>44470</v>
      </c>
      <c r="DJ34" s="179">
        <f t="shared" si="32"/>
        <v>62.49</v>
      </c>
      <c r="DK34" s="180">
        <f t="shared" si="32"/>
        <v>2.94</v>
      </c>
      <c r="DL34" s="180">
        <f t="shared" si="32"/>
        <v>2.54</v>
      </c>
      <c r="DM34" s="180">
        <f t="shared" si="32"/>
        <v>8</v>
      </c>
      <c r="DN34" s="180">
        <f t="shared" si="32"/>
        <v>17</v>
      </c>
      <c r="DO34" s="180">
        <f t="shared" si="51"/>
        <v>5.48</v>
      </c>
      <c r="DP34" s="181">
        <f t="shared" si="51"/>
        <v>0.86394557823129259</v>
      </c>
      <c r="DQ34" s="182">
        <f t="shared" si="51"/>
        <v>121213.8</v>
      </c>
    </row>
    <row r="35" spans="1:121" ht="19" customHeight="1" x14ac:dyDescent="0.35">
      <c r="A35" s="166">
        <f>BSP!A35</f>
        <v>44501</v>
      </c>
      <c r="B35" s="167">
        <f>IFERROR((BSP!B35*BSP!I35+BSL!B35*BSL!I35+DSP!B35*DSP!I35+RSP!B35*RSP!I35+ISP!B35*ISP!I35)/(BSP!I35+BSL!I35+DSP!I35+RSP!I35+ISP!I35),)</f>
        <v>62.717307730196993</v>
      </c>
      <c r="C35" s="168">
        <f>IFERROR((BSP!C35*BSP!I35+BSL!C35*BSL!I35+DSP!C35*DSP!I35+RSP!C35*RSP!I35+ISP!C35*ISP!I35)/(BSP!I35+BSL!I35+DSP!I35+RSP!I35+ISP!I35),)</f>
        <v>4.4230577785579648</v>
      </c>
      <c r="D35" s="168">
        <f>IFERROR((BSP!D35*BSP!I35+BSL!D35*BSL!I35+DSP!D35*DSP!I35+RSP!D35*RSP!I35+ISP!D35*ISP!I35)/(BSP!I35+BSL!I35+DSP!I35+RSP!I35+ISP!I35),)</f>
        <v>1.4132032011234681</v>
      </c>
      <c r="E35" s="168">
        <f>IFERROR((BSP!E35*BSP!I35+BSL!E35*BSL!I35+DSP!E35*DSP!I35+RSP!E35*RSP!I35+ISP!E35*ISP!I35)/(IF(BSP!F35&gt;0,BSP!I35,0)+IF(BSL!F35&gt;0,BSL!I35,0)+IF(DSP!F35&gt;0,DSP!I35,0)+IF(RSP!F35&gt;0,RSP!I35,0)+IF(ISP!F35&gt;0,ISP!I35,0)),)</f>
        <v>11.363423287312914</v>
      </c>
      <c r="F35" s="168">
        <f>IFERROR((BSP!F35*BSP!I35+BSL!F35*BSL!I35+DSP!F35*DSP!I35+RSP!F35*RSP!I35+ISP!F35*ISP!I35)/(IF(BSP!F35&gt;0,BSP!I35,0)+IF(BSL!F35&gt;0,BSL!I35,0)+IF(DSP!F35&gt;0,DSP!I35,0)+IF(RSP!F35&gt;0,RSP!I35,0)+IF(ISP!F35&gt;0,ISP!I35,0)),)</f>
        <v>11.730070758941565</v>
      </c>
      <c r="G35" s="168">
        <f t="shared" si="37"/>
        <v>5.8362609796814331</v>
      </c>
      <c r="H35" s="169">
        <f t="shared" si="38"/>
        <v>0.31950819362441385</v>
      </c>
      <c r="I35" s="170">
        <f>(BSP!I35+BSL!I35+DSP!I35+RSP!I35+ISP!I35)</f>
        <v>97754.43</v>
      </c>
      <c r="J35" s="119"/>
      <c r="K35" s="166">
        <f>BSP!K35</f>
        <v>44501</v>
      </c>
      <c r="L35" s="167">
        <f>IFERROR((BSP!L35*BSP!S35+BSL!L35*BSL!S35+DSP!L35*DSP!S35+RSP!L35*RSP!S35+ISP!L35*ISP!S35)/(BSP!S35+BSL!S35+DSP!S35+RSP!S35+ISP!S35),)</f>
        <v>62.167348241704403</v>
      </c>
      <c r="M35" s="168">
        <f>IFERROR((BSP!M35*BSP!S35+BSL!M35*BSL!S35+DSP!M35*DSP!S35+RSP!M35*RSP!S35+ISP!M35*ISP!S35)/(BSP!S35+BSL!S35+DSP!S35+RSP!S35+ISP!S35),)</f>
        <v>4.593844154105442</v>
      </c>
      <c r="N35" s="168">
        <f>IFERROR((BSP!N35*BSP!S35+BSL!N35*BSL!S35+DSP!N35*DSP!S35+RSP!N35*RSP!S35+ISP!N35*ISP!S35)/(BSP!S35+BSL!S35+DSP!S35+RSP!S35+ISP!S35),)</f>
        <v>2.1031456261762149</v>
      </c>
      <c r="O35" s="168">
        <f>IFERROR((BSP!O35*BSP!S35+BSL!O35*BSL!S35+DSP!O35*DSP!S35+RSP!O35*RSP!S35+ISP!O35*ISP!S35)/(IF(BSP!P35&gt;0,BSP!S35,0)+IF(BSL!P35&gt;0,BSL!S35,0)+IF(DSP!P35&gt;0,DSP!S35,0)+IF(RSP!P35&gt;0,RSP!S35,0)+IF(ISP!P35&gt;0,ISP!S35,0)),)</f>
        <v>6.3799362515055096</v>
      </c>
      <c r="P35" s="168">
        <f>IFERROR((BSP!P35*BSP!S35+BSL!P35*BSL!S35+DSP!P35*DSP!S35+RSP!P35*RSP!S35+ISP!P35*ISP!S35)/(IF(BSP!P35&gt;0,BSP!S35,0)+IF(BSL!P35&gt;0,BSL!S35,0)+IF(DSP!P35&gt;0,DSP!S35,0)+IF(RSP!P35&gt;0,RSP!S35,0)+IF(ISP!P35&gt;0,ISP!S35,0)),)</f>
        <v>43.980684607528708</v>
      </c>
      <c r="Q35" s="168">
        <f t="shared" si="39"/>
        <v>6.6969897802816565</v>
      </c>
      <c r="R35" s="169">
        <f t="shared" si="40"/>
        <v>0.45781823580076586</v>
      </c>
      <c r="S35" s="170">
        <f>(BSP!S35+BSL!S35+DSP!S35+RSP!S35+ISP!S35)</f>
        <v>211531.27000000002</v>
      </c>
      <c r="U35" s="172">
        <f t="shared" si="34"/>
        <v>44501</v>
      </c>
      <c r="V35" s="167">
        <f>IFERROR((BSP!V35*BSP!AC35+BSL!V35*BSL!AC35+DSP!V35*DSP!AC35+RSP!V35*RSP!AC35+ISP!V35*ISP!AC35)/(BSP!AC35+BSL!AC35+DSP!AC35+RSP!AC35+ISP!AC35),)</f>
        <v>61.85</v>
      </c>
      <c r="W35" s="168">
        <f>IFERROR((BSP!W35*BSP!AC35+BSL!W35*BSL!AC35+DSP!W35*DSP!AC35+RSP!W35*RSP!AC35+ISP!W35*ISP!AC35)/(BSP!AC35+BSL!AC35+DSP!AC35+RSP!AC35+ISP!AC35),)</f>
        <v>3.64</v>
      </c>
      <c r="X35" s="168">
        <f>IFERROR((BSP!X35*BSP!AC35+BSL!X35*BSL!AC35+DSP!X35*DSP!AC35+RSP!X35*RSP!AC35+ISP!X35*ISP!AC35)/(BSP!AC35+BSL!AC35+DSP!AC35+RSP!AC35+ISP!AC35),)</f>
        <v>2.9800000000000004</v>
      </c>
      <c r="Y35" s="168">
        <f>IFERROR((BSP!Y35*BSP!AC35+BSL!Y35*BSL!AC35+DSP!Y35*DSP!AC35+RSP!Y35*RSP!AC35+ISP!Y35*ISP!AC35)/(IF(BSP!Z35&gt;0,BSP!AC35,0)+IF(BSL!Z35&gt;0,BSL!AC35,0)+IF(DSP!Z35&gt;0,DSP!AC35,0)+IF(RSP!Z35&gt;0,RSP!AC35,0)+IF(ISP!Z35&gt;0,ISP!AC35,0)),)</f>
        <v>14.4</v>
      </c>
      <c r="Z35" s="168">
        <f>IFERROR((BSP!Z35*BSP!AC35+BSL!Z35*BSL!AC35+DSP!Z35*DSP!AC35+RSP!Z35*RSP!AC35+ISP!Z35*ISP!AC35)/(IF(BSP!Z35&gt;0,BSP!AC35,0)+IF(BSL!Z35&gt;0,BSL!AC35,0)+IF(DSP!Z35&gt;0,DSP!AC35,0)+IF(RSP!Z35&gt;0,RSP!AC35,0)+IF(ISP!Z35&gt;0,ISP!AC35,0)),)</f>
        <v>15.5</v>
      </c>
      <c r="AA35" s="168">
        <f t="shared" si="41"/>
        <v>6.620000000000001</v>
      </c>
      <c r="AB35" s="169">
        <f t="shared" si="42"/>
        <v>0.81868131868131877</v>
      </c>
      <c r="AC35" s="170">
        <f>(BSP!AC35+BSL!AC35+DSP!AC35+RSP!AC35+ISP!AC35)</f>
        <v>47276</v>
      </c>
      <c r="AD35" s="171"/>
      <c r="AE35" s="172">
        <f t="shared" si="35"/>
        <v>44501</v>
      </c>
      <c r="AF35" s="167">
        <f>IFERROR((BSP!AF35*BSP!AM35+BSL!AF35*BSL!AM35+DSP!AF35*DSP!AM35+RSP!AF35*RSP!AM35+ISP!AF35*ISP!AM35)/(BSP!AM35+BSL!AM35+DSP!AM35+RSP!AM35+ISP!AM35),)</f>
        <v>60.127032826679141</v>
      </c>
      <c r="AG35" s="168">
        <f>IFERROR((BSP!AG35*BSP!AM35+BSL!AG35*BSL!AM35+DSP!AG35*DSP!AM35+RSP!AG35*RSP!AM35+ISP!AG35*ISP!AM35)/(BSP!AM35+BSL!AM35+DSP!AM35+RSP!AM35+ISP!AM35),)</f>
        <v>4.9282920360335352</v>
      </c>
      <c r="AH35" s="168">
        <f>IFERROR((BSP!AH35*BSP!AM35+BSL!AH35*BSL!AM35+DSP!AH35*DSP!AM35+RSP!AH35*RSP!AM35+ISP!AH35*ISP!AM35)/(BSP!AM35+BSL!AM35+DSP!AM35+RSP!AM35+ISP!AM35),)</f>
        <v>4.0126874866381037</v>
      </c>
      <c r="AI35" s="168">
        <f>IFERROR((BSP!AI35*BSP!AM35+BSL!AI35*BSL!AM35+DSP!AI35*DSP!AM35+RSP!AI35*RSP!AM35+ISP!AI35*ISP!AM35)/(IF(BSP!AJ35&gt;0,BSP!AM35,0)+IF(BSL!AJ35&gt;0,BSL!AM35,0)+IF(DSP!AJ35&gt;0,DSP!AM35,0)+IF(RSP!AJ35&gt;0,RSP!AM35,0)+IF(ISP!AJ35&gt;0,ISP!AM35,0)),)</f>
        <v>5.2563561274552804</v>
      </c>
      <c r="AJ35" s="168">
        <f>IFERROR((BSP!AJ35*BSP!AM35+BSL!AJ35*BSL!AM35+DSP!AJ35*DSP!AM35+RSP!AJ35*RSP!AM35+ISP!AJ35*ISP!AM35)/(IF(BSP!AJ35&gt;0,BSP!AM35,0)+IF(BSL!AJ35&gt;0,BSL!AM35,0)+IF(DSP!AJ35&gt;0,DSP!AM35,0)+IF(RSP!AJ35&gt;0,RSP!AM35,0)+IF(ISP!AJ35&gt;0,ISP!AM35,0)),)</f>
        <v>52.157079481196888</v>
      </c>
      <c r="AK35" s="168">
        <f t="shared" si="43"/>
        <v>8.9409795226716398</v>
      </c>
      <c r="AL35" s="169">
        <f t="shared" si="44"/>
        <v>0.81421463202648547</v>
      </c>
      <c r="AM35" s="170">
        <f>(BSP!AM35+BSL!AM35+DSP!AM35+RSP!AM35+ISP!AM35)</f>
        <v>126759.7</v>
      </c>
      <c r="AO35" s="172">
        <f t="shared" si="36"/>
        <v>44501</v>
      </c>
      <c r="AP35" s="167">
        <f>IFERROR((BSP!AP35*BSP!AW35+BSL!AP35*BSL!AW35+DSP!AP35*DSP!AW35+RSP!AP35*RSP!AW35+ISP!AP35*ISP!AW35)/(BSP!AW35+BSL!AW35+DSP!AW35+RSP!AW35+ISP!AW35),)</f>
        <v>63.15</v>
      </c>
      <c r="AQ35" s="168">
        <f>IFERROR((BSP!AQ35*BSP!AW35+BSL!AQ35*BSL!AW35+DSP!AQ35*DSP!AW35+RSP!AQ35*RSP!AW35+ISP!AQ35*ISP!AW35)/(BSP!AW35+BSL!AW35+DSP!AW35+RSP!AW35+ISP!AW35),)</f>
        <v>2.5299999999999998</v>
      </c>
      <c r="AR35" s="168">
        <f>IFERROR((BSP!AR35*BSP!AW35+BSL!AR35*BSL!AW35+DSP!AR35*DSP!AW35+RSP!AR35*RSP!AW35+ISP!AR35*ISP!AW35)/(BSP!AW35+BSL!AW35+DSP!AW35+RSP!AW35+ISP!AW35),)</f>
        <v>2.19</v>
      </c>
      <c r="AS35" s="168">
        <f>IFERROR((BSP!AS35*BSP!AW35+BSL!AS35*BSL!AW35+DSP!AS35*DSP!AW35+RSP!AS35*RSP!AW35+ISP!AS35*ISP!AW35)/(IF(BSP!AT35&gt;0,BSP!AW35,0)+IF(BSL!AT35&gt;0,BSL!AW35,0)+IF(DSP!AT35&gt;0,DSP!AW35,0)+IF(RSP!AT35&gt;0,RSP!AW35,0)+IF(ISP!AT35&gt;0,ISP!AW35,0)),)</f>
        <v>3.1499999999999995</v>
      </c>
      <c r="AT35" s="168">
        <f>IFERROR((BSP!AT35*BSP!AW35+BSL!AT35*BSL!AW35+DSP!AT35*DSP!AW35+RSP!AT35*RSP!AW35+ISP!AT35*ISP!AW35)/(IF(BSP!AT35&gt;0,BSP!AW35,0)+IF(BSL!AT35&gt;0,BSL!AW35,0)+IF(DSP!AT35&gt;0,DSP!AW35,0)+IF(RSP!AT35&gt;0,RSP!AW35,0)+IF(ISP!AT35&gt;0,ISP!AW35,0)),)</f>
        <v>14.63</v>
      </c>
      <c r="AU35" s="168">
        <f t="shared" si="45"/>
        <v>4.72</v>
      </c>
      <c r="AV35" s="169">
        <f t="shared" si="46"/>
        <v>0.86561264822134387</v>
      </c>
      <c r="AW35" s="170">
        <f>(BSP!AW35+BSL!AW35+DSP!AW35+RSP!AW35+ISP!AW35)</f>
        <v>114924.1</v>
      </c>
      <c r="AY35" s="172">
        <f t="shared" si="52"/>
        <v>44501</v>
      </c>
      <c r="AZ35" s="167">
        <f>IFERROR((BSP!AZ35*BSP!BG35+BSL!AZ35*BSL!BG35+DSP!AZ35*DSP!BG35+RSP!AZ35*RSP!BG35+ISP!AZ35*ISP!BG35)/(BSP!BG35+BSL!BG35+DSP!BG35+RSP!BG35+ISP!BG35),)</f>
        <v>62.900000000000006</v>
      </c>
      <c r="BA35" s="168">
        <f>IFERROR((BSP!BA35*BSP!BG35+BSL!BA35*BSL!BG35+DSP!BA35*DSP!BG35+RSP!BA35*RSP!BG35+ISP!BA35*ISP!BG35)/(BSP!BG35+BSL!BG35+DSP!BG35+RSP!BG35+ISP!BG35),)</f>
        <v>2.65</v>
      </c>
      <c r="BB35" s="168">
        <f>IFERROR((BSP!BB35*BSP!BG35+BSL!BB35*BSL!BG35+DSP!BB35*DSP!BG35+RSP!BB35*RSP!BG35+ISP!BB35*ISP!BG35)/(BSP!BG35+BSL!BG35+DSP!BG35+RSP!BG35+ISP!BG35),)</f>
        <v>2.2799999999999998</v>
      </c>
      <c r="BC35" s="168">
        <f>IFERROR((BSP!BC35*BSP!BG35+BSL!BC35*BSL!BG35+DSP!BC35*DSP!BG35+RSP!BC35*RSP!BG35+ISP!BC35*ISP!BG35)/(IF(BSP!BD35&gt;0,BSP!BG35,0)+IF(BSL!BD35&gt;0,BSL!BG35,0)+IF(DSP!BD35&gt;0,DSP!BG35,0)+IF(RSP!BD35&gt;0,RSP!BG35,0)+IF(ISP!BD35&gt;0,ISP!BG35,0)),)</f>
        <v>0</v>
      </c>
      <c r="BD35" s="168">
        <f>IFERROR((BSP!BD35*BSP!BG35+BSL!BD35*BSL!BG35+DSP!BD35*DSP!BG35+RSP!BD35*RSP!BG35+ISP!BD35*ISP!BG35)/(IF(BSP!BD35&gt;0,BSP!BG35,0)+IF(BSL!BD35&gt;0,BSL!BG35,0)+IF(DSP!BD35&gt;0,DSP!BG35,0)+IF(RSP!BD35&gt;0,RSP!BG35,0)+IF(ISP!BD35&gt;0,ISP!BG35,0)),)</f>
        <v>0</v>
      </c>
      <c r="BE35" s="168">
        <f t="shared" si="47"/>
        <v>4.93</v>
      </c>
      <c r="BF35" s="169">
        <f t="shared" si="48"/>
        <v>0.86037735849056596</v>
      </c>
      <c r="BG35" s="170">
        <f>(BSP!BG35+BSL!BG35+DSP!BG35+RSP!BG35+ISP!BG35)</f>
        <v>195558.2</v>
      </c>
      <c r="BK35" s="178">
        <f t="shared" si="28"/>
        <v>44501</v>
      </c>
      <c r="BL35" s="179">
        <f t="shared" si="28"/>
        <v>60.145599806835556</v>
      </c>
      <c r="BM35" s="180">
        <f t="shared" si="28"/>
        <v>6.0560243041234836</v>
      </c>
      <c r="BN35" s="180">
        <f t="shared" si="28"/>
        <v>2.7587171542360429</v>
      </c>
      <c r="BO35" s="180">
        <f t="shared" si="28"/>
        <v>14.988646751722023</v>
      </c>
      <c r="BP35" s="180">
        <f t="shared" si="28"/>
        <v>25.961132222344126</v>
      </c>
      <c r="BQ35" s="180">
        <f t="shared" si="28"/>
        <v>8.814741458359526</v>
      </c>
      <c r="BR35" s="181">
        <f t="shared" si="28"/>
        <v>0.45553270853910893</v>
      </c>
      <c r="BS35" s="182">
        <f t="shared" si="28"/>
        <v>124867.70000000001</v>
      </c>
      <c r="BT35" s="231">
        <f t="shared" si="28"/>
        <v>0</v>
      </c>
      <c r="BU35" s="178">
        <f t="shared" si="28"/>
        <v>44501</v>
      </c>
      <c r="BV35" s="179">
        <f t="shared" si="28"/>
        <v>59.384738686818153</v>
      </c>
      <c r="BW35" s="180">
        <f t="shared" si="28"/>
        <v>7.5792975338152901</v>
      </c>
      <c r="BX35" s="180">
        <f t="shared" si="28"/>
        <v>2.7580392410281647</v>
      </c>
      <c r="BY35" s="180">
        <f t="shared" si="28"/>
        <v>5.5670886746307691</v>
      </c>
      <c r="BZ35" s="180">
        <f t="shared" si="28"/>
        <v>42.319376808866565</v>
      </c>
      <c r="CA35" s="180">
        <f t="shared" si="49"/>
        <v>10.337336774843454</v>
      </c>
      <c r="CB35" s="181">
        <f t="shared" si="49"/>
        <v>0.36389114277716111</v>
      </c>
      <c r="CC35" s="182">
        <f t="shared" si="49"/>
        <v>240630.8</v>
      </c>
      <c r="CD35" s="104">
        <f t="shared" si="20"/>
        <v>0</v>
      </c>
      <c r="CE35" s="178">
        <f t="shared" si="30"/>
        <v>44501</v>
      </c>
      <c r="CF35" s="179">
        <f t="shared" si="30"/>
        <v>62.717307730196993</v>
      </c>
      <c r="CG35" s="180">
        <f t="shared" si="30"/>
        <v>4.4230577785579648</v>
      </c>
      <c r="CH35" s="180">
        <f t="shared" si="30"/>
        <v>1.4132032011234681</v>
      </c>
      <c r="CI35" s="180">
        <f t="shared" si="30"/>
        <v>11.363423287312914</v>
      </c>
      <c r="CJ35" s="180">
        <f t="shared" si="30"/>
        <v>11.730070758941565</v>
      </c>
      <c r="CK35" s="180">
        <f t="shared" si="30"/>
        <v>5.8362609796814331</v>
      </c>
      <c r="CL35" s="181">
        <f t="shared" si="30"/>
        <v>0.31950819362441385</v>
      </c>
      <c r="CM35" s="182">
        <f t="shared" si="30"/>
        <v>97754.43</v>
      </c>
      <c r="CN35" s="109">
        <f t="shared" si="30"/>
        <v>0</v>
      </c>
      <c r="CO35" s="178">
        <f t="shared" si="30"/>
        <v>44501</v>
      </c>
      <c r="CP35" s="179">
        <f t="shared" si="30"/>
        <v>62.167348241704403</v>
      </c>
      <c r="CQ35" s="180">
        <f t="shared" si="30"/>
        <v>4.593844154105442</v>
      </c>
      <c r="CR35" s="180">
        <f t="shared" si="30"/>
        <v>2.1031456261762149</v>
      </c>
      <c r="CS35" s="180">
        <f t="shared" si="30"/>
        <v>6.3799362515055096</v>
      </c>
      <c r="CT35" s="180">
        <f t="shared" si="30"/>
        <v>43.980684607528708</v>
      </c>
      <c r="CU35" s="180">
        <f t="shared" si="50"/>
        <v>6.6969897802816565</v>
      </c>
      <c r="CV35" s="181">
        <f t="shared" si="50"/>
        <v>0.45781823580076586</v>
      </c>
      <c r="CW35" s="182">
        <f t="shared" si="50"/>
        <v>211531.27000000002</v>
      </c>
      <c r="CX35" s="111">
        <f t="shared" si="2"/>
        <v>0</v>
      </c>
      <c r="CY35" s="178">
        <f t="shared" si="32"/>
        <v>44501</v>
      </c>
      <c r="CZ35" s="179">
        <f t="shared" si="32"/>
        <v>62.79</v>
      </c>
      <c r="DA35" s="180">
        <f t="shared" si="32"/>
        <v>2.79</v>
      </c>
      <c r="DB35" s="180">
        <f t="shared" si="32"/>
        <v>2.42</v>
      </c>
      <c r="DC35" s="180">
        <f t="shared" si="32"/>
        <v>5.83</v>
      </c>
      <c r="DD35" s="180">
        <f t="shared" si="32"/>
        <v>14.580000000000002</v>
      </c>
      <c r="DE35" s="180">
        <f t="shared" si="32"/>
        <v>5.21</v>
      </c>
      <c r="DF35" s="181">
        <f t="shared" si="32"/>
        <v>0.86738351254480284</v>
      </c>
      <c r="DG35" s="182">
        <f t="shared" si="32"/>
        <v>37197.300000000003</v>
      </c>
      <c r="DH35" s="109">
        <f t="shared" si="32"/>
        <v>0</v>
      </c>
      <c r="DI35" s="178">
        <f t="shared" si="32"/>
        <v>44501</v>
      </c>
      <c r="DJ35" s="179">
        <f t="shared" si="32"/>
        <v>62.52000000000001</v>
      </c>
      <c r="DK35" s="180">
        <f t="shared" si="32"/>
        <v>3.09</v>
      </c>
      <c r="DL35" s="180">
        <f t="shared" si="32"/>
        <v>2.35</v>
      </c>
      <c r="DM35" s="180">
        <f t="shared" si="32"/>
        <v>0</v>
      </c>
      <c r="DN35" s="180">
        <f t="shared" si="32"/>
        <v>0</v>
      </c>
      <c r="DO35" s="180">
        <f t="shared" si="51"/>
        <v>5.4399999999999995</v>
      </c>
      <c r="DP35" s="181">
        <f t="shared" si="51"/>
        <v>0.76051779935275088</v>
      </c>
      <c r="DQ35" s="182">
        <f t="shared" si="51"/>
        <v>81590.399999999994</v>
      </c>
    </row>
    <row r="36" spans="1:121" ht="19" customHeight="1" x14ac:dyDescent="0.35">
      <c r="A36" s="166">
        <f>BSP!A36</f>
        <v>44531</v>
      </c>
      <c r="B36" s="167">
        <f>IFERROR((BSP!B36*BSP!I36+BSL!B36*BSL!I36+DSP!B36*DSP!I36+RSP!B36*RSP!I36+ISP!B36*ISP!I36)/(BSP!I36+BSL!I36+DSP!I36+RSP!I36+ISP!I36),)</f>
        <v>62.126420393542325</v>
      </c>
      <c r="C36" s="168">
        <f>IFERROR((BSP!C36*BSP!I36+BSL!C36*BSL!I36+DSP!C36*DSP!I36+RSP!C36*RSP!I36+ISP!C36*ISP!I36)/(BSP!I36+BSL!I36+DSP!I36+RSP!I36+ISP!I36),)</f>
        <v>5.4255778781913744</v>
      </c>
      <c r="D36" s="168">
        <f>IFERROR((BSP!D36*BSP!I36+BSL!D36*BSL!I36+DSP!D36*DSP!I36+RSP!D36*RSP!I36+ISP!D36*ISP!I36)/(BSP!I36+BSL!I36+DSP!I36+RSP!I36+ISP!I36),)</f>
        <v>1.4171138473719758</v>
      </c>
      <c r="E36" s="168">
        <f>IFERROR((BSP!E36*BSP!I36+BSL!E36*BSL!I36+DSP!E36*DSP!I36+RSP!E36*RSP!I36+ISP!E36*ISP!I36)/(IF(BSP!F36&gt;0,BSP!I36,0)+IF(BSL!F36&gt;0,BSL!I36,0)+IF(DSP!F36&gt;0,DSP!I36,0)+IF(RSP!F36&gt;0,RSP!I36,0)+IF(ISP!F36&gt;0,ISP!I36,0)),)</f>
        <v>23.47536400957781</v>
      </c>
      <c r="F36" s="168">
        <f>IFERROR((BSP!F36*BSP!I36+BSL!F36*BSL!I36+DSP!F36*DSP!I36+RSP!F36*RSP!I36+ISP!F36*ISP!I36)/(IF(BSP!F36&gt;0,BSP!I36,0)+IF(BSL!F36&gt;0,BSL!I36,0)+IF(DSP!F36&gt;0,DSP!I36,0)+IF(RSP!F36&gt;0,RSP!I36,0)+IF(ISP!F36&gt;0,ISP!I36,0)),)</f>
        <v>11.647344998648524</v>
      </c>
      <c r="G36" s="168">
        <f t="shared" si="37"/>
        <v>6.8426917255633501</v>
      </c>
      <c r="H36" s="169">
        <f t="shared" si="38"/>
        <v>0.26119131992708083</v>
      </c>
      <c r="I36" s="170">
        <f>(BSP!I36+BSL!I36+DSP!I36+RSP!I36+ISP!I36)</f>
        <v>103664.58</v>
      </c>
      <c r="J36" s="119"/>
      <c r="K36" s="166">
        <f>BSP!K36</f>
        <v>44531</v>
      </c>
      <c r="L36" s="167">
        <f>IFERROR((BSP!L36*BSP!S36+BSL!L36*BSL!S36+DSP!L36*DSP!S36+RSP!L36*RSP!S36+ISP!L36*ISP!S36)/(BSP!S36+BSL!S36+DSP!S36+RSP!S36+ISP!S36),)</f>
        <v>62.043696476922662</v>
      </c>
      <c r="M36" s="168">
        <f>IFERROR((BSP!M36*BSP!S36+BSL!M36*BSL!S36+DSP!M36*DSP!S36+RSP!M36*RSP!S36+ISP!M36*ISP!S36)/(BSP!S36+BSL!S36+DSP!S36+RSP!S36+ISP!S36),)</f>
        <v>5.0323636058441341</v>
      </c>
      <c r="N36" s="168">
        <f>IFERROR((BSP!N36*BSP!S36+BSL!N36*BSL!S36+DSP!N36*DSP!S36+RSP!N36*RSP!S36+ISP!N36*ISP!S36)/(BSP!S36+BSL!S36+DSP!S36+RSP!S36+ISP!S36),)</f>
        <v>1.9351968236137673</v>
      </c>
      <c r="O36" s="168">
        <f>IFERROR((BSP!O36*BSP!S36+BSL!O36*BSL!S36+DSP!O36*DSP!S36+RSP!O36*RSP!S36+ISP!O36*ISP!S36)/(IF(BSP!P36&gt;0,BSP!S36,0)+IF(BSL!P36&gt;0,BSL!S36,0)+IF(DSP!P36&gt;0,DSP!S36,0)+IF(RSP!P36&gt;0,RSP!S36,0)+IF(ISP!P36&gt;0,ISP!S36,0)),)</f>
        <v>6.973065440013996</v>
      </c>
      <c r="P36" s="168">
        <f>IFERROR((BSP!P36*BSP!S36+BSL!P36*BSL!S36+DSP!P36*DSP!S36+RSP!P36*RSP!S36+ISP!P36*ISP!S36)/(IF(BSP!P36&gt;0,BSP!S36,0)+IF(BSL!P36&gt;0,BSL!S36,0)+IF(DSP!P36&gt;0,DSP!S36,0)+IF(RSP!P36&gt;0,RSP!S36,0)+IF(ISP!P36&gt;0,ISP!S36,0)),)</f>
        <v>44.111304384316789</v>
      </c>
      <c r="Q36" s="168">
        <f t="shared" si="39"/>
        <v>6.967560429457901</v>
      </c>
      <c r="R36" s="169">
        <f t="shared" si="40"/>
        <v>0.38455027799787833</v>
      </c>
      <c r="S36" s="170">
        <f>(BSP!S36+BSL!S36+DSP!S36+RSP!S36+ISP!S36)</f>
        <v>236867.92</v>
      </c>
      <c r="U36" s="172">
        <f t="shared" si="34"/>
        <v>44531</v>
      </c>
      <c r="V36" s="167">
        <f>IFERROR((BSP!V36*BSP!AC36+BSL!V36*BSL!AC36+DSP!V36*DSP!AC36+RSP!V36*RSP!AC36+ISP!V36*ISP!AC36)/(BSP!AC36+BSL!AC36+DSP!AC36+RSP!AC36+ISP!AC36),)</f>
        <v>61.559999999999995</v>
      </c>
      <c r="W36" s="168">
        <f>IFERROR((BSP!W36*BSP!AC36+BSL!W36*BSL!AC36+DSP!W36*DSP!AC36+RSP!W36*RSP!AC36+ISP!W36*ISP!AC36)/(BSP!AC36+BSL!AC36+DSP!AC36+RSP!AC36+ISP!AC36),)</f>
        <v>3.96</v>
      </c>
      <c r="X36" s="168">
        <f>IFERROR((BSP!X36*BSP!AC36+BSL!X36*BSL!AC36+DSP!X36*DSP!AC36+RSP!X36*RSP!AC36+ISP!X36*ISP!AC36)/(BSP!AC36+BSL!AC36+DSP!AC36+RSP!AC36+ISP!AC36),)</f>
        <v>3.02</v>
      </c>
      <c r="Y36" s="168">
        <f>IFERROR((BSP!Y36*BSP!AC36+BSL!Y36*BSL!AC36+DSP!Y36*DSP!AC36+RSP!Y36*RSP!AC36+ISP!Y36*ISP!AC36)/(IF(BSP!Z36&gt;0,BSP!AC36,0)+IF(BSL!Z36&gt;0,BSL!AC36,0)+IF(DSP!Z36&gt;0,DSP!AC36,0)+IF(RSP!Z36&gt;0,RSP!AC36,0)+IF(ISP!Z36&gt;0,ISP!AC36,0)),)</f>
        <v>17.05</v>
      </c>
      <c r="Z36" s="168">
        <f>IFERROR((BSP!Z36*BSP!AC36+BSL!Z36*BSL!AC36+DSP!Z36*DSP!AC36+RSP!Z36*RSP!AC36+ISP!Z36*ISP!AC36)/(IF(BSP!Z36&gt;0,BSP!AC36,0)+IF(BSL!Z36&gt;0,BSL!AC36,0)+IF(DSP!Z36&gt;0,DSP!AC36,0)+IF(RSP!Z36&gt;0,RSP!AC36,0)+IF(ISP!Z36&gt;0,ISP!AC36,0)),)</f>
        <v>15.5</v>
      </c>
      <c r="AA36" s="168">
        <f t="shared" si="41"/>
        <v>6.98</v>
      </c>
      <c r="AB36" s="169">
        <f t="shared" si="42"/>
        <v>0.76262626262626265</v>
      </c>
      <c r="AC36" s="170">
        <f>(BSP!AC36+BSL!AC36+DSP!AC36+RSP!AC36+ISP!AC36)</f>
        <v>70353.100000000006</v>
      </c>
      <c r="AD36" s="171"/>
      <c r="AE36" s="172">
        <f t="shared" si="35"/>
        <v>44531</v>
      </c>
      <c r="AF36" s="167">
        <f>IFERROR((BSP!AF36*BSP!AM36+BSL!AF36*BSL!AM36+DSP!AF36*DSP!AM36+RSP!AF36*RSP!AM36+ISP!AF36*ISP!AM36)/(BSP!AM36+BSL!AM36+DSP!AM36+RSP!AM36+ISP!AM36),)</f>
        <v>60.012448369970841</v>
      </c>
      <c r="AG36" s="168">
        <f>IFERROR((BSP!AG36*BSP!AM36+BSL!AG36*BSL!AM36+DSP!AG36*DSP!AM36+RSP!AG36*RSP!AM36+ISP!AG36*ISP!AM36)/(BSP!AM36+BSL!AM36+DSP!AM36+RSP!AM36+ISP!AM36),)</f>
        <v>5.0438013465645524</v>
      </c>
      <c r="AH36" s="168">
        <f>IFERROR((BSP!AH36*BSP!AM36+BSL!AH36*BSL!AM36+DSP!AH36*DSP!AM36+RSP!AH36*RSP!AM36+ISP!AH36*ISP!AM36)/(BSP!AM36+BSL!AM36+DSP!AM36+RSP!AM36+ISP!AM36),)</f>
        <v>3.8838013465645527</v>
      </c>
      <c r="AI36" s="168">
        <f>IFERROR((BSP!AI36*BSP!AM36+BSL!AI36*BSL!AM36+DSP!AI36*DSP!AM36+RSP!AI36*RSP!AM36+ISP!AI36*ISP!AM36)/(IF(BSP!AJ36&gt;0,BSP!AM36,0)+IF(BSL!AJ36&gt;0,BSL!AM36,0)+IF(DSP!AJ36&gt;0,DSP!AM36,0)+IF(RSP!AJ36&gt;0,RSP!AM36,0)+IF(ISP!AJ36&gt;0,ISP!AM36,0)),)</f>
        <v>3.6</v>
      </c>
      <c r="AJ36" s="168">
        <f>IFERROR((BSP!AJ36*BSP!AM36+BSL!AJ36*BSL!AM36+DSP!AJ36*DSP!AM36+RSP!AJ36*RSP!AM36+ISP!AJ36*ISP!AM36)/(IF(BSP!AJ36&gt;0,BSP!AM36,0)+IF(BSL!AJ36&gt;0,BSL!AM36,0)+IF(DSP!AJ36&gt;0,DSP!AM36,0)+IF(RSP!AJ36&gt;0,RSP!AM36,0)+IF(ISP!AJ36&gt;0,ISP!AM36,0)),)</f>
        <v>58.45</v>
      </c>
      <c r="AK36" s="168">
        <f t="shared" si="43"/>
        <v>8.9276026931291046</v>
      </c>
      <c r="AL36" s="169">
        <f t="shared" si="44"/>
        <v>0.77001473287799049</v>
      </c>
      <c r="AM36" s="170">
        <f>(BSP!AM36+BSL!AM36+DSP!AM36+RSP!AM36+ISP!AM36)</f>
        <v>111477.75999999999</v>
      </c>
      <c r="AO36" s="172">
        <f t="shared" si="36"/>
        <v>44531</v>
      </c>
      <c r="AP36" s="167">
        <f>IFERROR((BSP!AP36*BSP!AW36+BSL!AP36*BSL!AW36+DSP!AP36*DSP!AW36+RSP!AP36*RSP!AW36+ISP!AP36*ISP!AW36)/(BSP!AW36+BSL!AW36+DSP!AW36+RSP!AW36+ISP!AW36),)</f>
        <v>63.2</v>
      </c>
      <c r="AQ36" s="168">
        <f>IFERROR((BSP!AQ36*BSP!AW36+BSL!AQ36*BSL!AW36+DSP!AQ36*DSP!AW36+RSP!AQ36*RSP!AW36+ISP!AQ36*ISP!AW36)/(BSP!AW36+BSL!AW36+DSP!AW36+RSP!AW36+ISP!AW36),)</f>
        <v>2.4700000000000002</v>
      </c>
      <c r="AR36" s="168">
        <f>IFERROR((BSP!AR36*BSP!AW36+BSL!AR36*BSL!AW36+DSP!AR36*DSP!AW36+RSP!AR36*RSP!AW36+ISP!AR36*ISP!AW36)/(BSP!AW36+BSL!AW36+DSP!AW36+RSP!AW36+ISP!AW36),)</f>
        <v>2.23</v>
      </c>
      <c r="AS36" s="168">
        <f>IFERROR((BSP!AS36*BSP!AW36+BSL!AS36*BSL!AW36+DSP!AS36*DSP!AW36+RSP!AS36*RSP!AW36+ISP!AS36*ISP!AW36)/(IF(BSP!AT36&gt;0,BSP!AW36,0)+IF(BSL!AT36&gt;0,BSL!AW36,0)+IF(DSP!AT36&gt;0,DSP!AW36,0)+IF(RSP!AT36&gt;0,RSP!AW36,0)+IF(ISP!AT36&gt;0,ISP!AW36,0)),)</f>
        <v>3.21</v>
      </c>
      <c r="AT36" s="168">
        <f>IFERROR((BSP!AT36*BSP!AW36+BSL!AT36*BSL!AW36+DSP!AT36*DSP!AW36+RSP!AT36*RSP!AW36+ISP!AT36*ISP!AW36)/(IF(BSP!AT36&gt;0,BSP!AW36,0)+IF(BSL!AT36&gt;0,BSL!AW36,0)+IF(DSP!AT36&gt;0,DSP!AW36,0)+IF(RSP!AT36&gt;0,RSP!AW36,0)+IF(ISP!AT36&gt;0,ISP!AW36,0)),)</f>
        <v>14.63</v>
      </c>
      <c r="AU36" s="168">
        <f t="shared" si="45"/>
        <v>4.7</v>
      </c>
      <c r="AV36" s="169">
        <f t="shared" si="46"/>
        <v>0.90283400809716596</v>
      </c>
      <c r="AW36" s="170">
        <f>(BSP!AW36+BSL!AW36+DSP!AW36+RSP!AW36+ISP!AW36)</f>
        <v>128173.1</v>
      </c>
      <c r="AY36" s="172">
        <f t="shared" si="52"/>
        <v>44531</v>
      </c>
      <c r="AZ36" s="167">
        <f>IFERROR((BSP!AZ36*BSP!BG36+BSL!AZ36*BSL!BG36+DSP!AZ36*DSP!BG36+RSP!AZ36*RSP!BG36+ISP!AZ36*ISP!BG36)/(BSP!BG36+BSL!BG36+DSP!BG36+RSP!BG36+ISP!BG36),)</f>
        <v>62.97</v>
      </c>
      <c r="BA36" s="168">
        <f>IFERROR((BSP!BA36*BSP!BG36+BSL!BA36*BSL!BG36+DSP!BA36*DSP!BG36+RSP!BA36*RSP!BG36+ISP!BA36*ISP!BG36)/(BSP!BG36+BSL!BG36+DSP!BG36+RSP!BG36+ISP!BG36),)</f>
        <v>2.56</v>
      </c>
      <c r="BB36" s="168">
        <f>IFERROR((BSP!BB36*BSP!BG36+BSL!BB36*BSL!BG36+DSP!BB36*DSP!BG36+RSP!BB36*RSP!BG36+ISP!BB36*ISP!BG36)/(BSP!BG36+BSL!BG36+DSP!BG36+RSP!BG36+ISP!BG36),)</f>
        <v>2.2599999999999998</v>
      </c>
      <c r="BC36" s="168">
        <f>IFERROR((BSP!BC36*BSP!BG36+BSL!BC36*BSL!BG36+DSP!BC36*DSP!BG36+RSP!BC36*RSP!BG36+ISP!BC36*ISP!BG36)/(IF(BSP!BD36&gt;0,BSP!BG36,0)+IF(BSL!BD36&gt;0,BSL!BG36,0)+IF(DSP!BD36&gt;0,DSP!BG36,0)+IF(RSP!BD36&gt;0,RSP!BG36,0)+IF(ISP!BD36&gt;0,ISP!BG36,0)),)</f>
        <v>0</v>
      </c>
      <c r="BD36" s="168">
        <f>IFERROR((BSP!BD36*BSP!BG36+BSL!BD36*BSL!BG36+DSP!BD36*DSP!BG36+RSP!BD36*RSP!BG36+ISP!BD36*ISP!BG36)/(IF(BSP!BD36&gt;0,BSP!BG36,0)+IF(BSL!BD36&gt;0,BSL!BG36,0)+IF(DSP!BD36&gt;0,DSP!BG36,0)+IF(RSP!BD36&gt;0,RSP!BG36,0)+IF(ISP!BD36&gt;0,ISP!BG36,0)),)</f>
        <v>0</v>
      </c>
      <c r="BE36" s="168">
        <f t="shared" si="47"/>
        <v>4.82</v>
      </c>
      <c r="BF36" s="169">
        <f t="shared" si="48"/>
        <v>0.88281249999999989</v>
      </c>
      <c r="BG36" s="170">
        <f>(BSP!BG36+BSL!BG36+DSP!BG36+RSP!BG36+ISP!BG36)</f>
        <v>176815.3</v>
      </c>
      <c r="BK36" s="178">
        <f t="shared" si="28"/>
        <v>44531</v>
      </c>
      <c r="BL36" s="179">
        <f t="shared" si="28"/>
        <v>59.780000000000008</v>
      </c>
      <c r="BM36" s="180">
        <f t="shared" si="28"/>
        <v>6.55</v>
      </c>
      <c r="BN36" s="180">
        <f t="shared" si="28"/>
        <v>2.82</v>
      </c>
      <c r="BO36" s="180">
        <f t="shared" si="28"/>
        <v>19.79</v>
      </c>
      <c r="BP36" s="180">
        <f t="shared" si="28"/>
        <v>27.860000000000003</v>
      </c>
      <c r="BQ36" s="180">
        <f t="shared" si="28"/>
        <v>9.3699999999999992</v>
      </c>
      <c r="BR36" s="181">
        <f t="shared" si="28"/>
        <v>0.43053435114503813</v>
      </c>
      <c r="BS36" s="182">
        <f t="shared" si="28"/>
        <v>96274.4</v>
      </c>
      <c r="BT36" s="231">
        <f t="shared" si="28"/>
        <v>0</v>
      </c>
      <c r="BU36" s="178">
        <f t="shared" si="28"/>
        <v>44531</v>
      </c>
      <c r="BV36" s="179">
        <f t="shared" si="28"/>
        <v>59.301298913841784</v>
      </c>
      <c r="BW36" s="180">
        <f t="shared" si="28"/>
        <v>8.0839809531960753</v>
      </c>
      <c r="BX36" s="180">
        <f t="shared" si="28"/>
        <v>2.4294777742951421</v>
      </c>
      <c r="BY36" s="180">
        <f t="shared" si="28"/>
        <v>5.756834206878807</v>
      </c>
      <c r="BZ36" s="180">
        <f t="shared" si="28"/>
        <v>42.585290894792749</v>
      </c>
      <c r="CA36" s="180">
        <f t="shared" si="49"/>
        <v>10.513458727491217</v>
      </c>
      <c r="CB36" s="181">
        <f t="shared" si="49"/>
        <v>0.3005298736304699</v>
      </c>
      <c r="CC36" s="182">
        <f t="shared" si="49"/>
        <v>259382.10000000003</v>
      </c>
      <c r="CD36" s="104">
        <f t="shared" si="20"/>
        <v>0</v>
      </c>
      <c r="CE36" s="178">
        <f t="shared" si="30"/>
        <v>44531</v>
      </c>
      <c r="CF36" s="179">
        <f t="shared" si="30"/>
        <v>62.126420393542325</v>
      </c>
      <c r="CG36" s="180">
        <f t="shared" si="30"/>
        <v>5.4255778781913744</v>
      </c>
      <c r="CH36" s="180">
        <f t="shared" si="30"/>
        <v>1.4171138473719758</v>
      </c>
      <c r="CI36" s="180">
        <f t="shared" si="30"/>
        <v>23.47536400957781</v>
      </c>
      <c r="CJ36" s="180">
        <f t="shared" si="30"/>
        <v>11.647344998648524</v>
      </c>
      <c r="CK36" s="180">
        <f t="shared" si="30"/>
        <v>6.8426917255633501</v>
      </c>
      <c r="CL36" s="181">
        <f t="shared" si="30"/>
        <v>0.26119131992708083</v>
      </c>
      <c r="CM36" s="182">
        <f t="shared" si="30"/>
        <v>103664.58</v>
      </c>
      <c r="CN36" s="109">
        <f t="shared" si="30"/>
        <v>0</v>
      </c>
      <c r="CO36" s="178">
        <f t="shared" si="30"/>
        <v>44531</v>
      </c>
      <c r="CP36" s="179">
        <f t="shared" si="30"/>
        <v>62.043696476922662</v>
      </c>
      <c r="CQ36" s="180">
        <f t="shared" si="30"/>
        <v>5.0323636058441341</v>
      </c>
      <c r="CR36" s="180">
        <f t="shared" si="30"/>
        <v>1.9351968236137673</v>
      </c>
      <c r="CS36" s="180">
        <f t="shared" si="30"/>
        <v>6.973065440013996</v>
      </c>
      <c r="CT36" s="180">
        <f t="shared" si="30"/>
        <v>44.111304384316789</v>
      </c>
      <c r="CU36" s="180">
        <f t="shared" si="50"/>
        <v>6.967560429457901</v>
      </c>
      <c r="CV36" s="181">
        <f t="shared" si="50"/>
        <v>0.38455027799787833</v>
      </c>
      <c r="CW36" s="182">
        <f t="shared" si="50"/>
        <v>236867.92</v>
      </c>
      <c r="CX36" s="111">
        <f t="shared" si="2"/>
        <v>0</v>
      </c>
      <c r="CY36" s="178">
        <f t="shared" si="32"/>
        <v>44531</v>
      </c>
      <c r="CZ36" s="179">
        <f t="shared" si="32"/>
        <v>62.439999999999991</v>
      </c>
      <c r="DA36" s="180">
        <f t="shared" si="32"/>
        <v>3.2400000000000007</v>
      </c>
      <c r="DB36" s="180">
        <f t="shared" si="32"/>
        <v>2.66</v>
      </c>
      <c r="DC36" s="180">
        <f t="shared" si="32"/>
        <v>7.67</v>
      </c>
      <c r="DD36" s="180">
        <f t="shared" si="32"/>
        <v>14.580000000000002</v>
      </c>
      <c r="DE36" s="180">
        <f t="shared" si="32"/>
        <v>5.9</v>
      </c>
      <c r="DF36" s="181">
        <f t="shared" si="32"/>
        <v>0.82098765432098753</v>
      </c>
      <c r="DG36" s="182">
        <f t="shared" si="32"/>
        <v>25614.400000000001</v>
      </c>
      <c r="DH36" s="109">
        <f t="shared" si="32"/>
        <v>0</v>
      </c>
      <c r="DI36" s="178">
        <f t="shared" si="32"/>
        <v>44531</v>
      </c>
      <c r="DJ36" s="179">
        <f t="shared" si="32"/>
        <v>62.55</v>
      </c>
      <c r="DK36" s="180">
        <f t="shared" si="32"/>
        <v>3.05</v>
      </c>
      <c r="DL36" s="180">
        <f t="shared" si="32"/>
        <v>2.36</v>
      </c>
      <c r="DM36" s="180">
        <f t="shared" si="32"/>
        <v>0</v>
      </c>
      <c r="DN36" s="180">
        <f t="shared" si="32"/>
        <v>0</v>
      </c>
      <c r="DO36" s="180">
        <f t="shared" si="51"/>
        <v>5.41</v>
      </c>
      <c r="DP36" s="181">
        <f t="shared" si="51"/>
        <v>0.77377049180327873</v>
      </c>
      <c r="DQ36" s="182">
        <f t="shared" si="51"/>
        <v>29324</v>
      </c>
    </row>
    <row r="37" spans="1:121" ht="19" customHeight="1" x14ac:dyDescent="0.35">
      <c r="A37" s="166">
        <f>BSP!A37</f>
        <v>44562</v>
      </c>
      <c r="B37" s="167">
        <f>IFERROR((BSP!B37*BSP!I37+BSL!B37*BSL!I37+DSP!B37*DSP!I37+RSP!B37*RSP!I37+ISP!B37*ISP!I37)/(BSP!I37+BSL!I37+DSP!I37+RSP!I37+ISP!I37),)</f>
        <v>62.269999999999996</v>
      </c>
      <c r="C37" s="168">
        <f>IFERROR((BSP!C37*BSP!I37+BSL!C37*BSL!I37+DSP!C37*DSP!I37+RSP!C37*RSP!I37+ISP!C37*ISP!I37)/(BSP!I37+BSL!I37+DSP!I37+RSP!I37+ISP!I37),)</f>
        <v>4.6500000000000004</v>
      </c>
      <c r="D37" s="168">
        <f>IFERROR((BSP!D37*BSP!I37+BSL!D37*BSL!I37+DSP!D37*DSP!I37+RSP!D37*RSP!I37+ISP!D37*ISP!I37)/(BSP!I37+BSL!I37+DSP!I37+RSP!I37+ISP!I37),)</f>
        <v>1.97</v>
      </c>
      <c r="E37" s="168">
        <f>IFERROR((BSP!E37*BSP!I37+BSL!E37*BSL!I37+DSP!E37*DSP!I37+RSP!E37*RSP!I37+ISP!E37*ISP!I37)/(IF(BSP!F37&gt;0,BSP!I37,0)+IF(BSL!F37&gt;0,BSL!I37,0)+IF(DSP!F37&gt;0,DSP!I37,0)+IF(RSP!F37&gt;0,RSP!I37,0)+IF(ISP!F37&gt;0,ISP!I37,0)),)</f>
        <v>9.33</v>
      </c>
      <c r="F37" s="168">
        <f>IFERROR((BSP!F37*BSP!I37+BSL!F37*BSL!I37+DSP!F37*DSP!I37+RSP!F37*RSP!I37+ISP!F37*ISP!I37)/(IF(BSP!F37&gt;0,BSP!I37,0)+IF(BSL!F37&gt;0,BSL!I37,0)+IF(DSP!F37&gt;0,DSP!I37,0)+IF(RSP!F37&gt;0,RSP!I37,0)+IF(ISP!F37&gt;0,ISP!I37,0)),)</f>
        <v>17.21</v>
      </c>
      <c r="G37" s="168">
        <f t="shared" si="37"/>
        <v>6.62</v>
      </c>
      <c r="H37" s="169">
        <f t="shared" si="38"/>
        <v>0.42365591397849456</v>
      </c>
      <c r="I37" s="170">
        <f>(BSP!I37+BSL!I37+DSP!I37+RSP!I37+ISP!I37)</f>
        <v>96763.199999999997</v>
      </c>
      <c r="J37" s="119"/>
      <c r="K37" s="166">
        <f>BSP!K37</f>
        <v>44562</v>
      </c>
      <c r="L37" s="167">
        <f>IFERROR((BSP!L37*BSP!S37+BSL!L37*BSL!S37+DSP!L37*DSP!S37+RSP!L37*RSP!S37+ISP!L37*ISP!S37)/(BSP!S37+BSL!S37+DSP!S37+RSP!S37+ISP!S37),)</f>
        <v>62.291198298080573</v>
      </c>
      <c r="M37" s="168">
        <f>IFERROR((BSP!M37*BSP!S37+BSL!M37*BSL!S37+DSP!M37*DSP!S37+RSP!M37*RSP!S37+ISP!M37*ISP!S37)/(BSP!S37+BSL!S37+DSP!S37+RSP!S37+ISP!S37),)</f>
        <v>4.5216695434177145</v>
      </c>
      <c r="N37" s="168">
        <f>IFERROR((BSP!N37*BSP!S37+BSL!N37*BSL!S37+DSP!N37*DSP!S37+RSP!N37*RSP!S37+ISP!N37*ISP!S37)/(BSP!S37+BSL!S37+DSP!S37+RSP!S37+ISP!S37),)</f>
        <v>2.0274523995455294</v>
      </c>
      <c r="O37" s="168">
        <f>IFERROR((BSP!O37*BSP!S37+BSL!O37*BSL!S37+DSP!O37*DSP!S37+RSP!O37*RSP!S37+ISP!O37*ISP!S37)/(IF(BSP!P37&gt;0,BSP!S37,0)+IF(BSL!P37&gt;0,BSL!S37,0)+IF(DSP!P37&gt;0,DSP!S37,0)+IF(RSP!P37&gt;0,RSP!S37,0)+IF(ISP!P37&gt;0,ISP!S37,0)),)</f>
        <v>6.3572518760326986</v>
      </c>
      <c r="P37" s="168">
        <f>IFERROR((BSP!P37*BSP!S37+BSL!P37*BSL!S37+DSP!P37*DSP!S37+RSP!P37*RSP!S37+ISP!P37*ISP!S37)/(IF(BSP!P37&gt;0,BSP!S37,0)+IF(BSL!P37&gt;0,BSL!S37,0)+IF(DSP!P37&gt;0,DSP!S37,0)+IF(RSP!P37&gt;0,RSP!S37,0)+IF(ISP!P37&gt;0,ISP!S37,0)),)</f>
        <v>45.619877969896336</v>
      </c>
      <c r="Q37" s="168">
        <f t="shared" si="39"/>
        <v>6.5491219429632439</v>
      </c>
      <c r="R37" s="169">
        <f t="shared" si="40"/>
        <v>0.44838579645806553</v>
      </c>
      <c r="S37" s="170">
        <f>(BSP!S37+BSL!S37+DSP!S37+RSP!S37+ISP!S37)</f>
        <v>238695.19999999998</v>
      </c>
      <c r="U37" s="172">
        <f t="shared" si="34"/>
        <v>44562</v>
      </c>
      <c r="V37" s="167">
        <f>IFERROR((BSP!V37*BSP!AC37+BSL!V37*BSL!AC37+DSP!V37*DSP!AC37+RSP!V37*RSP!AC37+ISP!V37*ISP!AC37)/(BSP!AC37+BSL!AC37+DSP!AC37+RSP!AC37+ISP!AC37),)</f>
        <v>61.21</v>
      </c>
      <c r="W37" s="168">
        <f>IFERROR((BSP!W37*BSP!AC37+BSL!W37*BSL!AC37+DSP!W37*DSP!AC37+RSP!W37*RSP!AC37+ISP!W37*ISP!AC37)/(BSP!AC37+BSL!AC37+DSP!AC37+RSP!AC37+ISP!AC37),)</f>
        <v>3.81</v>
      </c>
      <c r="X37" s="168">
        <f>IFERROR((BSP!X37*BSP!AC37+BSL!X37*BSL!AC37+DSP!X37*DSP!AC37+RSP!X37*RSP!AC37+ISP!X37*ISP!AC37)/(BSP!AC37+BSL!AC37+DSP!AC37+RSP!AC37+ISP!AC37),)</f>
        <v>3.69</v>
      </c>
      <c r="Y37" s="168">
        <f>IFERROR((BSP!Y37*BSP!AC37+BSL!Y37*BSL!AC37+DSP!Y37*DSP!AC37+RSP!Y37*RSP!AC37+ISP!Y37*ISP!AC37)/(IF(BSP!Z37&gt;0,BSP!AC37,0)+IF(BSL!Z37&gt;0,BSL!AC37,0)+IF(DSP!Z37&gt;0,DSP!AC37,0)+IF(RSP!Z37&gt;0,RSP!AC37,0)+IF(ISP!Z37&gt;0,ISP!AC37,0)),)</f>
        <v>14.5</v>
      </c>
      <c r="Z37" s="168">
        <f>IFERROR((BSP!Z37*BSP!AC37+BSL!Z37*BSL!AC37+DSP!Z37*DSP!AC37+RSP!Z37*RSP!AC37+ISP!Z37*ISP!AC37)/(IF(BSP!Z37&gt;0,BSP!AC37,0)+IF(BSL!Z37&gt;0,BSL!AC37,0)+IF(DSP!Z37&gt;0,DSP!AC37,0)+IF(RSP!Z37&gt;0,RSP!AC37,0)+IF(ISP!Z37&gt;0,ISP!AC37,0)),)</f>
        <v>14.5</v>
      </c>
      <c r="AA37" s="168">
        <f t="shared" si="41"/>
        <v>7.5</v>
      </c>
      <c r="AB37" s="169">
        <f t="shared" si="42"/>
        <v>0.96850393700787396</v>
      </c>
      <c r="AC37" s="170">
        <f>(BSP!AC37+BSL!AC37+DSP!AC37+RSP!AC37+ISP!AC37)</f>
        <v>53757.5</v>
      </c>
      <c r="AD37" s="171"/>
      <c r="AE37" s="172">
        <f t="shared" si="35"/>
        <v>44562</v>
      </c>
      <c r="AF37" s="167">
        <f>IFERROR((BSP!AF37*BSP!AM37+BSL!AF37*BSL!AM37+DSP!AF37*DSP!AM37+RSP!AF37*RSP!AM37+ISP!AF37*ISP!AM37)/(BSP!AM37+BSL!AM37+DSP!AM37+RSP!AM37+ISP!AM37),)</f>
        <v>60.427005031205553</v>
      </c>
      <c r="AG37" s="168">
        <f>IFERROR((BSP!AG37*BSP!AM37+BSL!AG37*BSL!AM37+DSP!AG37*DSP!AM37+RSP!AG37*RSP!AM37+ISP!AG37*ISP!AM37)/(BSP!AM37+BSL!AM37+DSP!AM37+RSP!AM37+ISP!AM37),)</f>
        <v>4.2074617100132663</v>
      </c>
      <c r="AH37" s="168">
        <f>IFERROR((BSP!AH37*BSP!AM37+BSL!AH37*BSL!AM37+DSP!AH37*DSP!AM37+RSP!AH37*RSP!AM37+ISP!AH37*ISP!AM37)/(BSP!AM37+BSL!AM37+DSP!AM37+RSP!AM37+ISP!AM37),)</f>
        <v>4.1634907768334024</v>
      </c>
      <c r="AI37" s="168">
        <f>IFERROR((BSP!AI37*BSP!AM37+BSL!AI37*BSL!AM37+DSP!AI37*DSP!AM37+RSP!AI37*RSP!AM37+ISP!AI37*ISP!AM37)/(IF(BSP!AJ37&gt;0,BSP!AM37,0)+IF(BSL!AJ37&gt;0,BSL!AM37,0)+IF(DSP!AJ37&gt;0,DSP!AM37,0)+IF(RSP!AJ37&gt;0,RSP!AM37,0)+IF(ISP!AJ37&gt;0,ISP!AM37,0)),)</f>
        <v>2.1</v>
      </c>
      <c r="AJ37" s="168">
        <f>IFERROR((BSP!AJ37*BSP!AM37+BSL!AJ37*BSL!AM37+DSP!AJ37*DSP!AM37+RSP!AJ37*RSP!AM37+ISP!AJ37*ISP!AM37)/(IF(BSP!AJ37&gt;0,BSP!AM37,0)+IF(BSL!AJ37&gt;0,BSL!AM37,0)+IF(DSP!AJ37&gt;0,DSP!AM37,0)+IF(RSP!AJ37&gt;0,RSP!AM37,0)+IF(ISP!AJ37&gt;0,ISP!AM37,0)),)</f>
        <v>47.1</v>
      </c>
      <c r="AK37" s="168">
        <f t="shared" si="43"/>
        <v>8.3709524868466687</v>
      </c>
      <c r="AL37" s="169">
        <f t="shared" si="44"/>
        <v>0.98954929688956683</v>
      </c>
      <c r="AM37" s="170">
        <f>(BSP!AM37+BSL!AM37+DSP!AM37+RSP!AM37+ISP!AM37)</f>
        <v>103247.62000000001</v>
      </c>
      <c r="AO37" s="172">
        <f t="shared" si="36"/>
        <v>44562</v>
      </c>
      <c r="AP37" s="167">
        <f>IFERROR((BSP!AP37*BSP!AW37+BSL!AP37*BSL!AW37+DSP!AP37*DSP!AW37+RSP!AP37*RSP!AW37+ISP!AP37*ISP!AW37)/(BSP!AW37+BSL!AW37+DSP!AW37+RSP!AW37+ISP!AW37),)</f>
        <v>63.22</v>
      </c>
      <c r="AQ37" s="168">
        <f>IFERROR((BSP!AQ37*BSP!AW37+BSL!AQ37*BSL!AW37+DSP!AQ37*DSP!AW37+RSP!AQ37*RSP!AW37+ISP!AQ37*ISP!AW37)/(BSP!AW37+BSL!AW37+DSP!AW37+RSP!AW37+ISP!AW37),)</f>
        <v>2.46</v>
      </c>
      <c r="AR37" s="168">
        <f>IFERROR((BSP!AR37*BSP!AW37+BSL!AR37*BSL!AW37+DSP!AR37*DSP!AW37+RSP!AR37*RSP!AW37+ISP!AR37*ISP!AW37)/(BSP!AW37+BSL!AW37+DSP!AW37+RSP!AW37+ISP!AW37),)</f>
        <v>2.2200000000000002</v>
      </c>
      <c r="AS37" s="168">
        <f>IFERROR((BSP!AS37*BSP!AW37+BSL!AS37*BSL!AW37+DSP!AS37*DSP!AW37+RSP!AS37*RSP!AW37+ISP!AS37*ISP!AW37)/(IF(BSP!AT37&gt;0,BSP!AW37,0)+IF(BSL!AT37&gt;0,BSL!AW37,0)+IF(DSP!AT37&gt;0,DSP!AW37,0)+IF(RSP!AT37&gt;0,RSP!AW37,0)+IF(ISP!AT37&gt;0,ISP!AW37,0)),)</f>
        <v>3.8999999999999995</v>
      </c>
      <c r="AT37" s="168">
        <f>IFERROR((BSP!AT37*BSP!AW37+BSL!AT37*BSL!AW37+DSP!AT37*DSP!AW37+RSP!AT37*RSP!AW37+ISP!AT37*ISP!AW37)/(IF(BSP!AT37&gt;0,BSP!AW37,0)+IF(BSL!AT37&gt;0,BSL!AW37,0)+IF(DSP!AT37&gt;0,DSP!AW37,0)+IF(RSP!AT37&gt;0,RSP!AW37,0)+IF(ISP!AT37&gt;0,ISP!AW37,0)),)</f>
        <v>13.62</v>
      </c>
      <c r="AU37" s="168">
        <f t="shared" si="45"/>
        <v>4.68</v>
      </c>
      <c r="AV37" s="169">
        <f t="shared" si="46"/>
        <v>0.90243902439024404</v>
      </c>
      <c r="AW37" s="170">
        <f>(BSP!AW37+BSL!AW37+DSP!AW37+RSP!AW37+ISP!AW37)</f>
        <v>118652.9</v>
      </c>
      <c r="AY37" s="172">
        <f t="shared" si="52"/>
        <v>44562</v>
      </c>
      <c r="AZ37" s="167">
        <f>IFERROR((BSP!AZ37*BSP!BG37+BSL!AZ37*BSL!BG37+DSP!AZ37*DSP!BG37+RSP!AZ37*RSP!BG37+ISP!AZ37*ISP!BG37)/(BSP!BG37+BSL!BG37+DSP!BG37+RSP!BG37+ISP!BG37),)</f>
        <v>62.97</v>
      </c>
      <c r="BA37" s="168">
        <f>IFERROR((BSP!BA37*BSP!BG37+BSL!BA37*BSL!BG37+DSP!BA37*DSP!BG37+RSP!BA37*RSP!BG37+ISP!BA37*ISP!BG37)/(BSP!BG37+BSL!BG37+DSP!BG37+RSP!BG37+ISP!BG37),)</f>
        <v>2.5499999999999998</v>
      </c>
      <c r="BB37" s="168">
        <f>IFERROR((BSP!BB37*BSP!BG37+BSL!BB37*BSL!BG37+DSP!BB37*DSP!BG37+RSP!BB37*RSP!BG37+ISP!BB37*ISP!BG37)/(BSP!BG37+BSL!BG37+DSP!BG37+RSP!BG37+ISP!BG37),)</f>
        <v>2.2799999999999998</v>
      </c>
      <c r="BC37" s="168">
        <f>IFERROR((BSP!BC37*BSP!BG37+BSL!BC37*BSL!BG37+DSP!BC37*DSP!BG37+RSP!BC37*RSP!BG37+ISP!BC37*ISP!BG37)/(IF(BSP!BD37&gt;0,BSP!BG37,0)+IF(BSL!BD37&gt;0,BSL!BG37,0)+IF(DSP!BD37&gt;0,DSP!BG37,0)+IF(RSP!BD37&gt;0,RSP!BG37,0)+IF(ISP!BD37&gt;0,ISP!BG37,0)),)</f>
        <v>0</v>
      </c>
      <c r="BD37" s="168">
        <f>IFERROR((BSP!BD37*BSP!BG37+BSL!BD37*BSL!BG37+DSP!BD37*DSP!BG37+RSP!BD37*RSP!BG37+ISP!BD37*ISP!BG37)/(IF(BSP!BD37&gt;0,BSP!BG37,0)+IF(BSL!BD37&gt;0,BSL!BG37,0)+IF(DSP!BD37&gt;0,DSP!BG37,0)+IF(RSP!BD37&gt;0,RSP!BG37,0)+IF(ISP!BD37&gt;0,ISP!BG37,0)),)</f>
        <v>0</v>
      </c>
      <c r="BE37" s="168">
        <f t="shared" si="47"/>
        <v>4.83</v>
      </c>
      <c r="BF37" s="169">
        <f t="shared" si="48"/>
        <v>0.89411764705882346</v>
      </c>
      <c r="BG37" s="170">
        <f>(BSP!BG37+BSL!BG37+DSP!BG37+RSP!BG37+ISP!BG37)</f>
        <v>185442.5</v>
      </c>
      <c r="BK37" s="178">
        <f t="shared" si="28"/>
        <v>44562</v>
      </c>
      <c r="BL37" s="179">
        <f t="shared" si="28"/>
        <v>60.165256806222835</v>
      </c>
      <c r="BM37" s="180">
        <f t="shared" si="28"/>
        <v>5.9951186799359419</v>
      </c>
      <c r="BN37" s="180">
        <f t="shared" si="28"/>
        <v>2.8267984442919238</v>
      </c>
      <c r="BO37" s="180">
        <f t="shared" si="28"/>
        <v>14.026699210706932</v>
      </c>
      <c r="BP37" s="180">
        <f t="shared" si="28"/>
        <v>26.305496568291005</v>
      </c>
      <c r="BQ37" s="180">
        <f t="shared" si="28"/>
        <v>8.8219171242278662</v>
      </c>
      <c r="BR37" s="181">
        <f t="shared" si="28"/>
        <v>0.47151667801881253</v>
      </c>
      <c r="BS37" s="182">
        <f t="shared" si="28"/>
        <v>87420</v>
      </c>
      <c r="BT37" s="231">
        <f t="shared" si="28"/>
        <v>0</v>
      </c>
      <c r="BU37" s="178">
        <f t="shared" si="28"/>
        <v>44562</v>
      </c>
      <c r="BV37" s="179">
        <f t="shared" si="28"/>
        <v>59.852930517798889</v>
      </c>
      <c r="BW37" s="180">
        <f t="shared" si="28"/>
        <v>7.1813703959450299</v>
      </c>
      <c r="BX37" s="180">
        <f t="shared" si="28"/>
        <v>2.5936897413024802</v>
      </c>
      <c r="BY37" s="180">
        <f t="shared" si="28"/>
        <v>5.2416954134985092</v>
      </c>
      <c r="BZ37" s="180">
        <f t="shared" si="28"/>
        <v>43.997009891778553</v>
      </c>
      <c r="CA37" s="180">
        <f t="shared" si="49"/>
        <v>9.775060137247511</v>
      </c>
      <c r="CB37" s="181">
        <f t="shared" si="49"/>
        <v>0.36116919171402306</v>
      </c>
      <c r="CC37" s="182">
        <f t="shared" si="49"/>
        <v>250102.89999999997</v>
      </c>
      <c r="CD37" s="104">
        <f t="shared" si="20"/>
        <v>0</v>
      </c>
      <c r="CE37" s="178">
        <f t="shared" si="30"/>
        <v>44562</v>
      </c>
      <c r="CF37" s="179">
        <f t="shared" si="30"/>
        <v>62.269999999999996</v>
      </c>
      <c r="CG37" s="180">
        <f t="shared" si="30"/>
        <v>4.6500000000000004</v>
      </c>
      <c r="CH37" s="180">
        <f t="shared" si="30"/>
        <v>1.97</v>
      </c>
      <c r="CI37" s="180">
        <f t="shared" si="30"/>
        <v>9.33</v>
      </c>
      <c r="CJ37" s="180">
        <f t="shared" si="30"/>
        <v>17.21</v>
      </c>
      <c r="CK37" s="180">
        <f t="shared" si="30"/>
        <v>6.62</v>
      </c>
      <c r="CL37" s="181">
        <f t="shared" si="30"/>
        <v>0.42365591397849456</v>
      </c>
      <c r="CM37" s="182">
        <f t="shared" si="30"/>
        <v>96763.199999999997</v>
      </c>
      <c r="CN37" s="109">
        <f t="shared" si="30"/>
        <v>0</v>
      </c>
      <c r="CO37" s="178">
        <f t="shared" si="30"/>
        <v>44562</v>
      </c>
      <c r="CP37" s="179">
        <f t="shared" si="30"/>
        <v>62.291198298080573</v>
      </c>
      <c r="CQ37" s="180">
        <f t="shared" si="30"/>
        <v>4.5216695434177145</v>
      </c>
      <c r="CR37" s="180">
        <f t="shared" si="30"/>
        <v>2.0274523995455294</v>
      </c>
      <c r="CS37" s="180">
        <f t="shared" si="30"/>
        <v>6.3572518760326986</v>
      </c>
      <c r="CT37" s="180">
        <f t="shared" si="30"/>
        <v>45.619877969896336</v>
      </c>
      <c r="CU37" s="180">
        <f t="shared" si="50"/>
        <v>6.5491219429632439</v>
      </c>
      <c r="CV37" s="181">
        <f t="shared" si="50"/>
        <v>0.44838579645806553</v>
      </c>
      <c r="CW37" s="182">
        <f t="shared" si="50"/>
        <v>238695.19999999998</v>
      </c>
      <c r="CX37" s="111">
        <f t="shared" si="2"/>
        <v>0</v>
      </c>
      <c r="CY37" s="178">
        <f t="shared" si="32"/>
        <v>44562</v>
      </c>
      <c r="CZ37" s="179">
        <f t="shared" si="32"/>
        <v>62.85</v>
      </c>
      <c r="DA37" s="180">
        <f t="shared" si="32"/>
        <v>2.63</v>
      </c>
      <c r="DB37" s="180">
        <f t="shared" si="32"/>
        <v>2.5499999999999998</v>
      </c>
      <c r="DC37" s="180">
        <f t="shared" si="32"/>
        <v>6.3299999999999992</v>
      </c>
      <c r="DD37" s="180">
        <f t="shared" si="32"/>
        <v>13</v>
      </c>
      <c r="DE37" s="180">
        <f t="shared" si="32"/>
        <v>5.18</v>
      </c>
      <c r="DF37" s="181">
        <f t="shared" si="32"/>
        <v>0.96958174904942962</v>
      </c>
      <c r="DG37" s="182">
        <f t="shared" si="32"/>
        <v>22142.9</v>
      </c>
      <c r="DH37" s="109">
        <f t="shared" si="32"/>
        <v>0</v>
      </c>
      <c r="DI37" s="178">
        <f t="shared" si="32"/>
        <v>44562</v>
      </c>
      <c r="DJ37" s="179">
        <f t="shared" si="32"/>
        <v>62.48</v>
      </c>
      <c r="DK37" s="180">
        <f t="shared" si="32"/>
        <v>3.0200000000000005</v>
      </c>
      <c r="DL37" s="180">
        <f t="shared" si="32"/>
        <v>2.48</v>
      </c>
      <c r="DM37" s="180">
        <f t="shared" si="32"/>
        <v>0</v>
      </c>
      <c r="DN37" s="180">
        <f t="shared" si="32"/>
        <v>0</v>
      </c>
      <c r="DO37" s="180">
        <f t="shared" si="51"/>
        <v>5.5</v>
      </c>
      <c r="DP37" s="181">
        <f t="shared" si="51"/>
        <v>0.82119205298013231</v>
      </c>
      <c r="DQ37" s="182">
        <f t="shared" si="51"/>
        <v>29603.599999999999</v>
      </c>
    </row>
    <row r="38" spans="1:121" ht="19" customHeight="1" x14ac:dyDescent="0.35">
      <c r="A38" s="166">
        <f>BSP!A38</f>
        <v>44593</v>
      </c>
      <c r="B38" s="167">
        <f>IFERROR((BSP!B38*BSP!I38+BSL!B38*BSL!I38+DSP!B38*DSP!I38+RSP!B38*RSP!I38+ISP!B38*ISP!I38)/(BSP!I38+BSL!I38+DSP!I38+RSP!I38+ISP!I38),)</f>
        <v>63.263430986150048</v>
      </c>
      <c r="C38" s="168">
        <f>IFERROR((BSP!C38*BSP!I38+BSL!C38*BSL!I38+DSP!C38*DSP!I38+RSP!C38*RSP!I38+ISP!C38*ISP!I38)/(BSP!I38+BSL!I38+DSP!I38+RSP!I38+ISP!I38),)</f>
        <v>3.144597060701102</v>
      </c>
      <c r="D38" s="168">
        <f>IFERROR((BSP!D38*BSP!I38+BSL!D38*BSL!I38+DSP!D38*DSP!I38+RSP!D38*RSP!I38+ISP!D38*ISP!I38)/(BSP!I38+BSL!I38+DSP!I38+RSP!I38+ISP!I38),)</f>
        <v>1.856603592476431</v>
      </c>
      <c r="E38" s="168">
        <f>IFERROR((BSP!E38*BSP!I38+BSL!E38*BSL!I38+DSP!E38*DSP!I38+RSP!E38*RSP!I38+ISP!E38*ISP!I38)/(IF(BSP!F38&gt;0,BSP!I38,0)+IF(BSL!F38&gt;0,BSL!I38,0)+IF(DSP!F38&gt;0,DSP!I38,0)+IF(RSP!F38&gt;0,RSP!I38,0)+IF(ISP!F38&gt;0,ISP!I38,0)),)</f>
        <v>3.311487852378177</v>
      </c>
      <c r="F38" s="168">
        <f>IFERROR((BSP!F38*BSP!I38+BSL!F38*BSL!I38+DSP!F38*DSP!I38+RSP!F38*RSP!I38+ISP!F38*ISP!I38)/(IF(BSP!F38&gt;0,BSP!I38,0)+IF(BSL!F38&gt;0,BSL!I38,0)+IF(DSP!F38&gt;0,DSP!I38,0)+IF(RSP!F38&gt;0,RSP!I38,0)+IF(ISP!F38&gt;0,ISP!I38,0)),)</f>
        <v>20.407549705329966</v>
      </c>
      <c r="G38" s="168">
        <f t="shared" si="37"/>
        <v>5.0012006531775333</v>
      </c>
      <c r="H38" s="169">
        <f t="shared" si="38"/>
        <v>0.59041064932576548</v>
      </c>
      <c r="I38" s="170">
        <f>(BSP!I38+BSL!I38+DSP!I38+RSP!I38+ISP!I38)</f>
        <v>86469.599999999991</v>
      </c>
      <c r="J38" s="119"/>
      <c r="K38" s="166">
        <f>BSP!K38</f>
        <v>44593</v>
      </c>
      <c r="L38" s="167">
        <f>IFERROR((BSP!L38*BSP!S38+BSL!L38*BSL!S38+DSP!L38*DSP!S38+RSP!L38*RSP!S38+ISP!L38*ISP!S38)/(BSP!S38+BSL!S38+DSP!S38+RSP!S38+ISP!S38),)</f>
        <v>62.443203115266712</v>
      </c>
      <c r="M38" s="168">
        <f>IFERROR((BSP!M38*BSP!S38+BSL!M38*BSL!S38+DSP!M38*DSP!S38+RSP!M38*RSP!S38+ISP!M38*ISP!S38)/(BSP!S38+BSL!S38+DSP!S38+RSP!S38+ISP!S38),)</f>
        <v>4.2788267128524424</v>
      </c>
      <c r="N38" s="168">
        <f>IFERROR((BSP!N38*BSP!S38+BSL!N38*BSL!S38+DSP!N38*DSP!S38+RSP!N38*RSP!S38+ISP!N38*ISP!S38)/(BSP!S38+BSL!S38+DSP!S38+RSP!S38+ISP!S38),)</f>
        <v>1.9956445018366629</v>
      </c>
      <c r="O38" s="168">
        <f>IFERROR((BSP!O38*BSP!S38+BSL!O38*BSL!S38+DSP!O38*DSP!S38+RSP!O38*RSP!S38+ISP!O38*ISP!S38)/(IF(BSP!P38&gt;0,BSP!S38,0)+IF(BSL!P38&gt;0,BSL!S38,0)+IF(DSP!P38&gt;0,DSP!S38,0)+IF(RSP!P38&gt;0,RSP!S38,0)+IF(ISP!P38&gt;0,ISP!S38,0)),)</f>
        <v>6.8379780098820895</v>
      </c>
      <c r="P38" s="168">
        <f>IFERROR((BSP!P38*BSP!S38+BSL!P38*BSL!S38+DSP!P38*DSP!S38+RSP!P38*RSP!S38+ISP!P38*ISP!S38)/(IF(BSP!P38&gt;0,BSP!S38,0)+IF(BSL!P38&gt;0,BSL!S38,0)+IF(DSP!P38&gt;0,DSP!S38,0)+IF(RSP!P38&gt;0,RSP!S38,0)+IF(ISP!P38&gt;0,ISP!S38,0)),)</f>
        <v>45.425663137307531</v>
      </c>
      <c r="Q38" s="168">
        <f t="shared" si="39"/>
        <v>6.2744712146891057</v>
      </c>
      <c r="R38" s="169">
        <f t="shared" si="40"/>
        <v>0.46639993525381257</v>
      </c>
      <c r="S38" s="170">
        <f>(BSP!S38+BSL!S38+DSP!S38+RSP!S38+ISP!S38)</f>
        <v>228757.3</v>
      </c>
      <c r="U38" s="172">
        <f t="shared" si="34"/>
        <v>44593</v>
      </c>
      <c r="V38" s="167">
        <f>IFERROR((BSP!V38*BSP!AC38+BSL!V38*BSL!AC38+DSP!V38*DSP!AC38+RSP!V38*RSP!AC38+ISP!V38*ISP!AC38)/(BSP!AC38+BSL!AC38+DSP!AC38+RSP!AC38+ISP!AC38),)</f>
        <v>61.165398836431457</v>
      </c>
      <c r="W38" s="168">
        <f>IFERROR((BSP!W38*BSP!AC38+BSL!W38*BSL!AC38+DSP!W38*DSP!AC38+RSP!W38*RSP!AC38+ISP!W38*ISP!AC38)/(BSP!AC38+BSL!AC38+DSP!AC38+RSP!AC38+ISP!AC38),)</f>
        <v>3.1868786361517096</v>
      </c>
      <c r="X38" s="168">
        <f>IFERROR((BSP!X38*BSP!AC38+BSL!X38*BSL!AC38+DSP!X38*DSP!AC38+RSP!X38*RSP!AC38+ISP!X38*ISP!AC38)/(BSP!AC38+BSL!AC38+DSP!AC38+RSP!AC38+ISP!AC38),)</f>
        <v>4.399271654740426</v>
      </c>
      <c r="Y38" s="168">
        <f>IFERROR((BSP!Y38*BSP!AC38+BSL!Y38*BSL!AC38+DSP!Y38*DSP!AC38+RSP!Y38*RSP!AC38+ISP!Y38*ISP!AC38)/(IF(BSP!Z38&gt;0,BSP!AC38,0)+IF(BSL!Z38&gt;0,BSL!AC38,0)+IF(DSP!Z38&gt;0,DSP!AC38,0)+IF(RSP!Z38&gt;0,RSP!AC38,0)+IF(ISP!Z38&gt;0,ISP!AC38,0)),)</f>
        <v>13.634624272769658</v>
      </c>
      <c r="Z38" s="168">
        <f>IFERROR((BSP!Z38*BSP!AC38+BSL!Z38*BSL!AC38+DSP!Z38*DSP!AC38+RSP!Z38*RSP!AC38+ISP!Z38*ISP!AC38)/(IF(BSP!Z38&gt;0,BSP!AC38,0)+IF(BSL!Z38&gt;0,BSL!AC38,0)+IF(DSP!Z38&gt;0,DSP!AC38,0)+IF(RSP!Z38&gt;0,RSP!AC38,0)+IF(ISP!Z38&gt;0,ISP!AC38,0)),)</f>
        <v>15.777484002621746</v>
      </c>
      <c r="AA38" s="168">
        <f t="shared" si="41"/>
        <v>7.5861502908921352</v>
      </c>
      <c r="AB38" s="169">
        <f t="shared" si="42"/>
        <v>1.3804327547448534</v>
      </c>
      <c r="AC38" s="170">
        <f>(BSP!AC38+BSL!AC38+DSP!AC38+RSP!AC38+ISP!AC38)</f>
        <v>73996.5</v>
      </c>
      <c r="AD38" s="171"/>
      <c r="AE38" s="172">
        <f t="shared" si="35"/>
        <v>44593</v>
      </c>
      <c r="AF38" s="167">
        <f>IFERROR((BSP!AF38*BSP!AM38+BSL!AF38*BSL!AM38+DSP!AF38*DSP!AM38+RSP!AF38*RSP!AM38+ISP!AF38*ISP!AM38)/(BSP!AM38+BSL!AM38+DSP!AM38+RSP!AM38+ISP!AM38),)</f>
        <v>60.24</v>
      </c>
      <c r="AG38" s="168">
        <f>IFERROR((BSP!AG38*BSP!AM38+BSL!AG38*BSL!AM38+DSP!AG38*DSP!AM38+RSP!AG38*RSP!AM38+ISP!AG38*ISP!AM38)/(BSP!AM38+BSL!AM38+DSP!AM38+RSP!AM38+ISP!AM38),)</f>
        <v>4.21</v>
      </c>
      <c r="AH38" s="168">
        <f>IFERROR((BSP!AH38*BSP!AM38+BSL!AH38*BSL!AM38+DSP!AH38*DSP!AM38+RSP!AH38*RSP!AM38+ISP!AH38*ISP!AM38)/(BSP!AM38+BSL!AM38+DSP!AM38+RSP!AM38+ISP!AM38),)</f>
        <v>4.59</v>
      </c>
      <c r="AI38" s="168">
        <f>IFERROR((BSP!AI38*BSP!AM38+BSL!AI38*BSL!AM38+DSP!AI38*DSP!AM38+RSP!AI38*RSP!AM38+ISP!AI38*ISP!AM38)/(IF(BSP!AJ38&gt;0,BSP!AM38,0)+IF(BSL!AJ38&gt;0,BSL!AM38,0)+IF(DSP!AJ38&gt;0,DSP!AM38,0)+IF(RSP!AJ38&gt;0,RSP!AM38,0)+IF(ISP!AJ38&gt;0,ISP!AM38,0)),)</f>
        <v>3.8700000000000006</v>
      </c>
      <c r="AJ38" s="168">
        <f>IFERROR((BSP!AJ38*BSP!AM38+BSL!AJ38*BSL!AM38+DSP!AJ38*DSP!AM38+RSP!AJ38*RSP!AM38+ISP!AJ38*ISP!AM38)/(IF(BSP!AJ38&gt;0,BSP!AM38,0)+IF(BSL!AJ38&gt;0,BSL!AM38,0)+IF(DSP!AJ38&gt;0,DSP!AM38,0)+IF(RSP!AJ38&gt;0,RSP!AM38,0)+IF(ISP!AJ38&gt;0,ISP!AM38,0)),)</f>
        <v>40.33</v>
      </c>
      <c r="AK38" s="168">
        <f t="shared" si="43"/>
        <v>8.8000000000000007</v>
      </c>
      <c r="AL38" s="169">
        <f t="shared" si="44"/>
        <v>1.0902612826603326</v>
      </c>
      <c r="AM38" s="170">
        <f>(BSP!AM38+BSL!AM38+DSP!AM38+RSP!AM38+ISP!AM38)</f>
        <v>75885.100000000006</v>
      </c>
      <c r="AO38" s="172">
        <f t="shared" si="36"/>
        <v>44593</v>
      </c>
      <c r="AP38" s="167">
        <f>IFERROR((BSP!AP38*BSP!AW38+BSL!AP38*BSL!AW38+DSP!AP38*DSP!AW38+RSP!AP38*RSP!AW38+ISP!AP38*ISP!AW38)/(BSP!AW38+BSL!AW38+DSP!AW38+RSP!AW38+ISP!AW38),)</f>
        <v>63.23</v>
      </c>
      <c r="AQ38" s="168">
        <f>IFERROR((BSP!AQ38*BSP!AW38+BSL!AQ38*BSL!AW38+DSP!AQ38*DSP!AW38+RSP!AQ38*RSP!AW38+ISP!AQ38*ISP!AW38)/(BSP!AW38+BSL!AW38+DSP!AW38+RSP!AW38+ISP!AW38),)</f>
        <v>2.36</v>
      </c>
      <c r="AR38" s="168">
        <f>IFERROR((BSP!AR38*BSP!AW38+BSL!AR38*BSL!AW38+DSP!AR38*DSP!AW38+RSP!AR38*RSP!AW38+ISP!AR38*ISP!AW38)/(BSP!AW38+BSL!AW38+DSP!AW38+RSP!AW38+ISP!AW38),)</f>
        <v>2.31</v>
      </c>
      <c r="AS38" s="168">
        <f>IFERROR((BSP!AS38*BSP!AW38+BSL!AS38*BSL!AW38+DSP!AS38*DSP!AW38+RSP!AS38*RSP!AW38+ISP!AS38*ISP!AW38)/(IF(BSP!AT38&gt;0,BSP!AW38,0)+IF(BSL!AT38&gt;0,BSL!AW38,0)+IF(DSP!AT38&gt;0,DSP!AW38,0)+IF(RSP!AT38&gt;0,RSP!AW38,0)+IF(ISP!AT38&gt;0,ISP!AW38,0)),)</f>
        <v>3.38</v>
      </c>
      <c r="AT38" s="168">
        <f>IFERROR((BSP!AT38*BSP!AW38+BSL!AT38*BSL!AW38+DSP!AT38*DSP!AW38+RSP!AT38*RSP!AW38+ISP!AT38*ISP!AW38)/(IF(BSP!AT38&gt;0,BSP!AW38,0)+IF(BSL!AT38&gt;0,BSL!AW38,0)+IF(DSP!AT38&gt;0,DSP!AW38,0)+IF(RSP!AT38&gt;0,RSP!AW38,0)+IF(ISP!AT38&gt;0,ISP!AW38,0)),)</f>
        <v>12.09</v>
      </c>
      <c r="AU38" s="168">
        <f t="shared" si="45"/>
        <v>4.67</v>
      </c>
      <c r="AV38" s="169">
        <f t="shared" si="46"/>
        <v>0.97881355932203395</v>
      </c>
      <c r="AW38" s="170">
        <f>(BSP!AW38+BSL!AW38+DSP!AW38+RSP!AW38+ISP!AW38)</f>
        <v>118876.2</v>
      </c>
      <c r="AY38" s="172">
        <f t="shared" si="52"/>
        <v>44593</v>
      </c>
      <c r="AZ38" s="167">
        <f>IFERROR((BSP!AZ38*BSP!BG38+BSL!AZ38*BSL!BG38+DSP!AZ38*DSP!BG38+RSP!AZ38*RSP!BG38+ISP!AZ38*ISP!BG38)/(BSP!BG38+BSL!BG38+DSP!BG38+RSP!BG38+ISP!BG38),)</f>
        <v>62.93</v>
      </c>
      <c r="BA38" s="168">
        <f>IFERROR((BSP!BA38*BSP!BG38+BSL!BA38*BSL!BG38+DSP!BA38*DSP!BG38+RSP!BA38*RSP!BG38+ISP!BA38*ISP!BG38)/(BSP!BG38+BSL!BG38+DSP!BG38+RSP!BG38+ISP!BG38),)</f>
        <v>2.57</v>
      </c>
      <c r="BB38" s="168">
        <f>IFERROR((BSP!BB38*BSP!BG38+BSL!BB38*BSL!BG38+DSP!BB38*DSP!BG38+RSP!BB38*RSP!BG38+ISP!BB38*ISP!BG38)/(BSP!BG38+BSL!BG38+DSP!BG38+RSP!BG38+ISP!BG38),)</f>
        <v>2.31</v>
      </c>
      <c r="BC38" s="168">
        <f>IFERROR((BSP!BC38*BSP!BG38+BSL!BC38*BSL!BG38+DSP!BC38*DSP!BG38+RSP!BC38*RSP!BG38+ISP!BC38*ISP!BG38)/(IF(BSP!BD38&gt;0,BSP!BG38,0)+IF(BSL!BD38&gt;0,BSL!BG38,0)+IF(DSP!BD38&gt;0,DSP!BG38,0)+IF(RSP!BD38&gt;0,RSP!BG38,0)+IF(ISP!BD38&gt;0,ISP!BG38,0)),)</f>
        <v>3.61</v>
      </c>
      <c r="BD38" s="168">
        <f>IFERROR((BSP!BD38*BSP!BG38+BSL!BD38*BSL!BG38+DSP!BD38*DSP!BG38+RSP!BD38*RSP!BG38+ISP!BD38*ISP!BG38)/(IF(BSP!BD38&gt;0,BSP!BG38,0)+IF(BSL!BD38&gt;0,BSL!BG38,0)+IF(DSP!BD38&gt;0,DSP!BG38,0)+IF(RSP!BD38&gt;0,RSP!BG38,0)+IF(ISP!BD38&gt;0,ISP!BG38,0)),)</f>
        <v>37.39</v>
      </c>
      <c r="BE38" s="168">
        <f t="shared" si="47"/>
        <v>4.88</v>
      </c>
      <c r="BF38" s="169">
        <f t="shared" si="48"/>
        <v>0.89883268482490275</v>
      </c>
      <c r="BG38" s="170">
        <f>(BSP!BG38+BSL!BG38+DSP!BG38+RSP!BG38+ISP!BG38)</f>
        <v>130194.2</v>
      </c>
      <c r="BK38" s="178">
        <f t="shared" si="28"/>
        <v>44593</v>
      </c>
      <c r="BL38" s="179">
        <f t="shared" si="28"/>
        <v>60.38000000000001</v>
      </c>
      <c r="BM38" s="180">
        <f t="shared" si="28"/>
        <v>5.71</v>
      </c>
      <c r="BN38" s="180">
        <f t="shared" si="28"/>
        <v>2.79</v>
      </c>
      <c r="BO38" s="180">
        <f t="shared" si="28"/>
        <v>13.529999999999998</v>
      </c>
      <c r="BP38" s="180">
        <f t="shared" si="28"/>
        <v>29.190000000000005</v>
      </c>
      <c r="BQ38" s="180">
        <f t="shared" si="28"/>
        <v>8.5</v>
      </c>
      <c r="BR38" s="181">
        <f t="shared" si="28"/>
        <v>0.48861646234676009</v>
      </c>
      <c r="BS38" s="182">
        <f t="shared" si="28"/>
        <v>79132.5</v>
      </c>
      <c r="BT38" s="231">
        <f t="shared" si="28"/>
        <v>0</v>
      </c>
      <c r="BU38" s="178">
        <f t="shared" si="28"/>
        <v>44593</v>
      </c>
      <c r="BV38" s="179">
        <f t="shared" si="28"/>
        <v>60.085554953147131</v>
      </c>
      <c r="BW38" s="180">
        <f t="shared" si="28"/>
        <v>6.8128143049464951</v>
      </c>
      <c r="BX38" s="180">
        <f t="shared" si="28"/>
        <v>2.6209859172416969</v>
      </c>
      <c r="BY38" s="180">
        <f t="shared" si="28"/>
        <v>5.8965828484668235</v>
      </c>
      <c r="BZ38" s="180">
        <f t="shared" si="28"/>
        <v>42.24995539681403</v>
      </c>
      <c r="CA38" s="180">
        <f t="shared" si="49"/>
        <v>9.4338002221881929</v>
      </c>
      <c r="CB38" s="181">
        <f t="shared" si="49"/>
        <v>0.38471412839459168</v>
      </c>
      <c r="CC38" s="182">
        <f t="shared" si="49"/>
        <v>169135.90000000002</v>
      </c>
      <c r="CD38" s="104">
        <f t="shared" si="20"/>
        <v>0</v>
      </c>
      <c r="CE38" s="178">
        <f t="shared" si="30"/>
        <v>44593</v>
      </c>
      <c r="CF38" s="179">
        <f t="shared" si="30"/>
        <v>63.263430986150048</v>
      </c>
      <c r="CG38" s="180">
        <f t="shared" si="30"/>
        <v>3.144597060701102</v>
      </c>
      <c r="CH38" s="180">
        <f t="shared" si="30"/>
        <v>1.856603592476431</v>
      </c>
      <c r="CI38" s="180">
        <f t="shared" si="30"/>
        <v>3.311487852378177</v>
      </c>
      <c r="CJ38" s="180">
        <f t="shared" si="30"/>
        <v>20.407549705329966</v>
      </c>
      <c r="CK38" s="180">
        <f t="shared" si="30"/>
        <v>5.0012006531775333</v>
      </c>
      <c r="CL38" s="181">
        <f t="shared" si="30"/>
        <v>0.59041064932576548</v>
      </c>
      <c r="CM38" s="182">
        <f t="shared" si="30"/>
        <v>86469.599999999991</v>
      </c>
      <c r="CN38" s="109">
        <f t="shared" si="30"/>
        <v>0</v>
      </c>
      <c r="CO38" s="178">
        <f t="shared" si="30"/>
        <v>44593</v>
      </c>
      <c r="CP38" s="179">
        <f t="shared" si="30"/>
        <v>62.443203115266712</v>
      </c>
      <c r="CQ38" s="180">
        <f t="shared" si="30"/>
        <v>4.2788267128524424</v>
      </c>
      <c r="CR38" s="180">
        <f t="shared" si="30"/>
        <v>1.9956445018366629</v>
      </c>
      <c r="CS38" s="180">
        <f t="shared" si="30"/>
        <v>6.8379780098820895</v>
      </c>
      <c r="CT38" s="180">
        <f t="shared" si="30"/>
        <v>45.425663137307531</v>
      </c>
      <c r="CU38" s="180">
        <f t="shared" si="50"/>
        <v>6.2744712146891057</v>
      </c>
      <c r="CV38" s="181">
        <f t="shared" si="50"/>
        <v>0.46639993525381257</v>
      </c>
      <c r="CW38" s="182">
        <f t="shared" si="50"/>
        <v>228757.3</v>
      </c>
      <c r="CX38" s="111">
        <f t="shared" si="2"/>
        <v>0</v>
      </c>
      <c r="CY38" s="178">
        <f t="shared" si="32"/>
        <v>44593</v>
      </c>
      <c r="CZ38" s="179">
        <f t="shared" si="32"/>
        <v>62.78</v>
      </c>
      <c r="DA38" s="180">
        <f t="shared" si="32"/>
        <v>2.8</v>
      </c>
      <c r="DB38" s="180">
        <f t="shared" si="32"/>
        <v>2.54</v>
      </c>
      <c r="DC38" s="180">
        <f t="shared" si="32"/>
        <v>5.25</v>
      </c>
      <c r="DD38" s="180">
        <f t="shared" si="32"/>
        <v>13.63</v>
      </c>
      <c r="DE38" s="180">
        <f t="shared" si="32"/>
        <v>5.34</v>
      </c>
      <c r="DF38" s="181">
        <f t="shared" si="32"/>
        <v>0.90714285714285725</v>
      </c>
      <c r="DG38" s="182">
        <f t="shared" si="32"/>
        <v>29782.6</v>
      </c>
      <c r="DH38" s="109">
        <f t="shared" si="32"/>
        <v>0</v>
      </c>
      <c r="DI38" s="178">
        <f t="shared" si="32"/>
        <v>44593</v>
      </c>
      <c r="DJ38" s="179">
        <f t="shared" si="32"/>
        <v>62.5</v>
      </c>
      <c r="DK38" s="180">
        <f t="shared" si="32"/>
        <v>2.87</v>
      </c>
      <c r="DL38" s="180">
        <f t="shared" si="32"/>
        <v>2.54</v>
      </c>
      <c r="DM38" s="180">
        <f t="shared" si="32"/>
        <v>5</v>
      </c>
      <c r="DN38" s="180">
        <f t="shared" si="32"/>
        <v>36.71</v>
      </c>
      <c r="DO38" s="180">
        <f t="shared" si="51"/>
        <v>5.41</v>
      </c>
      <c r="DP38" s="181">
        <f t="shared" si="51"/>
        <v>0.8850174216027874</v>
      </c>
      <c r="DQ38" s="182">
        <f t="shared" si="51"/>
        <v>37044.1</v>
      </c>
    </row>
    <row r="39" spans="1:121" ht="19" customHeight="1" thickBot="1" x14ac:dyDescent="0.4">
      <c r="A39" s="166">
        <f>BSP!A39</f>
        <v>44621</v>
      </c>
      <c r="B39" s="183">
        <f>IFERROR((BSP!B39*BSP!I39+BSL!B39*BSL!I39+DSP!B39*DSP!I39+RSP!B39*RSP!I39+ISP!B39*ISP!I39)/(BSP!I39+BSL!I39+DSP!I39+RSP!I39+ISP!I39),)</f>
        <v>63.062361425646856</v>
      </c>
      <c r="C39" s="184">
        <f>IFERROR((BSP!C39*BSP!I39+BSL!C39*BSL!I39+DSP!C39*DSP!I39+RSP!C39*RSP!I39+ISP!C39*ISP!I39)/(BSP!I39+BSL!I39+DSP!I39+RSP!I39+ISP!I39),)</f>
        <v>3.8343009747242696</v>
      </c>
      <c r="D39" s="184">
        <f>IFERROR((BSP!D39*BSP!I39+BSL!D39*BSL!I39+DSP!D39*DSP!I39+RSP!D39*RSP!I39+ISP!D39*ISP!I39)/(BSP!I39+BSL!I39+DSP!I39+RSP!I39+ISP!I39),)</f>
        <v>1.4743041744459253</v>
      </c>
      <c r="E39" s="168">
        <f>IFERROR((BSP!E39*BSP!I39+BSL!E39*BSL!I39+DSP!E39*DSP!I39+RSP!E39*RSP!I39+ISP!E39*ISP!I39)/(IF(BSP!F39&gt;0,BSP!I39,0)+IF(BSL!F39&gt;0,BSL!I39,0)+IF(DSP!F39&gt;0,DSP!I39,0)+IF(RSP!F39&gt;0,RSP!I39,0)+IF(ISP!F39&gt;0,ISP!I39,0)),)</f>
        <v>9.8953903712194879</v>
      </c>
      <c r="F39" s="168">
        <f>IFERROR((BSP!F39*BSP!I39+BSL!F39*BSL!I39+DSP!F39*DSP!I39+RSP!F39*RSP!I39+ISP!F39*ISP!I39)/(IF(BSP!F39&gt;0,BSP!I39,0)+IF(BSL!F39&gt;0,BSL!I39,0)+IF(DSP!F39&gt;0,DSP!I39,0)+IF(RSP!F39&gt;0,RSP!I39,0)+IF(ISP!F39&gt;0,ISP!I39,0)),)</f>
        <v>19.593639854241804</v>
      </c>
      <c r="G39" s="168">
        <f t="shared" si="37"/>
        <v>5.3086051491701944</v>
      </c>
      <c r="H39" s="169">
        <f t="shared" si="38"/>
        <v>0.38450402933012967</v>
      </c>
      <c r="I39" s="170">
        <f>(BSP!I39+BSL!I39+DSP!I39+RSP!I39+ISP!I39)</f>
        <v>96570.900000000009</v>
      </c>
      <c r="J39" s="119"/>
      <c r="K39" s="166">
        <f>BSP!K39</f>
        <v>44621</v>
      </c>
      <c r="L39" s="183">
        <f>IFERROR((BSP!L39*BSP!S39+BSL!L39*BSL!S39+DSP!L39*DSP!S39+RSP!L39*RSP!S39+ISP!L39*ISP!S39)/(BSP!S39+BSL!S39+DSP!S39+RSP!S39+ISP!S39),)</f>
        <v>61.80092821649032</v>
      </c>
      <c r="M39" s="184">
        <f>IFERROR((BSP!M39*BSP!S39+BSL!M39*BSL!S39+DSP!M39*DSP!S39+RSP!M39*RSP!S39+ISP!M39*ISP!S39)/(BSP!S39+BSL!S39+DSP!S39+RSP!S39+ISP!S39),)</f>
        <v>4.9951317450194388</v>
      </c>
      <c r="N39" s="184">
        <f>IFERROR((BSP!N39*BSP!S39+BSL!N39*BSL!S39+DSP!N39*DSP!S39+RSP!N39*RSP!S39+ISP!N39*ISP!S39)/(BSP!S39+BSL!S39+DSP!S39+RSP!S39+ISP!S39),)</f>
        <v>2.3213741026973396</v>
      </c>
      <c r="O39" s="168">
        <f>IFERROR((BSP!O39*BSP!S39+BSL!O39*BSL!S39+DSP!O39*DSP!S39+RSP!O39*RSP!S39+ISP!O39*ISP!S39)/(IF(BSP!P39&gt;0,BSP!S39,0)+IF(BSL!P39&gt;0,BSL!S39,0)+IF(DSP!P39&gt;0,DSP!S39,0)+IF(RSP!P39&gt;0,RSP!S39,0)+IF(ISP!P39&gt;0,ISP!S39,0)),)</f>
        <v>6.5380112840929305</v>
      </c>
      <c r="P39" s="168">
        <f>IFERROR((BSP!P39*BSP!S39+BSL!P39*BSL!S39+DSP!P39*DSP!S39+RSP!P39*RSP!S39+ISP!P39*ISP!S39)/(IF(BSP!P39&gt;0,BSP!S39,0)+IF(BSL!P39&gt;0,BSL!S39,0)+IF(DSP!P39&gt;0,DSP!S39,0)+IF(RSP!P39&gt;0,RSP!S39,0)+IF(ISP!P39&gt;0,ISP!S39,0)),)</f>
        <v>46.283680570448581</v>
      </c>
      <c r="Q39" s="168">
        <f t="shared" si="39"/>
        <v>7.3165058477167779</v>
      </c>
      <c r="R39" s="169">
        <f t="shared" si="40"/>
        <v>0.46472730274070195</v>
      </c>
      <c r="S39" s="170">
        <f>(BSP!S39+BSL!S39+DSP!S39+RSP!S39+ISP!S39)</f>
        <v>284435.80000000005</v>
      </c>
      <c r="U39" s="172">
        <f t="shared" si="34"/>
        <v>44621</v>
      </c>
      <c r="V39" s="183">
        <f>IFERROR((BSP!V39*BSP!AC39+BSL!V39*BSL!AC39+DSP!V39*DSP!AC39+RSP!V39*RSP!AC39+ISP!V39*ISP!AC39)/(BSP!AC39+BSL!AC39+DSP!AC39+RSP!AC39+ISP!AC39),)</f>
        <v>61.03</v>
      </c>
      <c r="W39" s="184">
        <f>IFERROR((BSP!W39*BSP!AC39+BSL!W39*BSL!AC39+DSP!W39*DSP!AC39+RSP!W39*RSP!AC39+ISP!W39*ISP!AC39)/(BSP!AC39+BSL!AC39+DSP!AC39+RSP!AC39+ISP!AC39),)</f>
        <v>3.59</v>
      </c>
      <c r="X39" s="184">
        <f>IFERROR((BSP!X39*BSP!AC39+BSL!X39*BSL!AC39+DSP!X39*DSP!AC39+RSP!X39*RSP!AC39+ISP!X39*ISP!AC39)/(BSP!AC39+BSL!AC39+DSP!AC39+RSP!AC39+ISP!AC39),)</f>
        <v>4.1100000000000003</v>
      </c>
      <c r="Y39" s="168">
        <f>IFERROR((BSP!Y39*BSP!AC39+BSL!Y39*BSL!AC39+DSP!Y39*DSP!AC39+RSP!Y39*RSP!AC39+ISP!Y39*ISP!AC39)/(IF(BSP!Z39&gt;0,BSP!AC39,0)+IF(BSL!Z39&gt;0,BSL!AC39,0)+IF(DSP!Z39&gt;0,DSP!AC39,0)+IF(RSP!Z39&gt;0,RSP!AC39,0)+IF(ISP!Z39&gt;0,ISP!AC39,0)),)</f>
        <v>16.579999999999998</v>
      </c>
      <c r="Z39" s="168">
        <f>IFERROR((BSP!Z39*BSP!AC39+BSL!Z39*BSL!AC39+DSP!Z39*DSP!AC39+RSP!Z39*RSP!AC39+ISP!Z39*ISP!AC39)/(IF(BSP!Z39&gt;0,BSP!AC39,0)+IF(BSL!Z39&gt;0,BSL!AC39,0)+IF(DSP!Z39&gt;0,DSP!AC39,0)+IF(RSP!Z39&gt;0,RSP!AC39,0)+IF(ISP!Z39&gt;0,ISP!AC39,0)),)</f>
        <v>16.579999999999998</v>
      </c>
      <c r="AA39" s="168">
        <f t="shared" si="41"/>
        <v>7.7</v>
      </c>
      <c r="AB39" s="169">
        <f t="shared" si="42"/>
        <v>1.1448467966573816</v>
      </c>
      <c r="AC39" s="170">
        <f>(BSP!AC39+BSL!AC39+DSP!AC39+RSP!AC39+ISP!AC39)</f>
        <v>90075.3</v>
      </c>
      <c r="AD39" s="171"/>
      <c r="AE39" s="172">
        <f t="shared" si="35"/>
        <v>44621</v>
      </c>
      <c r="AF39" s="183">
        <f>IFERROR((BSP!AF39*BSP!AM39+BSL!AF39*BSL!AM39+DSP!AF39*DSP!AM39+RSP!AF39*RSP!AM39+ISP!AF39*ISP!AM39)/(BSP!AM39+BSL!AM39+DSP!AM39+RSP!AM39+ISP!AM39),)</f>
        <v>60.29</v>
      </c>
      <c r="AG39" s="184">
        <f>IFERROR((BSP!AG39*BSP!AM39+BSL!AG39*BSL!AM39+DSP!AG39*DSP!AM39+RSP!AG39*RSP!AM39+ISP!AG39*ISP!AM39)/(BSP!AM39+BSL!AM39+DSP!AM39+RSP!AM39+ISP!AM39),)</f>
        <v>3.9</v>
      </c>
      <c r="AH39" s="184">
        <f>IFERROR((BSP!AH39*BSP!AM39+BSL!AH39*BSL!AM39+DSP!AH39*DSP!AM39+RSP!AH39*RSP!AM39+ISP!AH39*ISP!AM39)/(BSP!AM39+BSL!AM39+DSP!AM39+RSP!AM39+ISP!AM39),)</f>
        <v>4.71</v>
      </c>
      <c r="AI39" s="168">
        <f>IFERROR((BSP!AI39*BSP!AM39+BSL!AI39*BSL!AM39+DSP!AI39*DSP!AM39+RSP!AI39*RSP!AM39+ISP!AI39*ISP!AM39)/(IF(BSP!AJ39&gt;0,BSP!AM39,0)+IF(BSL!AJ39&gt;0,BSL!AM39,0)+IF(DSP!AJ39&gt;0,DSP!AM39,0)+IF(RSP!AJ39&gt;0,RSP!AM39,0)+IF(ISP!AJ39&gt;0,ISP!AM39,0)),)</f>
        <v>4.32</v>
      </c>
      <c r="AJ39" s="168">
        <f>IFERROR((BSP!AJ39*BSP!AM39+BSL!AJ39*BSL!AM39+DSP!AJ39*DSP!AM39+RSP!AJ39*RSP!AM39+ISP!AJ39*ISP!AM39)/(IF(BSP!AJ39&gt;0,BSP!AM39,0)+IF(BSL!AJ39&gt;0,BSL!AM39,0)+IF(DSP!AJ39&gt;0,DSP!AM39,0)+IF(RSP!AJ39&gt;0,RSP!AM39,0)+IF(ISP!AJ39&gt;0,ISP!AM39,0)),)</f>
        <v>39.85</v>
      </c>
      <c r="AK39" s="168">
        <f t="shared" si="43"/>
        <v>8.61</v>
      </c>
      <c r="AL39" s="169">
        <f t="shared" si="44"/>
        <v>1.2076923076923076</v>
      </c>
      <c r="AM39" s="170">
        <f>(BSP!AM39+BSL!AM39+DSP!AM39+RSP!AM39+ISP!AM39)</f>
        <v>125678.39999999999</v>
      </c>
      <c r="AO39" s="185">
        <f t="shared" si="36"/>
        <v>44621</v>
      </c>
      <c r="AP39" s="183">
        <f>IFERROR((BSP!AP39*BSP!AW39+BSL!AP39*BSL!AW39+DSP!AP39*DSP!AW39+RSP!AP39*RSP!AW39+ISP!AP39*ISP!AW39)/(BSP!AW39+BSL!AW39+DSP!AW39+RSP!AW39+ISP!AW39),)</f>
        <v>63.19</v>
      </c>
      <c r="AQ39" s="184">
        <f>IFERROR((BSP!AQ39*BSP!AW39+BSL!AQ39*BSL!AW39+DSP!AQ39*DSP!AW39+RSP!AQ39*RSP!AW39+ISP!AQ39*ISP!AW39)/(BSP!AW39+BSL!AW39+DSP!AW39+RSP!AW39+ISP!AW39),)</f>
        <v>2.36</v>
      </c>
      <c r="AR39" s="184">
        <f>IFERROR((BSP!AR39*BSP!AW39+BSL!AR39*BSL!AW39+DSP!AR39*DSP!AW39+RSP!AR39*RSP!AW39+ISP!AR39*ISP!AW39)/(BSP!AW39+BSL!AW39+DSP!AW39+RSP!AW39+ISP!AW39),)</f>
        <v>2.33</v>
      </c>
      <c r="AS39" s="168">
        <f>IFERROR((BSP!AS39*BSP!AW39+BSL!AS39*BSL!AW39+DSP!AS39*DSP!AW39+RSP!AS39*RSP!AW39+ISP!AS39*ISP!AW39)/(IF(BSP!AT39&gt;0,BSP!AW39,0)+IF(BSL!AT39&gt;0,BSL!AW39,0)+IF(DSP!AT39&gt;0,DSP!AW39,0)+IF(RSP!AT39&gt;0,RSP!AW39,0)+IF(ISP!AT39&gt;0,ISP!AW39,0)),)</f>
        <v>13.37</v>
      </c>
      <c r="AT39" s="168">
        <f>IFERROR((BSP!AT39*BSP!AW39+BSL!AT39*BSL!AW39+DSP!AT39*DSP!AW39+RSP!AT39*RSP!AW39+ISP!AT39*ISP!AW39)/(IF(BSP!AT39&gt;0,BSP!AW39,0)+IF(BSL!AT39&gt;0,BSL!AW39,0)+IF(DSP!AT39&gt;0,DSP!AW39,0)+IF(RSP!AT39&gt;0,RSP!AW39,0)+IF(ISP!AT39&gt;0,ISP!AW39,0)),)</f>
        <v>13.37</v>
      </c>
      <c r="AU39" s="168">
        <f t="shared" si="45"/>
        <v>4.6899999999999995</v>
      </c>
      <c r="AV39" s="169">
        <f t="shared" si="46"/>
        <v>0.98728813559322037</v>
      </c>
      <c r="AW39" s="170">
        <f>(BSP!AW39+BSL!AW39+DSP!AW39+RSP!AW39+ISP!AW39)</f>
        <v>99106.6</v>
      </c>
      <c r="AY39" s="185">
        <f t="shared" si="52"/>
        <v>44621</v>
      </c>
      <c r="AZ39" s="183">
        <f>IFERROR((BSP!AZ39*BSP!BG39+BSL!AZ39*BSL!BG39+DSP!AZ39*DSP!BG39+RSP!AZ39*RSP!BG39+ISP!AZ39*ISP!BG39)/(BSP!BG39+BSL!BG39+DSP!BG39+RSP!BG39+ISP!BG39),)</f>
        <v>62.909999999999989</v>
      </c>
      <c r="BA39" s="184">
        <f>IFERROR((BSP!BA39*BSP!BG39+BSL!BA39*BSL!BG39+DSP!BA39*DSP!BG39+RSP!BA39*RSP!BG39+ISP!BA39*ISP!BG39)/(BSP!BG39+BSL!BG39+DSP!BG39+RSP!BG39+ISP!BG39),)</f>
        <v>2.4300000000000002</v>
      </c>
      <c r="BB39" s="184">
        <f>IFERROR((BSP!BB39*BSP!BG39+BSL!BB39*BSL!BG39+DSP!BB39*DSP!BG39+RSP!BB39*RSP!BG39+ISP!BB39*ISP!BG39)/(BSP!BG39+BSL!BG39+DSP!BG39+RSP!BG39+ISP!BG39),)</f>
        <v>2.41</v>
      </c>
      <c r="BC39" s="168">
        <f>IFERROR((BSP!BC39*BSP!BG39+BSL!BC39*BSL!BG39+DSP!BC39*DSP!BG39+RSP!BC39*RSP!BG39+ISP!BC39*ISP!BG39)/(IF(BSP!BD39&gt;0,BSP!BG39,0)+IF(BSL!BD39&gt;0,BSL!BG39,0)+IF(DSP!BD39&gt;0,DSP!BG39,0)+IF(RSP!BD39&gt;0,RSP!BG39,0)+IF(ISP!BD39&gt;0,ISP!BG39,0)),)</f>
        <v>3.74</v>
      </c>
      <c r="BD39" s="168">
        <f>IFERROR((BSP!BD39*BSP!BG39+BSL!BD39*BSL!BG39+DSP!BD39*DSP!BG39+RSP!BD39*RSP!BG39+ISP!BD39*ISP!BG39)/(IF(BSP!BD39&gt;0,BSP!BG39,0)+IF(BSL!BD39&gt;0,BSL!BG39,0)+IF(DSP!BD39&gt;0,DSP!BG39,0)+IF(RSP!BD39&gt;0,RSP!BG39,0)+IF(ISP!BD39&gt;0,ISP!BG39,0)),)</f>
        <v>36.83</v>
      </c>
      <c r="BE39" s="168">
        <f t="shared" si="47"/>
        <v>4.84</v>
      </c>
      <c r="BF39" s="169">
        <f t="shared" si="48"/>
        <v>0.99176954732510292</v>
      </c>
      <c r="BG39" s="235">
        <f>(BSP!BG39+BSL!BG39+DSP!BG39+RSP!BG39+ISP!BG39)</f>
        <v>86077.6</v>
      </c>
      <c r="BK39" s="186">
        <f t="shared" si="28"/>
        <v>44621</v>
      </c>
      <c r="BL39" s="187">
        <f t="shared" si="28"/>
        <v>60.809864732230757</v>
      </c>
      <c r="BM39" s="188">
        <f t="shared" si="28"/>
        <v>5.7878568728050235</v>
      </c>
      <c r="BN39" s="188">
        <f t="shared" si="28"/>
        <v>2.6381096501440044</v>
      </c>
      <c r="BO39" s="188">
        <f t="shared" si="28"/>
        <v>13.561671389459324</v>
      </c>
      <c r="BP39" s="188">
        <f t="shared" si="28"/>
        <v>26.913905388924782</v>
      </c>
      <c r="BQ39" s="188">
        <f t="shared" si="28"/>
        <v>8.4259665229490288</v>
      </c>
      <c r="BR39" s="189">
        <f t="shared" si="28"/>
        <v>0.45580077533352559</v>
      </c>
      <c r="BS39" s="190">
        <f t="shared" si="28"/>
        <v>133572.1</v>
      </c>
      <c r="BT39" s="231">
        <f t="shared" si="28"/>
        <v>0</v>
      </c>
      <c r="BU39" s="186">
        <f t="shared" si="28"/>
        <v>44621</v>
      </c>
      <c r="BV39" s="187">
        <f t="shared" si="28"/>
        <v>60.310905161224476</v>
      </c>
      <c r="BW39" s="188">
        <f t="shared" ref="BW39:BZ40" si="53">BA18</f>
        <v>6.6582264119462753</v>
      </c>
      <c r="BX39" s="188">
        <f t="shared" si="53"/>
        <v>2.9125242383159033</v>
      </c>
      <c r="BY39" s="188">
        <f t="shared" si="53"/>
        <v>5.3475369872296463</v>
      </c>
      <c r="BZ39" s="188">
        <f t="shared" si="53"/>
        <v>42.64326750627891</v>
      </c>
      <c r="CA39" s="188">
        <f t="shared" si="49"/>
        <v>9.5707506502621786</v>
      </c>
      <c r="CB39" s="189">
        <f t="shared" si="49"/>
        <v>0.43743244193231623</v>
      </c>
      <c r="CC39" s="190">
        <f t="shared" si="49"/>
        <v>214567.30000000002</v>
      </c>
      <c r="CD39" s="104">
        <f t="shared" si="20"/>
        <v>0</v>
      </c>
      <c r="CE39" s="186">
        <f t="shared" si="30"/>
        <v>44621</v>
      </c>
      <c r="CF39" s="187">
        <f t="shared" si="30"/>
        <v>63.062361425646856</v>
      </c>
      <c r="CG39" s="188">
        <f t="shared" si="30"/>
        <v>3.8343009747242696</v>
      </c>
      <c r="CH39" s="188">
        <f t="shared" si="30"/>
        <v>1.4743041744459253</v>
      </c>
      <c r="CI39" s="188">
        <f t="shared" si="30"/>
        <v>9.8953903712194879</v>
      </c>
      <c r="CJ39" s="188">
        <f t="shared" si="30"/>
        <v>19.593639854241804</v>
      </c>
      <c r="CK39" s="188">
        <f t="shared" si="30"/>
        <v>5.3086051491701944</v>
      </c>
      <c r="CL39" s="189">
        <f t="shared" si="30"/>
        <v>0.38450402933012967</v>
      </c>
      <c r="CM39" s="190">
        <f t="shared" si="30"/>
        <v>96570.900000000009</v>
      </c>
      <c r="CN39" s="109">
        <f t="shared" si="30"/>
        <v>0</v>
      </c>
      <c r="CO39" s="186">
        <f t="shared" si="30"/>
        <v>44621</v>
      </c>
      <c r="CP39" s="187">
        <f t="shared" si="30"/>
        <v>61.80092821649032</v>
      </c>
      <c r="CQ39" s="188">
        <f t="shared" ref="CQ39:CT40" si="54">M39</f>
        <v>4.9951317450194388</v>
      </c>
      <c r="CR39" s="188">
        <f t="shared" si="54"/>
        <v>2.3213741026973396</v>
      </c>
      <c r="CS39" s="188">
        <f t="shared" si="54"/>
        <v>6.5380112840929305</v>
      </c>
      <c r="CT39" s="188">
        <f t="shared" si="54"/>
        <v>46.283680570448581</v>
      </c>
      <c r="CU39" s="188">
        <f t="shared" si="50"/>
        <v>7.3165058477167779</v>
      </c>
      <c r="CV39" s="189">
        <f t="shared" si="50"/>
        <v>0.46472730274070195</v>
      </c>
      <c r="CW39" s="190">
        <f t="shared" si="50"/>
        <v>284435.80000000005</v>
      </c>
      <c r="CX39" s="111">
        <f t="shared" si="2"/>
        <v>0</v>
      </c>
      <c r="CY39" s="186">
        <f t="shared" si="32"/>
        <v>44621</v>
      </c>
      <c r="CZ39" s="187">
        <f t="shared" si="32"/>
        <v>62.7</v>
      </c>
      <c r="DA39" s="188">
        <f t="shared" si="32"/>
        <v>2.62</v>
      </c>
      <c r="DB39" s="188">
        <f t="shared" si="32"/>
        <v>2.71</v>
      </c>
      <c r="DC39" s="188">
        <f t="shared" si="32"/>
        <v>7.669999999999999</v>
      </c>
      <c r="DD39" s="188">
        <f t="shared" si="32"/>
        <v>15.75</v>
      </c>
      <c r="DE39" s="188">
        <f t="shared" si="32"/>
        <v>5.33</v>
      </c>
      <c r="DF39" s="189">
        <f t="shared" si="32"/>
        <v>1.0343511450381679</v>
      </c>
      <c r="DG39" s="190">
        <f t="shared" si="32"/>
        <v>40347.9</v>
      </c>
      <c r="DH39" s="109">
        <f t="shared" si="32"/>
        <v>0</v>
      </c>
      <c r="DI39" s="186">
        <f t="shared" si="32"/>
        <v>44621</v>
      </c>
      <c r="DJ39" s="187">
        <f t="shared" si="32"/>
        <v>62.290000000000006</v>
      </c>
      <c r="DK39" s="188">
        <f t="shared" ref="DK39:DN40" si="55">M60</f>
        <v>2.65</v>
      </c>
      <c r="DL39" s="188">
        <f t="shared" si="55"/>
        <v>3.06</v>
      </c>
      <c r="DM39" s="188">
        <f t="shared" si="55"/>
        <v>3.6</v>
      </c>
      <c r="DN39" s="188">
        <f t="shared" si="55"/>
        <v>38.200000000000003</v>
      </c>
      <c r="DO39" s="188">
        <f t="shared" si="51"/>
        <v>5.71</v>
      </c>
      <c r="DP39" s="189">
        <f t="shared" si="51"/>
        <v>1.1547169811320754</v>
      </c>
      <c r="DQ39" s="190">
        <f t="shared" si="51"/>
        <v>44209.7</v>
      </c>
    </row>
    <row r="40" spans="1:121" ht="29" thickBot="1" x14ac:dyDescent="0.4">
      <c r="A40" s="191" t="str">
        <f>BSP!A40</f>
        <v>CUMML</v>
      </c>
      <c r="B40" s="192">
        <f>+SUMPRODUCT(B28:B39,I28:I39)/I40</f>
        <v>62.424444066276088</v>
      </c>
      <c r="C40" s="192">
        <f>+SUMPRODUCT(C28:C39,I28:I39)/I40</f>
        <v>4.3691127893006172</v>
      </c>
      <c r="D40" s="192">
        <f>+SUMPRODUCT(D28:D39,I28:I39)/I40</f>
        <v>1.7481420450379261</v>
      </c>
      <c r="E40" s="192">
        <f>+SUMPRODUCT(E28:E39,I28:I39)/SUMIF(E28:E39,"&gt;0",I28:I39)</f>
        <v>11.965136163091039</v>
      </c>
      <c r="F40" s="192">
        <f>+SUMPRODUCT(F28:F39,I28:I39)/SUMIF(F28:F39,"&gt;0",I28:I39)</f>
        <v>12.374410942089535</v>
      </c>
      <c r="G40" s="193">
        <f t="shared" si="37"/>
        <v>6.1172548343385431</v>
      </c>
      <c r="H40" s="194">
        <f t="shared" si="38"/>
        <v>0.40011373689388291</v>
      </c>
      <c r="I40" s="195">
        <f>SUM(I28:I39)</f>
        <v>1107942.6799999997</v>
      </c>
      <c r="J40" s="119"/>
      <c r="K40" s="191" t="str">
        <f>BSP!K40</f>
        <v>CUMML</v>
      </c>
      <c r="L40" s="192">
        <f>+SUMPRODUCT(L28:L39,S28:S39)/S40</f>
        <v>61.884429608339055</v>
      </c>
      <c r="M40" s="192">
        <f>+SUMPRODUCT(M28:M39,S28:S39)/S40</f>
        <v>4.7780225270807062</v>
      </c>
      <c r="N40" s="192">
        <f>+SUMPRODUCT(N28:N39,S28:S39)/S40</f>
        <v>2.2743245224268258</v>
      </c>
      <c r="O40" s="192">
        <f>+SUMPRODUCT(O28:O39,S28:S39)/SUMIF(O28:O39,"&gt;0",S28:S39)</f>
        <v>6.7964351909817697</v>
      </c>
      <c r="P40" s="192">
        <f>+SUMPRODUCT(P28:P39,S28:S39)/SUMIF(P28:P39,"&gt;0",S28:S39)</f>
        <v>43.814794284338383</v>
      </c>
      <c r="Q40" s="193">
        <f t="shared" si="39"/>
        <v>7.0523470495075316</v>
      </c>
      <c r="R40" s="194">
        <f t="shared" si="40"/>
        <v>0.47599702796219362</v>
      </c>
      <c r="S40" s="195">
        <f>SUM(S28:S39)</f>
        <v>2764239.2199999997</v>
      </c>
      <c r="U40" s="191" t="str">
        <f>BSP!U40</f>
        <v>CUMML</v>
      </c>
      <c r="V40" s="192">
        <f>+SUMPRODUCT(V28:V39,AC28:AC39)/AC40</f>
        <v>61.331991960194287</v>
      </c>
      <c r="W40" s="192">
        <f>+SUMPRODUCT(W28:W39,AC28:AC39)/AC40</f>
        <v>3.887329234282308</v>
      </c>
      <c r="X40" s="192">
        <f>+SUMPRODUCT(X28:X39,AC28:AC39)/AC40</f>
        <v>3.4703439620305163</v>
      </c>
      <c r="Y40" s="192">
        <f>+SUMPRODUCT(Y28:Y39,AC28:AC39)/SUMIF(Y28:Y39,"&gt;0",AC28:AC39)</f>
        <v>15.799288545183696</v>
      </c>
      <c r="Z40" s="192">
        <f>+SUMPRODUCT(Z28:Z39,AC28:AC39)/SUMIF(Z28:Z39,"&gt;0",AC28:AC39)</f>
        <v>17.292911418781156</v>
      </c>
      <c r="AA40" s="193">
        <f t="shared" si="41"/>
        <v>7.3576731963128239</v>
      </c>
      <c r="AB40" s="194">
        <f t="shared" si="42"/>
        <v>0.89273219552015204</v>
      </c>
      <c r="AC40" s="195">
        <f>SUM(AC28:AC39)</f>
        <v>706143.93</v>
      </c>
      <c r="AD40" s="171"/>
      <c r="AE40" s="196" t="str">
        <f>BSP!AE40</f>
        <v>CUMML</v>
      </c>
      <c r="AF40" s="192">
        <f>+SUMPRODUCT(AF28:AF39,AM28:AM39)/AM40</f>
        <v>60.369746981577485</v>
      </c>
      <c r="AG40" s="192">
        <f>+SUMPRODUCT(AG28:AG39,AM28:AM39)/AM40</f>
        <v>4.6679464364232839</v>
      </c>
      <c r="AH40" s="192">
        <f>+SUMPRODUCT(AH28:AH39,AM28:AM39)/AM40</f>
        <v>3.8729704884947003</v>
      </c>
      <c r="AI40" s="192">
        <f>+SUMPRODUCT(AI28:AI39,AM28:AM39)/SUMIF(AI28:AI39,"&gt;0",AM28:AM39)</f>
        <v>5.2391934599435803</v>
      </c>
      <c r="AJ40" s="192">
        <f>+SUMPRODUCT(AJ28:AJ39,AM28:AM39)/SUMIF(AJ28:AJ39,"&gt;0",AM28:AM39)</f>
        <v>45.708742573628115</v>
      </c>
      <c r="AK40" s="193">
        <f t="shared" si="43"/>
        <v>8.5409169249179833</v>
      </c>
      <c r="AL40" s="194">
        <f t="shared" si="44"/>
        <v>0.82969471506238679</v>
      </c>
      <c r="AM40" s="195">
        <f>SUM(AM28:AM39)</f>
        <v>1221503.94</v>
      </c>
      <c r="AO40" s="197" t="str">
        <f t="shared" ref="AO40" si="56">A61</f>
        <v>CUMML</v>
      </c>
      <c r="AP40" s="192">
        <f>+SUMPRODUCT(AP28:AP39,AW28:AW39)/AW40</f>
        <v>63.156945300092744</v>
      </c>
      <c r="AQ40" s="192">
        <f>+SUMPRODUCT(AQ28:AQ39,AW28:AW39)/AW40</f>
        <v>2.4914725881741022</v>
      </c>
      <c r="AR40" s="192">
        <f>+SUMPRODUCT(AR28:AR39,AW28:AW39)/AW40</f>
        <v>2.2889412423402469</v>
      </c>
      <c r="AS40" s="192">
        <f>+SUMPRODUCT(AS28:AS39,AW28:AW39)/SUMIF(AS28:AS39,"&gt;0",AW28:AW39)</f>
        <v>4.7713293204889276</v>
      </c>
      <c r="AT40" s="192">
        <f>+SUMPRODUCT(AT28:AT39,AW28:AW39)/SUMIF(AT28:AT39,"&gt;0",AW28:AW39)</f>
        <v>12.834905667418159</v>
      </c>
      <c r="AU40" s="193">
        <f t="shared" si="45"/>
        <v>4.7804138305143491</v>
      </c>
      <c r="AV40" s="194">
        <f t="shared" si="46"/>
        <v>0.91871018497446832</v>
      </c>
      <c r="AW40" s="195">
        <f>SUM(AW28:AW39)</f>
        <v>1347938.3</v>
      </c>
      <c r="AY40" s="197" t="str">
        <f t="shared" ref="AY40" si="57">K61</f>
        <v>CUMML</v>
      </c>
      <c r="AZ40" s="192">
        <f>+SUMPRODUCT(AZ28:AZ39,BG28:BG39)/BG40</f>
        <v>62.860688468305923</v>
      </c>
      <c r="BA40" s="192">
        <f>+SUMPRODUCT(BA28:BA39,BG28:BG39)/BG40</f>
        <v>2.6585332593043658</v>
      </c>
      <c r="BB40" s="192">
        <f>+SUMPRODUCT(BB28:BB39,BG28:BG39)/BG40</f>
        <v>2.3280340348717679</v>
      </c>
      <c r="BC40" s="192">
        <f>+SUMPRODUCT(BC28:BC39,BG28:BG39)/SUMIF(BC28:BC39,"&gt;0",BG28:BG39)</f>
        <v>3.7001417352027079</v>
      </c>
      <c r="BD40" s="192">
        <f>+SUMPRODUCT(BD28:BD39,BG28:BG39)/SUMIF(BD28:BD39,"&gt;0",BG28:BG39)</f>
        <v>37.15590397712171</v>
      </c>
      <c r="BE40" s="193">
        <f t="shared" si="47"/>
        <v>4.9865672941761332</v>
      </c>
      <c r="BF40" s="194">
        <f t="shared" si="48"/>
        <v>0.87568362243507281</v>
      </c>
      <c r="BG40" s="195">
        <f>SUM(BG28:BG39)</f>
        <v>1842522.0000000002</v>
      </c>
      <c r="BK40" s="200" t="str">
        <f t="shared" ref="BK40:BV40" si="58">AO19</f>
        <v>CUMML</v>
      </c>
      <c r="BL40" s="201">
        <f t="shared" si="58"/>
        <v>60.620288894412013</v>
      </c>
      <c r="BM40" s="202">
        <f t="shared" si="58"/>
        <v>5.7148051965600475</v>
      </c>
      <c r="BN40" s="202">
        <f t="shared" si="58"/>
        <v>2.628338519321769</v>
      </c>
      <c r="BO40" s="202">
        <f t="shared" si="58"/>
        <v>14.285354085481673</v>
      </c>
      <c r="BP40" s="202">
        <f t="shared" si="58"/>
        <v>27.248363955699308</v>
      </c>
      <c r="BQ40" s="202">
        <f t="shared" si="58"/>
        <v>8.3431437158818156</v>
      </c>
      <c r="BR40" s="203">
        <f t="shared" si="58"/>
        <v>0.45991743006460889</v>
      </c>
      <c r="BS40" s="204">
        <f t="shared" si="58"/>
        <v>1147097.3</v>
      </c>
      <c r="BT40" s="231">
        <f t="shared" si="58"/>
        <v>0</v>
      </c>
      <c r="BU40" s="200" t="str">
        <f t="shared" si="58"/>
        <v>CUMML</v>
      </c>
      <c r="BV40" s="201">
        <f t="shared" si="58"/>
        <v>60.105785743500661</v>
      </c>
      <c r="BW40" s="202">
        <f t="shared" si="53"/>
        <v>6.7724666797236388</v>
      </c>
      <c r="BX40" s="202">
        <f t="shared" si="53"/>
        <v>2.640206324230117</v>
      </c>
      <c r="BY40" s="202">
        <f t="shared" si="53"/>
        <v>6.1994465624257602</v>
      </c>
      <c r="BZ40" s="202">
        <f t="shared" si="53"/>
        <v>41.949237392879027</v>
      </c>
      <c r="CA40" s="202">
        <f t="shared" si="49"/>
        <v>9.4126730039537563</v>
      </c>
      <c r="CB40" s="203">
        <f t="shared" si="49"/>
        <v>0.38984412166024196</v>
      </c>
      <c r="CC40" s="204">
        <f t="shared" si="49"/>
        <v>2520237.1999999997</v>
      </c>
      <c r="CD40" s="104">
        <f t="shared" si="20"/>
        <v>0</v>
      </c>
      <c r="CE40" s="200" t="str">
        <f t="shared" ref="CE40:CP40" si="59">A40</f>
        <v>CUMML</v>
      </c>
      <c r="CF40" s="201">
        <f t="shared" si="59"/>
        <v>62.424444066276088</v>
      </c>
      <c r="CG40" s="202">
        <f t="shared" si="59"/>
        <v>4.3691127893006172</v>
      </c>
      <c r="CH40" s="202">
        <f t="shared" si="59"/>
        <v>1.7481420450379261</v>
      </c>
      <c r="CI40" s="202">
        <f t="shared" si="59"/>
        <v>11.965136163091039</v>
      </c>
      <c r="CJ40" s="202">
        <f t="shared" si="59"/>
        <v>12.374410942089535</v>
      </c>
      <c r="CK40" s="202">
        <f t="shared" si="59"/>
        <v>6.1172548343385431</v>
      </c>
      <c r="CL40" s="203">
        <f t="shared" si="59"/>
        <v>0.40011373689388291</v>
      </c>
      <c r="CM40" s="204">
        <f t="shared" si="59"/>
        <v>1107942.6799999997</v>
      </c>
      <c r="CN40" s="109">
        <f t="shared" si="59"/>
        <v>0</v>
      </c>
      <c r="CO40" s="200" t="str">
        <f t="shared" si="59"/>
        <v>CUMML</v>
      </c>
      <c r="CP40" s="201">
        <f t="shared" si="59"/>
        <v>61.884429608339055</v>
      </c>
      <c r="CQ40" s="202">
        <f t="shared" si="54"/>
        <v>4.7780225270807062</v>
      </c>
      <c r="CR40" s="202">
        <f t="shared" si="54"/>
        <v>2.2743245224268258</v>
      </c>
      <c r="CS40" s="202">
        <f t="shared" si="54"/>
        <v>6.7964351909817697</v>
      </c>
      <c r="CT40" s="202">
        <f t="shared" si="54"/>
        <v>43.814794284338383</v>
      </c>
      <c r="CU40" s="202">
        <f t="shared" si="50"/>
        <v>7.0523470495075316</v>
      </c>
      <c r="CV40" s="203">
        <f t="shared" si="50"/>
        <v>0.47599702796219362</v>
      </c>
      <c r="CW40" s="204">
        <f t="shared" si="50"/>
        <v>2764239.2199999997</v>
      </c>
      <c r="CX40" s="111">
        <f t="shared" si="2"/>
        <v>0</v>
      </c>
      <c r="CY40" s="200" t="str">
        <f t="shared" ref="CY40:DJ40" si="60">A61</f>
        <v>CUMML</v>
      </c>
      <c r="CZ40" s="201">
        <f t="shared" si="60"/>
        <v>62.717026171198036</v>
      </c>
      <c r="DA40" s="202">
        <f t="shared" si="60"/>
        <v>2.7787975462570631</v>
      </c>
      <c r="DB40" s="202">
        <f t="shared" si="60"/>
        <v>2.6161062292692026</v>
      </c>
      <c r="DC40" s="202">
        <f t="shared" si="60"/>
        <v>7.1081562330525383</v>
      </c>
      <c r="DD40" s="202">
        <f t="shared" si="60"/>
        <v>15.678566412392408</v>
      </c>
      <c r="DE40" s="202">
        <f t="shared" si="60"/>
        <v>5.3949037755262657</v>
      </c>
      <c r="DF40" s="203">
        <f t="shared" si="60"/>
        <v>0.94145261960267679</v>
      </c>
      <c r="DG40" s="204">
        <f t="shared" si="60"/>
        <v>411012.9</v>
      </c>
      <c r="DH40" s="111">
        <f t="shared" si="60"/>
        <v>0</v>
      </c>
      <c r="DI40" s="200" t="str">
        <f t="shared" si="60"/>
        <v>CUMML</v>
      </c>
      <c r="DJ40" s="201">
        <f t="shared" si="60"/>
        <v>62.434267224880877</v>
      </c>
      <c r="DK40" s="202">
        <f t="shared" si="55"/>
        <v>3.0018154196136808</v>
      </c>
      <c r="DL40" s="202">
        <f t="shared" si="55"/>
        <v>2.5811701179263089</v>
      </c>
      <c r="DM40" s="202">
        <f t="shared" si="55"/>
        <v>5.9124298771385728</v>
      </c>
      <c r="DN40" s="202">
        <f t="shared" si="55"/>
        <v>32.982671208460161</v>
      </c>
      <c r="DO40" s="202">
        <f t="shared" si="51"/>
        <v>5.5829855375399902</v>
      </c>
      <c r="DP40" s="203">
        <f t="shared" si="51"/>
        <v>0.85986969787052836</v>
      </c>
      <c r="DQ40" s="204">
        <f t="shared" si="51"/>
        <v>903428.6</v>
      </c>
    </row>
    <row r="41" spans="1:121" s="165" customFormat="1" ht="22.5" hidden="1" customHeight="1" x14ac:dyDescent="0.65">
      <c r="A41" s="209"/>
      <c r="B41" s="209"/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209"/>
      <c r="BI41" s="236"/>
      <c r="BJ41" s="209"/>
      <c r="BK41" s="210">
        <f t="shared" ref="BK41:BU43" si="61">A41</f>
        <v>0</v>
      </c>
      <c r="BL41" s="209">
        <f t="shared" si="61"/>
        <v>0</v>
      </c>
      <c r="BM41" s="209">
        <f t="shared" si="61"/>
        <v>0</v>
      </c>
      <c r="BN41" s="209">
        <f t="shared" si="61"/>
        <v>0</v>
      </c>
      <c r="BO41" s="209">
        <f t="shared" si="61"/>
        <v>0</v>
      </c>
      <c r="BP41" s="209">
        <f t="shared" si="61"/>
        <v>0</v>
      </c>
      <c r="BQ41" s="209">
        <f t="shared" si="61"/>
        <v>0</v>
      </c>
      <c r="BR41" s="209">
        <f t="shared" si="61"/>
        <v>0</v>
      </c>
      <c r="BS41" s="582" t="s">
        <v>59</v>
      </c>
      <c r="BT41" s="582"/>
      <c r="BU41" s="582"/>
      <c r="BV41" s="209">
        <f t="shared" ref="BV41:CC43" si="62">L41</f>
        <v>0</v>
      </c>
      <c r="BW41" s="209">
        <f t="shared" si="62"/>
        <v>0</v>
      </c>
      <c r="BX41" s="209">
        <f t="shared" si="62"/>
        <v>0</v>
      </c>
      <c r="BY41" s="209">
        <f t="shared" si="62"/>
        <v>0</v>
      </c>
      <c r="BZ41" s="209">
        <f t="shared" si="62"/>
        <v>0</v>
      </c>
      <c r="CA41" s="209">
        <f t="shared" si="62"/>
        <v>0</v>
      </c>
      <c r="CB41" s="209">
        <f t="shared" si="62"/>
        <v>0</v>
      </c>
      <c r="CC41" s="209">
        <f t="shared" si="62"/>
        <v>0</v>
      </c>
      <c r="CD41" s="165">
        <f t="shared" si="20"/>
        <v>0</v>
      </c>
      <c r="CE41" s="237">
        <f t="shared" si="20"/>
        <v>0</v>
      </c>
      <c r="CF41" s="165">
        <f t="shared" si="20"/>
        <v>0</v>
      </c>
      <c r="CG41" s="165">
        <f t="shared" si="20"/>
        <v>0</v>
      </c>
      <c r="CH41" s="165">
        <f t="shared" si="20"/>
        <v>0</v>
      </c>
      <c r="CI41" s="165">
        <f t="shared" si="20"/>
        <v>0</v>
      </c>
      <c r="CJ41" s="165">
        <f t="shared" si="20"/>
        <v>0</v>
      </c>
      <c r="CK41" s="165">
        <f t="shared" si="20"/>
        <v>0</v>
      </c>
      <c r="CL41" s="165">
        <f t="shared" si="20"/>
        <v>0</v>
      </c>
      <c r="CM41" s="582" t="s">
        <v>60</v>
      </c>
      <c r="CN41" s="582"/>
      <c r="CO41" s="582"/>
      <c r="CP41" s="165">
        <f t="shared" ref="CP41:CW46" si="63">AF41</f>
        <v>0</v>
      </c>
      <c r="CQ41" s="165">
        <f t="shared" si="63"/>
        <v>0</v>
      </c>
      <c r="CR41" s="165">
        <f t="shared" si="63"/>
        <v>0</v>
      </c>
      <c r="CS41" s="165">
        <f t="shared" si="63"/>
        <v>0</v>
      </c>
      <c r="CT41" s="165">
        <f t="shared" si="63"/>
        <v>0</v>
      </c>
      <c r="CU41" s="165">
        <f t="shared" si="63"/>
        <v>0</v>
      </c>
      <c r="CV41" s="165">
        <f t="shared" si="63"/>
        <v>0</v>
      </c>
      <c r="CW41" s="165">
        <f t="shared" si="63"/>
        <v>0</v>
      </c>
      <c r="CX41" s="209">
        <f t="shared" si="2"/>
        <v>0</v>
      </c>
      <c r="CY41" s="210">
        <f t="shared" si="2"/>
        <v>0</v>
      </c>
      <c r="CZ41" s="209">
        <f t="shared" si="2"/>
        <v>0</v>
      </c>
      <c r="DA41" s="209">
        <f t="shared" si="2"/>
        <v>0</v>
      </c>
      <c r="DB41" s="209">
        <f t="shared" si="2"/>
        <v>0</v>
      </c>
      <c r="DC41" s="209">
        <f t="shared" si="2"/>
        <v>0</v>
      </c>
      <c r="DD41" s="209">
        <f t="shared" si="2"/>
        <v>0</v>
      </c>
      <c r="DE41" s="209">
        <f t="shared" si="2"/>
        <v>0</v>
      </c>
      <c r="DF41" s="209">
        <f t="shared" si="2"/>
        <v>0</v>
      </c>
      <c r="DG41" s="582" t="s">
        <v>61</v>
      </c>
      <c r="DH41" s="582"/>
      <c r="DI41" s="582"/>
      <c r="DJ41" s="209">
        <f t="shared" ref="DJ41:DQ61" si="64">AZ41</f>
        <v>0</v>
      </c>
      <c r="DK41" s="209">
        <f t="shared" si="64"/>
        <v>0</v>
      </c>
      <c r="DL41" s="209">
        <f t="shared" si="64"/>
        <v>0</v>
      </c>
      <c r="DM41" s="209">
        <f t="shared" si="64"/>
        <v>0</v>
      </c>
      <c r="DN41" s="209">
        <f t="shared" si="64"/>
        <v>0</v>
      </c>
      <c r="DO41" s="209">
        <f t="shared" si="64"/>
        <v>0</v>
      </c>
      <c r="DP41" s="209">
        <f t="shared" si="64"/>
        <v>0</v>
      </c>
      <c r="DQ41" s="209">
        <f t="shared" si="64"/>
        <v>0</v>
      </c>
    </row>
    <row r="42" spans="1:121" s="240" customFormat="1" ht="21" hidden="1" x14ac:dyDescent="0.35">
      <c r="A42" s="211"/>
      <c r="B42" s="212"/>
      <c r="C42" s="212"/>
      <c r="D42" s="212"/>
      <c r="E42" s="212"/>
      <c r="F42" s="212"/>
      <c r="G42" s="212"/>
      <c r="H42" s="212"/>
      <c r="I42" s="283"/>
      <c r="J42" s="212"/>
      <c r="K42" s="211"/>
      <c r="L42" s="212"/>
      <c r="M42" s="212"/>
      <c r="N42" s="212"/>
      <c r="O42" s="212"/>
      <c r="P42" s="212"/>
      <c r="Q42" s="212"/>
      <c r="R42" s="212"/>
      <c r="S42" s="283"/>
      <c r="T42" s="213"/>
      <c r="U42" s="213"/>
      <c r="V42" s="212"/>
      <c r="W42" s="212"/>
      <c r="X42" s="212"/>
      <c r="Y42" s="212"/>
      <c r="Z42" s="212"/>
      <c r="AA42" s="212"/>
      <c r="AB42" s="212"/>
      <c r="AC42" s="283"/>
      <c r="AD42" s="213"/>
      <c r="AE42" s="213"/>
      <c r="AF42" s="212"/>
      <c r="AG42" s="212"/>
      <c r="AH42" s="212"/>
      <c r="AI42" s="212"/>
      <c r="AJ42" s="212"/>
      <c r="AK42" s="212"/>
      <c r="AL42" s="212"/>
      <c r="AM42" s="213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38"/>
      <c r="BL42" s="212"/>
      <c r="BM42" s="212"/>
      <c r="BN42" s="212"/>
      <c r="BO42" s="212"/>
      <c r="BP42" s="212"/>
      <c r="BQ42" s="212"/>
      <c r="BR42" s="212"/>
      <c r="BS42" s="212"/>
      <c r="BT42" s="205"/>
      <c r="BU42" s="238"/>
      <c r="BV42" s="212"/>
      <c r="BW42" s="212"/>
      <c r="BX42" s="212"/>
      <c r="BY42" s="212"/>
      <c r="BZ42" s="212"/>
      <c r="CA42" s="212"/>
      <c r="CB42" s="212"/>
      <c r="CC42" s="212"/>
      <c r="CD42" s="212"/>
      <c r="CE42" s="239"/>
      <c r="CF42" s="212"/>
      <c r="CG42" s="212"/>
      <c r="CH42" s="212"/>
      <c r="CI42" s="212"/>
      <c r="CJ42" s="212"/>
      <c r="CK42" s="212"/>
      <c r="CL42" s="212"/>
      <c r="CM42" s="212"/>
      <c r="CN42" s="212"/>
      <c r="CO42" s="239"/>
      <c r="CP42" s="212"/>
      <c r="CQ42" s="212"/>
      <c r="CR42" s="212"/>
      <c r="CS42" s="212"/>
      <c r="CT42" s="212"/>
      <c r="CU42" s="212"/>
      <c r="CV42" s="212"/>
      <c r="CW42" s="212"/>
      <c r="CX42" s="212"/>
      <c r="CY42" s="239"/>
      <c r="CZ42" s="212"/>
      <c r="DA42" s="212"/>
      <c r="DB42" s="212"/>
      <c r="DC42" s="212"/>
      <c r="DD42" s="212"/>
      <c r="DE42" s="212"/>
      <c r="DF42" s="212"/>
      <c r="DG42" s="212"/>
      <c r="DH42" s="212"/>
      <c r="DI42" s="239"/>
      <c r="DJ42" s="212"/>
      <c r="DK42" s="212"/>
      <c r="DL42" s="212"/>
      <c r="DM42" s="212"/>
      <c r="DN42" s="212"/>
      <c r="DO42" s="212"/>
      <c r="DP42" s="212"/>
      <c r="DQ42" s="212"/>
    </row>
    <row r="43" spans="1:121" s="213" customFormat="1" ht="23.5" x14ac:dyDescent="0.35">
      <c r="A43" s="221"/>
      <c r="B43" s="205"/>
      <c r="C43" s="205"/>
      <c r="D43" s="205"/>
      <c r="E43" s="205"/>
      <c r="F43" s="205"/>
      <c r="G43" s="205"/>
      <c r="H43" s="205"/>
      <c r="I43" s="222"/>
      <c r="J43" s="212"/>
      <c r="K43" s="221"/>
      <c r="L43" s="205"/>
      <c r="M43" s="205"/>
      <c r="N43" s="205"/>
      <c r="O43" s="205"/>
      <c r="P43" s="205"/>
      <c r="Q43" s="205"/>
      <c r="R43" s="205"/>
      <c r="U43" s="223"/>
      <c r="V43" s="224"/>
      <c r="W43" s="224"/>
      <c r="X43" s="224"/>
      <c r="Y43" s="224"/>
      <c r="Z43" s="224"/>
      <c r="AA43" s="224"/>
      <c r="AB43" s="224"/>
      <c r="AC43" s="224"/>
      <c r="AE43" s="223"/>
      <c r="AF43" s="224"/>
      <c r="AG43" s="224"/>
      <c r="AH43" s="224"/>
      <c r="AI43" s="224"/>
      <c r="AJ43" s="224"/>
      <c r="AK43" s="224"/>
      <c r="AL43" s="224"/>
      <c r="AO43" s="223"/>
      <c r="AP43" s="224"/>
      <c r="AQ43" s="224"/>
      <c r="AR43" s="224"/>
      <c r="AS43" s="224"/>
      <c r="AT43" s="224"/>
      <c r="AU43" s="224"/>
      <c r="AV43" s="224"/>
      <c r="AY43" s="223"/>
      <c r="AZ43" s="224"/>
      <c r="BA43" s="224"/>
      <c r="BB43" s="224"/>
      <c r="BC43" s="224"/>
      <c r="BD43" s="224"/>
      <c r="BE43" s="224"/>
      <c r="BF43" s="224"/>
      <c r="BI43" s="214"/>
      <c r="BK43" s="241">
        <f t="shared" si="61"/>
        <v>0</v>
      </c>
      <c r="BL43" s="205">
        <f t="shared" si="61"/>
        <v>0</v>
      </c>
      <c r="BM43" s="205">
        <f t="shared" si="61"/>
        <v>0</v>
      </c>
      <c r="BN43" s="205">
        <f t="shared" si="61"/>
        <v>0</v>
      </c>
      <c r="BO43" s="205">
        <f t="shared" si="61"/>
        <v>0</v>
      </c>
      <c r="BP43" s="205">
        <f t="shared" si="61"/>
        <v>0</v>
      </c>
      <c r="BQ43" s="205">
        <f t="shared" si="61"/>
        <v>0</v>
      </c>
      <c r="BR43" s="205">
        <f t="shared" si="61"/>
        <v>0</v>
      </c>
      <c r="BS43" s="222">
        <f t="shared" si="61"/>
        <v>0</v>
      </c>
      <c r="BT43" s="212">
        <f t="shared" si="61"/>
        <v>0</v>
      </c>
      <c r="BU43" s="241">
        <f t="shared" si="61"/>
        <v>0</v>
      </c>
      <c r="BV43" s="205">
        <f t="shared" si="62"/>
        <v>0</v>
      </c>
      <c r="BW43" s="205">
        <f t="shared" si="62"/>
        <v>0</v>
      </c>
      <c r="BX43" s="205">
        <f t="shared" si="62"/>
        <v>0</v>
      </c>
      <c r="BY43" s="205">
        <f t="shared" si="62"/>
        <v>0</v>
      </c>
      <c r="BZ43" s="205">
        <f t="shared" si="62"/>
        <v>0</v>
      </c>
      <c r="CA43" s="205">
        <f t="shared" si="62"/>
        <v>0</v>
      </c>
      <c r="CB43" s="205">
        <f t="shared" si="62"/>
        <v>0</v>
      </c>
      <c r="CC43" s="213">
        <f t="shared" si="62"/>
        <v>0</v>
      </c>
      <c r="CD43" s="213">
        <f t="shared" si="20"/>
        <v>0</v>
      </c>
      <c r="CE43" s="242">
        <f t="shared" si="20"/>
        <v>0</v>
      </c>
      <c r="CF43" s="224">
        <f t="shared" si="20"/>
        <v>0</v>
      </c>
      <c r="CG43" s="224">
        <f t="shared" si="20"/>
        <v>0</v>
      </c>
      <c r="CH43" s="224">
        <f t="shared" si="20"/>
        <v>0</v>
      </c>
      <c r="CI43" s="224">
        <f t="shared" si="20"/>
        <v>0</v>
      </c>
      <c r="CJ43" s="224">
        <f t="shared" si="20"/>
        <v>0</v>
      </c>
      <c r="CK43" s="224">
        <f t="shared" si="20"/>
        <v>0</v>
      </c>
      <c r="CL43" s="224">
        <f t="shared" si="20"/>
        <v>0</v>
      </c>
      <c r="CM43" s="224">
        <f t="shared" si="20"/>
        <v>0</v>
      </c>
      <c r="CN43" s="213">
        <f t="shared" si="20"/>
        <v>0</v>
      </c>
      <c r="CO43" s="242">
        <f t="shared" si="20"/>
        <v>0</v>
      </c>
      <c r="CP43" s="224">
        <f t="shared" si="63"/>
        <v>0</v>
      </c>
      <c r="CQ43" s="224">
        <f t="shared" si="63"/>
        <v>0</v>
      </c>
      <c r="CR43" s="224">
        <f t="shared" si="63"/>
        <v>0</v>
      </c>
      <c r="CS43" s="224">
        <f t="shared" si="63"/>
        <v>0</v>
      </c>
      <c r="CT43" s="224">
        <f t="shared" si="63"/>
        <v>0</v>
      </c>
      <c r="CU43" s="224">
        <f t="shared" si="63"/>
        <v>0</v>
      </c>
      <c r="CV43" s="224">
        <f t="shared" si="63"/>
        <v>0</v>
      </c>
      <c r="CW43" s="213">
        <f t="shared" si="63"/>
        <v>0</v>
      </c>
      <c r="CX43" s="213">
        <f t="shared" si="2"/>
        <v>0</v>
      </c>
      <c r="CY43" s="242">
        <f t="shared" si="2"/>
        <v>0</v>
      </c>
      <c r="CZ43" s="224">
        <f t="shared" si="2"/>
        <v>0</v>
      </c>
      <c r="DA43" s="224">
        <f t="shared" si="2"/>
        <v>0</v>
      </c>
      <c r="DB43" s="224">
        <f t="shared" si="2"/>
        <v>0</v>
      </c>
      <c r="DC43" s="224">
        <f t="shared" si="2"/>
        <v>0</v>
      </c>
      <c r="DD43" s="224">
        <f t="shared" si="2"/>
        <v>0</v>
      </c>
      <c r="DE43" s="224">
        <f t="shared" si="2"/>
        <v>0</v>
      </c>
      <c r="DF43" s="224">
        <f t="shared" si="2"/>
        <v>0</v>
      </c>
      <c r="DG43" s="213">
        <f t="shared" si="2"/>
        <v>0</v>
      </c>
      <c r="DH43" s="213">
        <f t="shared" ref="DH43:DI61" si="65">AX43</f>
        <v>0</v>
      </c>
      <c r="DI43" s="242">
        <f t="shared" si="65"/>
        <v>0</v>
      </c>
      <c r="DJ43" s="224">
        <f t="shared" si="64"/>
        <v>0</v>
      </c>
      <c r="DK43" s="224">
        <f t="shared" si="64"/>
        <v>0</v>
      </c>
      <c r="DL43" s="224">
        <f t="shared" si="64"/>
        <v>0</v>
      </c>
      <c r="DM43" s="224">
        <f t="shared" si="64"/>
        <v>0</v>
      </c>
      <c r="DN43" s="224">
        <f t="shared" si="64"/>
        <v>0</v>
      </c>
      <c r="DO43" s="224">
        <f t="shared" si="64"/>
        <v>0</v>
      </c>
      <c r="DP43" s="224">
        <f t="shared" si="64"/>
        <v>0</v>
      </c>
      <c r="DQ43" s="213">
        <f t="shared" si="64"/>
        <v>0</v>
      </c>
    </row>
    <row r="44" spans="1:121" ht="29" customHeight="1" x14ac:dyDescent="0.6">
      <c r="A44" s="586" t="s">
        <v>46</v>
      </c>
      <c r="B44" s="586"/>
      <c r="C44" s="586"/>
      <c r="D44" s="585" t="s">
        <v>30</v>
      </c>
      <c r="E44" s="585"/>
      <c r="F44" s="585"/>
      <c r="G44" s="246"/>
      <c r="H44" s="246"/>
      <c r="I44" s="246"/>
      <c r="K44" s="586" t="s">
        <v>46</v>
      </c>
      <c r="L44" s="586"/>
      <c r="M44" s="586"/>
      <c r="N44" s="585" t="s">
        <v>31</v>
      </c>
      <c r="O44" s="585"/>
      <c r="P44" s="585"/>
      <c r="Q44" s="246"/>
      <c r="R44" s="246"/>
      <c r="U44" s="586" t="s">
        <v>47</v>
      </c>
      <c r="V44" s="586"/>
      <c r="W44" s="586"/>
      <c r="X44" s="585" t="s">
        <v>30</v>
      </c>
      <c r="Y44" s="585"/>
      <c r="Z44" s="585"/>
      <c r="AA44" s="246"/>
      <c r="AB44" s="246"/>
      <c r="AC44" s="246"/>
      <c r="AE44" s="586" t="s">
        <v>47</v>
      </c>
      <c r="AF44" s="586"/>
      <c r="AG44" s="586"/>
      <c r="AH44" s="585" t="s">
        <v>31</v>
      </c>
      <c r="AI44" s="585"/>
      <c r="AJ44" s="585"/>
      <c r="AK44" s="246"/>
      <c r="AL44" s="246"/>
      <c r="AO44" s="586" t="s">
        <v>48</v>
      </c>
      <c r="AP44" s="586"/>
      <c r="AQ44" s="586"/>
      <c r="AR44" s="585" t="s">
        <v>30</v>
      </c>
      <c r="AS44" s="585"/>
      <c r="AT44" s="585"/>
      <c r="AU44" s="246"/>
      <c r="AV44" s="246"/>
      <c r="AW44" s="246"/>
      <c r="AY44" s="586" t="s">
        <v>48</v>
      </c>
      <c r="AZ44" s="586"/>
      <c r="BA44" s="586"/>
      <c r="BB44" s="585" t="s">
        <v>31</v>
      </c>
      <c r="BC44" s="585"/>
      <c r="BD44" s="585"/>
      <c r="BE44" s="246"/>
      <c r="BF44" s="246"/>
      <c r="BG44" s="246"/>
      <c r="CD44" s="104">
        <f t="shared" si="20"/>
        <v>0</v>
      </c>
      <c r="CE44" s="114" t="str">
        <f t="shared" si="20"/>
        <v>मनोहरपूर</v>
      </c>
      <c r="CF44" s="106">
        <f t="shared" si="20"/>
        <v>0</v>
      </c>
      <c r="CG44" s="106">
        <f t="shared" si="20"/>
        <v>0</v>
      </c>
      <c r="CH44" s="107" t="str">
        <f t="shared" si="20"/>
        <v>लम्प</v>
      </c>
      <c r="CI44" s="108">
        <f t="shared" si="20"/>
        <v>0</v>
      </c>
      <c r="CJ44" s="109">
        <f t="shared" si="20"/>
        <v>0</v>
      </c>
      <c r="CK44" s="110">
        <f t="shared" si="20"/>
        <v>0</v>
      </c>
      <c r="CL44" s="110">
        <f t="shared" si="20"/>
        <v>0</v>
      </c>
      <c r="CM44" s="110">
        <f t="shared" si="20"/>
        <v>0</v>
      </c>
      <c r="CN44" s="111">
        <f t="shared" si="20"/>
        <v>0</v>
      </c>
      <c r="CO44" s="114" t="str">
        <f t="shared" si="20"/>
        <v>मनोहरपूर</v>
      </c>
      <c r="CP44" s="106">
        <f t="shared" si="63"/>
        <v>0</v>
      </c>
      <c r="CQ44" s="106">
        <f t="shared" si="63"/>
        <v>0</v>
      </c>
      <c r="CR44" s="107" t="str">
        <f t="shared" si="63"/>
        <v>फाईन्स</v>
      </c>
      <c r="CS44" s="108">
        <f t="shared" si="63"/>
        <v>0</v>
      </c>
      <c r="CT44" s="109">
        <f t="shared" si="63"/>
        <v>0</v>
      </c>
      <c r="CU44" s="110">
        <f t="shared" si="63"/>
        <v>0</v>
      </c>
      <c r="CV44" s="110">
        <f t="shared" si="63"/>
        <v>0</v>
      </c>
      <c r="CW44" s="111">
        <f t="shared" si="63"/>
        <v>0</v>
      </c>
      <c r="CX44" s="104">
        <f t="shared" si="2"/>
        <v>0</v>
      </c>
      <c r="CY44" s="248" t="str">
        <f t="shared" si="2"/>
        <v>BLEND</v>
      </c>
      <c r="CZ44" s="119">
        <f t="shared" si="2"/>
        <v>0</v>
      </c>
      <c r="DA44" s="119">
        <f t="shared" si="2"/>
        <v>0</v>
      </c>
      <c r="DB44" s="244" t="str">
        <f t="shared" si="2"/>
        <v>लम्प</v>
      </c>
      <c r="DC44" s="119">
        <f t="shared" si="2"/>
        <v>0</v>
      </c>
      <c r="DD44" s="119">
        <f t="shared" si="2"/>
        <v>0</v>
      </c>
      <c r="DE44" s="246">
        <f t="shared" si="2"/>
        <v>0</v>
      </c>
      <c r="DF44" s="246">
        <f t="shared" si="2"/>
        <v>0</v>
      </c>
      <c r="DG44" s="246">
        <f t="shared" si="2"/>
        <v>0</v>
      </c>
      <c r="DH44" s="104">
        <f t="shared" si="65"/>
        <v>0</v>
      </c>
      <c r="DI44" s="248" t="str">
        <f t="shared" si="65"/>
        <v>BLEND</v>
      </c>
      <c r="DJ44" s="119">
        <f t="shared" si="64"/>
        <v>0</v>
      </c>
      <c r="DK44" s="119">
        <f t="shared" si="64"/>
        <v>0</v>
      </c>
      <c r="DL44" s="244" t="str">
        <f t="shared" si="64"/>
        <v>फाईन्स</v>
      </c>
      <c r="DM44" s="119">
        <f t="shared" si="64"/>
        <v>0</v>
      </c>
      <c r="DN44" s="119">
        <f t="shared" si="64"/>
        <v>0</v>
      </c>
      <c r="DO44" s="246">
        <f t="shared" si="64"/>
        <v>0</v>
      </c>
      <c r="DP44" s="246">
        <f t="shared" si="64"/>
        <v>0</v>
      </c>
      <c r="DQ44" s="246">
        <f t="shared" si="64"/>
        <v>0</v>
      </c>
    </row>
    <row r="45" spans="1:121" ht="7.5" customHeight="1" thickBot="1" x14ac:dyDescent="0.4">
      <c r="A45" s="103"/>
      <c r="B45" s="103"/>
      <c r="C45" s="103"/>
      <c r="D45" s="103"/>
      <c r="E45" s="103"/>
      <c r="F45" s="103"/>
      <c r="G45" s="103"/>
      <c r="H45" s="103"/>
      <c r="I45" s="103"/>
      <c r="K45" s="103"/>
      <c r="L45" s="103"/>
      <c r="M45" s="103"/>
      <c r="N45" s="103"/>
      <c r="O45" s="103"/>
      <c r="P45" s="103"/>
      <c r="Q45" s="103"/>
      <c r="R45" s="103"/>
      <c r="U45" s="103"/>
      <c r="V45" s="103"/>
      <c r="W45" s="103"/>
      <c r="X45" s="103"/>
      <c r="Y45" s="103"/>
      <c r="Z45" s="103"/>
      <c r="AA45" s="103"/>
      <c r="AB45" s="103"/>
      <c r="AC45" s="103"/>
      <c r="AE45" s="103"/>
      <c r="AF45" s="103"/>
      <c r="AG45" s="103"/>
      <c r="AH45" s="103"/>
      <c r="AI45" s="103"/>
      <c r="AJ45" s="103"/>
      <c r="AK45" s="103"/>
      <c r="AL45" s="103"/>
      <c r="AO45" s="103"/>
      <c r="AP45" s="103"/>
      <c r="AQ45" s="103"/>
      <c r="AR45" s="103"/>
      <c r="AS45" s="103"/>
      <c r="AT45" s="103"/>
      <c r="AU45" s="103"/>
      <c r="AV45" s="103"/>
      <c r="AW45" s="103"/>
      <c r="AY45" s="103"/>
      <c r="AZ45" s="103"/>
      <c r="BA45" s="103"/>
      <c r="BB45" s="103"/>
      <c r="BC45" s="103"/>
      <c r="BD45" s="103"/>
      <c r="BE45" s="103"/>
      <c r="BF45" s="103"/>
      <c r="BG45" s="103"/>
      <c r="CD45" s="104">
        <f t="shared" si="20"/>
        <v>0</v>
      </c>
      <c r="CE45" s="118">
        <f t="shared" si="20"/>
        <v>0</v>
      </c>
      <c r="CF45" s="109">
        <f t="shared" si="20"/>
        <v>0</v>
      </c>
      <c r="CG45" s="109">
        <f t="shared" si="20"/>
        <v>0</v>
      </c>
      <c r="CH45" s="109">
        <f t="shared" si="20"/>
        <v>0</v>
      </c>
      <c r="CI45" s="109">
        <f t="shared" si="20"/>
        <v>0</v>
      </c>
      <c r="CJ45" s="109">
        <f t="shared" si="20"/>
        <v>0</v>
      </c>
      <c r="CK45" s="109">
        <f t="shared" si="20"/>
        <v>0</v>
      </c>
      <c r="CL45" s="109">
        <f t="shared" si="20"/>
        <v>0</v>
      </c>
      <c r="CM45" s="109">
        <f t="shared" si="20"/>
        <v>0</v>
      </c>
      <c r="CN45" s="111">
        <f t="shared" si="20"/>
        <v>0</v>
      </c>
      <c r="CO45" s="118">
        <f t="shared" si="20"/>
        <v>0</v>
      </c>
      <c r="CP45" s="109">
        <f t="shared" si="63"/>
        <v>0</v>
      </c>
      <c r="CQ45" s="109">
        <f t="shared" si="63"/>
        <v>0</v>
      </c>
      <c r="CR45" s="109">
        <f t="shared" si="63"/>
        <v>0</v>
      </c>
      <c r="CS45" s="109">
        <f t="shared" si="63"/>
        <v>0</v>
      </c>
      <c r="CT45" s="109">
        <f t="shared" si="63"/>
        <v>0</v>
      </c>
      <c r="CU45" s="109">
        <f t="shared" si="63"/>
        <v>0</v>
      </c>
      <c r="CV45" s="109">
        <f t="shared" si="63"/>
        <v>0</v>
      </c>
      <c r="CW45" s="111">
        <f t="shared" si="63"/>
        <v>0</v>
      </c>
      <c r="CX45" s="104">
        <f t="shared" si="2"/>
        <v>0</v>
      </c>
      <c r="CY45" s="249">
        <f t="shared" si="2"/>
        <v>0</v>
      </c>
      <c r="CZ45" s="103">
        <f t="shared" si="2"/>
        <v>0</v>
      </c>
      <c r="DA45" s="103">
        <f t="shared" si="2"/>
        <v>0</v>
      </c>
      <c r="DB45" s="103">
        <f t="shared" si="2"/>
        <v>0</v>
      </c>
      <c r="DC45" s="103">
        <f t="shared" si="2"/>
        <v>0</v>
      </c>
      <c r="DD45" s="103">
        <f t="shared" si="2"/>
        <v>0</v>
      </c>
      <c r="DE45" s="103">
        <f t="shared" si="2"/>
        <v>0</v>
      </c>
      <c r="DF45" s="103">
        <f t="shared" si="2"/>
        <v>0</v>
      </c>
      <c r="DG45" s="103">
        <f t="shared" si="2"/>
        <v>0</v>
      </c>
      <c r="DH45" s="104">
        <f t="shared" si="65"/>
        <v>0</v>
      </c>
      <c r="DI45" s="249">
        <f t="shared" si="65"/>
        <v>0</v>
      </c>
      <c r="DJ45" s="103">
        <f t="shared" si="64"/>
        <v>0</v>
      </c>
      <c r="DK45" s="103">
        <f t="shared" si="64"/>
        <v>0</v>
      </c>
      <c r="DL45" s="103">
        <f t="shared" si="64"/>
        <v>0</v>
      </c>
      <c r="DM45" s="103">
        <f t="shared" si="64"/>
        <v>0</v>
      </c>
      <c r="DN45" s="103">
        <f t="shared" si="64"/>
        <v>0</v>
      </c>
      <c r="DO45" s="103">
        <f t="shared" si="64"/>
        <v>0</v>
      </c>
      <c r="DP45" s="103">
        <f t="shared" si="64"/>
        <v>0</v>
      </c>
      <c r="DQ45" s="103">
        <f t="shared" si="64"/>
        <v>0</v>
      </c>
    </row>
    <row r="46" spans="1:121" ht="29" thickBot="1" x14ac:dyDescent="0.4">
      <c r="A46" s="119"/>
      <c r="B46" s="120" t="s">
        <v>34</v>
      </c>
      <c r="C46" s="121" t="s">
        <v>56</v>
      </c>
      <c r="D46" s="121" t="s">
        <v>57</v>
      </c>
      <c r="E46" s="121" t="s">
        <v>37</v>
      </c>
      <c r="F46" s="121" t="s">
        <v>38</v>
      </c>
      <c r="G46" s="124" t="s">
        <v>39</v>
      </c>
      <c r="H46" s="121" t="s">
        <v>40</v>
      </c>
      <c r="I46" s="123" t="s">
        <v>58</v>
      </c>
      <c r="K46" s="119"/>
      <c r="L46" s="120" t="s">
        <v>34</v>
      </c>
      <c r="M46" s="121" t="s">
        <v>56</v>
      </c>
      <c r="N46" s="121" t="s">
        <v>57</v>
      </c>
      <c r="O46" s="121" t="s">
        <v>37</v>
      </c>
      <c r="P46" s="121" t="s">
        <v>38</v>
      </c>
      <c r="Q46" s="124" t="s">
        <v>39</v>
      </c>
      <c r="R46" s="121" t="s">
        <v>40</v>
      </c>
      <c r="S46" s="123" t="s">
        <v>58</v>
      </c>
      <c r="U46" s="119"/>
      <c r="V46" s="120" t="s">
        <v>34</v>
      </c>
      <c r="W46" s="121" t="s">
        <v>56</v>
      </c>
      <c r="X46" s="121" t="s">
        <v>57</v>
      </c>
      <c r="Y46" s="121" t="s">
        <v>37</v>
      </c>
      <c r="Z46" s="121" t="s">
        <v>38</v>
      </c>
      <c r="AA46" s="124" t="s">
        <v>39</v>
      </c>
      <c r="AB46" s="121" t="s">
        <v>40</v>
      </c>
      <c r="AC46" s="123" t="s">
        <v>58</v>
      </c>
      <c r="AE46" s="119"/>
      <c r="AF46" s="120" t="s">
        <v>34</v>
      </c>
      <c r="AG46" s="121" t="s">
        <v>56</v>
      </c>
      <c r="AH46" s="121" t="s">
        <v>57</v>
      </c>
      <c r="AI46" s="121" t="s">
        <v>37</v>
      </c>
      <c r="AJ46" s="121" t="s">
        <v>38</v>
      </c>
      <c r="AK46" s="124" t="s">
        <v>39</v>
      </c>
      <c r="AL46" s="121" t="s">
        <v>40</v>
      </c>
      <c r="AM46" s="123" t="s">
        <v>58</v>
      </c>
      <c r="AO46" s="126"/>
      <c r="AP46" s="120" t="s">
        <v>34</v>
      </c>
      <c r="AQ46" s="121" t="s">
        <v>56</v>
      </c>
      <c r="AR46" s="121" t="s">
        <v>57</v>
      </c>
      <c r="AS46" s="121" t="s">
        <v>37</v>
      </c>
      <c r="AT46" s="125" t="s">
        <v>38</v>
      </c>
      <c r="AU46" s="124" t="s">
        <v>39</v>
      </c>
      <c r="AV46" s="121" t="s">
        <v>40</v>
      </c>
      <c r="AW46" s="250" t="s">
        <v>41</v>
      </c>
      <c r="AX46" s="251"/>
      <c r="AY46" s="126"/>
      <c r="AZ46" s="120" t="s">
        <v>34</v>
      </c>
      <c r="BA46" s="121" t="s">
        <v>56</v>
      </c>
      <c r="BB46" s="121" t="s">
        <v>57</v>
      </c>
      <c r="BC46" s="121" t="s">
        <v>37</v>
      </c>
      <c r="BD46" s="125" t="s">
        <v>38</v>
      </c>
      <c r="BE46" s="124" t="s">
        <v>39</v>
      </c>
      <c r="BF46" s="121" t="s">
        <v>40</v>
      </c>
      <c r="BG46" s="250" t="s">
        <v>41</v>
      </c>
      <c r="BH46" s="251"/>
      <c r="CD46" s="104">
        <f t="shared" si="20"/>
        <v>0</v>
      </c>
      <c r="CE46" s="127">
        <f t="shared" si="20"/>
        <v>0</v>
      </c>
      <c r="CF46" s="128" t="str">
        <f t="shared" si="20"/>
        <v>Fe</v>
      </c>
      <c r="CG46" s="129" t="str">
        <f t="shared" si="20"/>
        <v>SiO2</v>
      </c>
      <c r="CH46" s="129" t="str">
        <f t="shared" si="20"/>
        <v>Al2O3</v>
      </c>
      <c r="CI46" s="129" t="str">
        <f t="shared" si="20"/>
        <v>OS</v>
      </c>
      <c r="CJ46" s="129" t="str">
        <f t="shared" si="20"/>
        <v>US</v>
      </c>
      <c r="CK46" s="129" t="str">
        <f t="shared" si="20"/>
        <v>Al+Si</v>
      </c>
      <c r="CL46" s="130" t="str">
        <f t="shared" si="20"/>
        <v>Al/Si</v>
      </c>
      <c r="CM46" s="131" t="str">
        <f t="shared" si="20"/>
        <v>PLANT RCT</v>
      </c>
      <c r="CN46" s="111">
        <f t="shared" si="20"/>
        <v>0</v>
      </c>
      <c r="CO46" s="127">
        <f t="shared" si="20"/>
        <v>0</v>
      </c>
      <c r="CP46" s="128" t="str">
        <f t="shared" si="63"/>
        <v>Fe</v>
      </c>
      <c r="CQ46" s="129" t="str">
        <f t="shared" si="63"/>
        <v>SiO2</v>
      </c>
      <c r="CR46" s="129" t="str">
        <f t="shared" si="63"/>
        <v>Al2O3</v>
      </c>
      <c r="CS46" s="129" t="str">
        <f t="shared" si="63"/>
        <v>OS</v>
      </c>
      <c r="CT46" s="129" t="str">
        <f t="shared" si="63"/>
        <v>US</v>
      </c>
      <c r="CU46" s="129" t="str">
        <f t="shared" si="63"/>
        <v>Al+Si</v>
      </c>
      <c r="CV46" s="130" t="str">
        <f t="shared" si="63"/>
        <v>Al/Si</v>
      </c>
      <c r="CW46" s="131" t="str">
        <f t="shared" si="63"/>
        <v>PLANT RCT</v>
      </c>
      <c r="CX46" s="104">
        <f t="shared" si="2"/>
        <v>0</v>
      </c>
      <c r="CY46" s="248">
        <f t="shared" si="2"/>
        <v>0</v>
      </c>
      <c r="CZ46" s="120" t="str">
        <f t="shared" si="2"/>
        <v>Fe</v>
      </c>
      <c r="DA46" s="121" t="str">
        <f t="shared" si="2"/>
        <v>SiO2</v>
      </c>
      <c r="DB46" s="121" t="str">
        <f t="shared" si="2"/>
        <v>Al2O3</v>
      </c>
      <c r="DC46" s="121" t="str">
        <f t="shared" si="2"/>
        <v>OS</v>
      </c>
      <c r="DD46" s="125" t="str">
        <f t="shared" si="2"/>
        <v>US</v>
      </c>
      <c r="DE46" s="124" t="str">
        <f t="shared" si="2"/>
        <v>Al+Si</v>
      </c>
      <c r="DF46" s="121" t="str">
        <f t="shared" si="2"/>
        <v>Al/Si</v>
      </c>
      <c r="DG46" s="250" t="str">
        <f t="shared" si="2"/>
        <v>RECPT</v>
      </c>
      <c r="DH46" s="251">
        <f t="shared" si="65"/>
        <v>0</v>
      </c>
      <c r="DI46" s="248">
        <f t="shared" si="65"/>
        <v>0</v>
      </c>
      <c r="DJ46" s="120" t="str">
        <f t="shared" si="64"/>
        <v>Fe</v>
      </c>
      <c r="DK46" s="121" t="str">
        <f t="shared" si="64"/>
        <v>SiO2</v>
      </c>
      <c r="DL46" s="121" t="str">
        <f t="shared" si="64"/>
        <v>Al2O3</v>
      </c>
      <c r="DM46" s="121" t="str">
        <f t="shared" si="64"/>
        <v>OS</v>
      </c>
      <c r="DN46" s="125" t="str">
        <f t="shared" si="64"/>
        <v>US</v>
      </c>
      <c r="DO46" s="124" t="str">
        <f t="shared" si="64"/>
        <v>Al+Si</v>
      </c>
      <c r="DP46" s="121" t="str">
        <f t="shared" si="64"/>
        <v>Al/Si</v>
      </c>
      <c r="DQ46" s="250" t="str">
        <f t="shared" si="64"/>
        <v>RECPT</v>
      </c>
    </row>
    <row r="47" spans="1:121" ht="29" thickBot="1" x14ac:dyDescent="0.4">
      <c r="A47" s="132" t="str">
        <f>BSP!A47</f>
        <v>Act 20-21</v>
      </c>
      <c r="B47" s="133">
        <v>62.836493048986661</v>
      </c>
      <c r="C47" s="133">
        <v>2.594221846952248</v>
      </c>
      <c r="D47" s="133">
        <v>2.6376911404202268</v>
      </c>
      <c r="E47" s="168">
        <v>6.1624276670443701</v>
      </c>
      <c r="F47" s="168">
        <v>16.098597928536297</v>
      </c>
      <c r="G47" s="134">
        <v>5.2319129873724748</v>
      </c>
      <c r="H47" s="134">
        <v>1.0167561974389536</v>
      </c>
      <c r="I47" s="135">
        <f>(BSP!I47+BSL!I47+DSP!I47+RSP!I47+ISP!I47)</f>
        <v>0</v>
      </c>
      <c r="K47" s="132" t="str">
        <f>BSP!K47</f>
        <v>Act 20-21</v>
      </c>
      <c r="L47" s="133">
        <v>62.466346169880573</v>
      </c>
      <c r="M47" s="133">
        <v>2.6541034880204033</v>
      </c>
      <c r="N47" s="133">
        <v>2.7515423311780141</v>
      </c>
      <c r="O47" s="168">
        <v>5.7334801402728619</v>
      </c>
      <c r="P47" s="168">
        <v>38.54785443012107</v>
      </c>
      <c r="Q47" s="134">
        <v>5.4056458191984174</v>
      </c>
      <c r="R47" s="134">
        <f>IF(M47&gt;0,+N47/M47,"")</f>
        <v>1.0367125259423424</v>
      </c>
      <c r="S47" s="135">
        <f>(BSP!S47+BSL!S47+DSP!S47+RSP!S47+ISP!S47)</f>
        <v>0</v>
      </c>
      <c r="U47" s="132" t="str">
        <f>BSP!U47</f>
        <v>Act 20-21</v>
      </c>
      <c r="V47" s="133">
        <v>63.198145429868596</v>
      </c>
      <c r="W47" s="133">
        <v>2.7362959124588313</v>
      </c>
      <c r="X47" s="133">
        <v>2.1182370796006507</v>
      </c>
      <c r="Y47" s="168">
        <v>9.4402617826149502</v>
      </c>
      <c r="Z47" s="168">
        <v>13.269062259119794</v>
      </c>
      <c r="AA47" s="134">
        <v>4.8545329920594824</v>
      </c>
      <c r="AB47" s="134">
        <v>0.77412573324250089</v>
      </c>
      <c r="AC47" s="135">
        <f>(BSP!AC47+BSL!AC47+DSP!AC47+RSP!AC47+ISP!AC47)</f>
        <v>0</v>
      </c>
      <c r="AE47" s="132" t="str">
        <f>BSP!AE47</f>
        <v>Act 20-21</v>
      </c>
      <c r="AF47" s="139">
        <v>62.905252896552973</v>
      </c>
      <c r="AG47" s="134">
        <v>3.022369533488297</v>
      </c>
      <c r="AH47" s="134">
        <v>2.265563688127286</v>
      </c>
      <c r="AI47" s="168">
        <v>5.0063065390922032</v>
      </c>
      <c r="AJ47" s="168">
        <v>33.787011730363801</v>
      </c>
      <c r="AK47" s="134">
        <v>5.2879332216155834</v>
      </c>
      <c r="AL47" s="134">
        <v>0.74959850641177683</v>
      </c>
      <c r="AM47" s="140">
        <f>(BSP!AM47+BSL!AM47+DSP!AM47+RSP!AM47+ISP!AM47)</f>
        <v>0</v>
      </c>
      <c r="AO47" s="136" t="str">
        <f>AE47</f>
        <v>Act 20-21</v>
      </c>
      <c r="AP47" s="133">
        <f>IFERROR((BSP!AP47*BSP!AW47+BSL!AP47*BSL!AW47+DSP!AP47*DSP!AW47+RSP!AP47*RSP!AW47+ISP!AP47*ISP!AW47)/(BSP!AW47+BSL!AW47+DSP!AW47+RSP!AW47+ISP!AW47),)</f>
        <v>0</v>
      </c>
      <c r="AQ47" s="133">
        <f>IFERROR((BSP!AQ47*BSP!AW47+BSL!AQ47*BSL!AW47+DSP!AQ47*DSP!AW47+RSP!AQ47*RSP!AW47+ISP!AQ47*ISP!AW47)/(BSP!AW47+BSL!AW47+DSP!AW47+RSP!AW47+ISP!AW47),)</f>
        <v>0</v>
      </c>
      <c r="AR47" s="133">
        <f>IFERROR((BSP!AR47*BSP!AW47+BSL!AR47*BSL!AW47+DSP!AR47*DSP!AW47+RSP!AR47*RSP!AW47+ISP!AR47*ISP!AW47)/(BSP!AW47+BSL!AW47+DSP!AW47+RSP!AW47+ISP!AW47),)</f>
        <v>0</v>
      </c>
      <c r="AS47" s="133">
        <f>IFERROR((BSP!AS47*BSP!AW47+BSL!AS47*BSL!AW47+DSP!AS47*DSP!AW47+RSP!AS47*RSP!AW47+ISP!AS47*ISP!AW47)/(BSP!AW47+BSL!AW47+DSP!AW47+RSP!AW47+ISP!AW47),)</f>
        <v>0</v>
      </c>
      <c r="AT47" s="133">
        <f>IFERROR((BSP!AT47*BSP!AW47+BSL!AT47*BSL!AW47+DSP!AT47*DSP!AW47+RSP!AT47*RSP!AW47+ISP!AT47*ISP!AW47)/(BSP!AW47+BSL!AW47+DSP!AW47+RSP!AW47+ISP!AW47),)</f>
        <v>0</v>
      </c>
      <c r="AU47" s="134">
        <f t="shared" ref="AU47:AU61" si="66">IF(AQ47&lt;&gt;"",+AR47+AQ47,"")</f>
        <v>0</v>
      </c>
      <c r="AV47" s="134" t="str">
        <f>IF(AQ47&gt;0,+AR47/AQ47,"")</f>
        <v/>
      </c>
      <c r="AW47" s="140">
        <f>(BSP!AW47+BSL!AW47+DSP!AW47+RSP!AW47+ISP!AW47)</f>
        <v>0</v>
      </c>
      <c r="AY47" s="136" t="str">
        <f>+AO47</f>
        <v>Act 20-21</v>
      </c>
      <c r="AZ47" s="133">
        <f>IFERROR((BSP!AZ47*BSP!BG47+BSL!AZ47*BSL!BG47+DSP!AZ47*DSP!BG47+RSP!AZ47*RSP!BG47+ISP!AZ47*ISP!BG47)/(BSP!BG47+BSL!BG47+DSP!BG47+RSP!BG47+ISP!BG47),)</f>
        <v>0</v>
      </c>
      <c r="BA47" s="133">
        <f>IFERROR((BSP!BA47*BSP!BG47+BSL!BA47*BSL!BG47+DSP!BA47*DSP!BG47+RSP!BA47*RSP!BG47+ISP!BA47*ISP!BG47)/(BSP!BG47+BSL!BG47+DSP!BG47+RSP!BG47+ISP!BG47),)</f>
        <v>0</v>
      </c>
      <c r="BB47" s="133">
        <f>IFERROR((BSP!BB47*BSP!BG47+BSL!BB47*BSL!BG47+DSP!BB47*DSP!BG47+RSP!BB47*RSP!BG47+ISP!BB47*ISP!BG47)/(BSP!BG47+BSL!BG47+DSP!BG47+RSP!BG47+ISP!BG47),)</f>
        <v>0</v>
      </c>
      <c r="BC47" s="133">
        <f>IFERROR((BSP!BC47*BSP!BG47+BSL!BC47*BSL!BG47+DSP!BC47*DSP!BG47+RSP!BC47*RSP!BG47+ISP!BC47*ISP!BG47)/(BSP!BG47+BSL!BG47+DSP!BG47+RSP!BG47+ISP!BG47),)</f>
        <v>0</v>
      </c>
      <c r="BD47" s="133">
        <f>IFERROR((BSP!BD47*BSP!BG47+BSL!BD47*BSL!BG47+DSP!BD47*DSP!BG47+RSP!BD47*RSP!BG47+ISP!BD47*ISP!BG47)/(BSP!BG47+BSL!BG47+DSP!BG47+RSP!BG47+ISP!BG47),)</f>
        <v>0</v>
      </c>
      <c r="BE47" s="134">
        <f t="shared" ref="BE47:BE61" si="67">IF(BA47&lt;&gt;"",+BB47+BA47,"")</f>
        <v>0</v>
      </c>
      <c r="BF47" s="134" t="str">
        <f>IF(BA47&gt;0,+BB47/BA47,"")</f>
        <v/>
      </c>
      <c r="BG47" s="140">
        <f>(BSP!BG47+BSL!BG47+DSP!BG47+RSP!BG47+ISP!BG47)</f>
        <v>0</v>
      </c>
      <c r="CD47" s="104">
        <f t="shared" si="20"/>
        <v>0</v>
      </c>
      <c r="CE47" s="141" t="str">
        <f t="shared" si="20"/>
        <v>Act 20-21</v>
      </c>
      <c r="CF47" s="142">
        <v>63.528791685673411</v>
      </c>
      <c r="CG47" s="143">
        <v>2.2641736259752268</v>
      </c>
      <c r="CH47" s="143">
        <v>2.0768173687521547</v>
      </c>
      <c r="CI47" s="143">
        <v>12.371951858312926</v>
      </c>
      <c r="CJ47" s="143">
        <v>10.813019963010595</v>
      </c>
      <c r="CK47" s="143">
        <v>4.340990994727381</v>
      </c>
      <c r="CL47" s="143">
        <v>0.91725181537596356</v>
      </c>
      <c r="CM47" s="144">
        <v>375543</v>
      </c>
      <c r="CN47" s="111">
        <f t="shared" si="20"/>
        <v>0</v>
      </c>
      <c r="CO47" s="141" t="str">
        <f t="shared" si="20"/>
        <v>Act 20-21</v>
      </c>
      <c r="CP47" s="142">
        <v>62.899825018540419</v>
      </c>
      <c r="CQ47" s="143">
        <v>2.7345088292477602</v>
      </c>
      <c r="CR47" s="143">
        <v>2.2490728072913235</v>
      </c>
      <c r="CS47" s="143">
        <v>6.4099405847604922</v>
      </c>
      <c r="CT47" s="143">
        <v>35.703758908706696</v>
      </c>
      <c r="CU47" s="143">
        <v>4.9835816365390837</v>
      </c>
      <c r="CV47" s="143">
        <v>0.82247780048676022</v>
      </c>
      <c r="CW47" s="144">
        <v>349237</v>
      </c>
      <c r="CX47" s="104">
        <f t="shared" si="2"/>
        <v>0</v>
      </c>
      <c r="CY47" s="252" t="str">
        <f t="shared" si="2"/>
        <v>Act 20-21</v>
      </c>
      <c r="CZ47" s="133">
        <f t="shared" si="2"/>
        <v>0</v>
      </c>
      <c r="DA47" s="133">
        <f t="shared" si="2"/>
        <v>0</v>
      </c>
      <c r="DB47" s="133">
        <f t="shared" si="2"/>
        <v>0</v>
      </c>
      <c r="DC47" s="133">
        <f t="shared" si="2"/>
        <v>0</v>
      </c>
      <c r="DD47" s="133">
        <f t="shared" si="2"/>
        <v>0</v>
      </c>
      <c r="DE47" s="134">
        <f t="shared" si="2"/>
        <v>0</v>
      </c>
      <c r="DF47" s="134" t="str">
        <f t="shared" si="2"/>
        <v/>
      </c>
      <c r="DG47" s="140">
        <f t="shared" si="2"/>
        <v>0</v>
      </c>
      <c r="DH47" s="104">
        <f t="shared" si="65"/>
        <v>0</v>
      </c>
      <c r="DI47" s="252" t="str">
        <f t="shared" si="65"/>
        <v>Act 20-21</v>
      </c>
      <c r="DJ47" s="133">
        <f t="shared" si="64"/>
        <v>0</v>
      </c>
      <c r="DK47" s="133">
        <f t="shared" si="64"/>
        <v>0</v>
      </c>
      <c r="DL47" s="133">
        <f t="shared" si="64"/>
        <v>0</v>
      </c>
      <c r="DM47" s="133">
        <f t="shared" si="64"/>
        <v>0</v>
      </c>
      <c r="DN47" s="133">
        <f t="shared" si="64"/>
        <v>0</v>
      </c>
      <c r="DO47" s="134">
        <f t="shared" si="64"/>
        <v>0</v>
      </c>
      <c r="DP47" s="134" t="str">
        <f t="shared" si="64"/>
        <v/>
      </c>
      <c r="DQ47" s="140">
        <f t="shared" si="64"/>
        <v>0</v>
      </c>
    </row>
    <row r="48" spans="1:121" ht="29.5" thickTop="1" thickBot="1" x14ac:dyDescent="0.4">
      <c r="A48" s="145" t="str">
        <f>BSP!A48</f>
        <v>APP 21-22</v>
      </c>
      <c r="B48" s="146">
        <f t="array" ref="B48:F48">BSP!B48:F48</f>
        <v>62.5</v>
      </c>
      <c r="C48" s="147">
        <v>2.4</v>
      </c>
      <c r="D48" s="147">
        <v>2.4</v>
      </c>
      <c r="E48" s="147">
        <v>5</v>
      </c>
      <c r="F48" s="147">
        <v>10</v>
      </c>
      <c r="G48" s="147">
        <f t="shared" ref="G48:G61" si="68">IF(C48&lt;&gt;"",+D48+C48,"")</f>
        <v>4.8</v>
      </c>
      <c r="H48" s="148">
        <f t="shared" ref="H48:H61" si="69">IF(C48&gt;0,+D48/C48,"")</f>
        <v>1</v>
      </c>
      <c r="I48" s="149">
        <f>(BSP!I48+BSL!I48+DSP!I48+RSP!I48+ISP!I48)</f>
        <v>0</v>
      </c>
      <c r="J48" s="153"/>
      <c r="K48" s="145" t="str">
        <f>BSP!K48</f>
        <v>APP 21-22</v>
      </c>
      <c r="L48" s="146">
        <f t="array" ref="L48:P48">BSP!L48:P48</f>
        <v>62.2</v>
      </c>
      <c r="M48" s="147">
        <v>3</v>
      </c>
      <c r="N48" s="147">
        <v>3</v>
      </c>
      <c r="O48" s="147">
        <v>5</v>
      </c>
      <c r="P48" s="147">
        <v>40</v>
      </c>
      <c r="Q48" s="147">
        <f t="shared" ref="Q48:Q61" si="70">IF(M48&lt;&gt;"",+N48+M48,"")</f>
        <v>6</v>
      </c>
      <c r="R48" s="148">
        <f t="shared" ref="R48:R61" si="71">IF(M48&gt;0,+N48/M48,"")</f>
        <v>1</v>
      </c>
      <c r="S48" s="149">
        <f>(BSP!S48+BSL!S48+DSP!S48+RSP!S48+ISP!S48)</f>
        <v>0</v>
      </c>
      <c r="U48" s="145" t="str">
        <f>BSP!U48</f>
        <v>APP 21-22</v>
      </c>
      <c r="V48" s="146">
        <f t="array" ref="V48:Z48">BSP!V48:Z48</f>
        <v>63</v>
      </c>
      <c r="W48" s="147">
        <v>2.5</v>
      </c>
      <c r="X48" s="147">
        <v>2.2000000000000002</v>
      </c>
      <c r="Y48" s="147">
        <v>10</v>
      </c>
      <c r="Z48" s="147">
        <v>10</v>
      </c>
      <c r="AA48" s="147">
        <f t="shared" ref="AA48:AA61" si="72">IF(W48&lt;&gt;"",+X48+W48,"")</f>
        <v>4.7</v>
      </c>
      <c r="AB48" s="148">
        <f t="shared" ref="AB48:AB61" si="73">IF(W48&gt;0,+X48/W48,"")</f>
        <v>0.88000000000000012</v>
      </c>
      <c r="AC48" s="149">
        <f>(BSP!AC48+BSL!AC48+DSP!AC48+RSP!AC48+ISP!AC48)</f>
        <v>0</v>
      </c>
      <c r="AD48" s="153"/>
      <c r="AE48" s="145" t="str">
        <f>BSP!AE48</f>
        <v>APP 21-22</v>
      </c>
      <c r="AF48" s="147">
        <f t="array" ref="AF48:AJ48">BSP!AF48:AJ48</f>
        <v>63</v>
      </c>
      <c r="AG48" s="147">
        <v>2.8</v>
      </c>
      <c r="AH48" s="147">
        <v>2.4</v>
      </c>
      <c r="AI48" s="147">
        <v>5</v>
      </c>
      <c r="AJ48" s="147">
        <v>40</v>
      </c>
      <c r="AK48" s="147">
        <f t="shared" ref="AK48:AK61" si="74">IF(AG48&lt;&gt;"",+AH48+AG48,"")</f>
        <v>5.1999999999999993</v>
      </c>
      <c r="AL48" s="154">
        <f t="shared" ref="AL48:AL61" si="75">IF(AG48&gt;0,+AH48/AG48,"")</f>
        <v>0.85714285714285721</v>
      </c>
      <c r="AM48" s="155">
        <f>(BSP!AM48+BSL!AM48+DSP!AM48+RSP!AM48+ISP!AM48)</f>
        <v>0</v>
      </c>
      <c r="AO48" s="156" t="str">
        <f t="shared" ref="AO48:AO60" si="76">K48</f>
        <v>APP 21-22</v>
      </c>
      <c r="AP48" s="146">
        <f>IFERROR((BSP!AP48*BSP!AW48+BSL!AP48*BSL!AW48+DSP!AP48*DSP!AW48+RSP!AP48*RSP!AW48+ISP!AP48*ISP!AW48)/(BSP!AW48+BSL!AW48+DSP!AW48+RSP!AW48+ISP!AW48),)</f>
        <v>0</v>
      </c>
      <c r="AQ48" s="147">
        <f>IFERROR((BSP!AQ48*BSP!AW48+BSL!AQ48*BSL!AW48+DSP!AQ48*DSP!AW48+RSP!AQ48*RSP!AW48+ISP!AQ48*ISP!AW48)/(BSP!AW48+BSL!AW48+DSP!AW48+RSP!AW48+ISP!AW48),)</f>
        <v>0</v>
      </c>
      <c r="AR48" s="147">
        <f>IFERROR((BSP!AR48*BSP!AW48+BSL!AR48*BSL!AW48+DSP!AR48*DSP!AW48+RSP!AR48*RSP!AW48+ISP!AR48*ISP!AW48)/(BSP!AW48+BSL!AW48+DSP!AW48+RSP!AW48+ISP!AW48),)</f>
        <v>0</v>
      </c>
      <c r="AS48" s="147">
        <f>IFERROR((BSP!AS48*BSP!AW48+BSL!AS48*BSL!AW48+DSP!AS48*DSP!AW48+RSP!AS48*RSP!AW48+ISP!AS48*ISP!AW48)/(BSP!AW48+BSL!AW48+DSP!AW48+RSP!AW48+ISP!AW48),)</f>
        <v>0</v>
      </c>
      <c r="AT48" s="147">
        <f>IFERROR((BSP!AT48*BSP!AW48+BSL!AT48*BSL!AW48+DSP!AT48*DSP!AW48+RSP!AT48*RSP!AW48+ISP!AT48*ISP!AW48)/(BSP!AW48+BSL!AW48+DSP!AW48+RSP!AW48+ISP!AW48),)</f>
        <v>0</v>
      </c>
      <c r="AU48" s="147">
        <f t="shared" si="66"/>
        <v>0</v>
      </c>
      <c r="AV48" s="148" t="str">
        <f>IF(AQ48&gt;0,+AR48/AQ48,"")</f>
        <v/>
      </c>
      <c r="AW48" s="155">
        <f>(BSP!AW48+BSL!AW48+DSP!AW48+RSP!AW48+ISP!AW48)</f>
        <v>0</v>
      </c>
      <c r="AX48" s="152"/>
      <c r="AY48" s="156" t="str">
        <f>+AO48</f>
        <v>APP 21-22</v>
      </c>
      <c r="AZ48" s="146">
        <f>IFERROR((BSP!AZ48*BSP!BG48+BSL!AZ48*BSL!BG48+DSP!AZ48*DSP!BG48+RSP!AZ48*RSP!BG48+ISP!AZ48*ISP!BG48)/(BSP!BG48+BSL!BG48+DSP!BG48+RSP!BG48+ISP!BG48),)</f>
        <v>0</v>
      </c>
      <c r="BA48" s="147">
        <f>IFERROR((BSP!BA48*BSP!BG48+BSL!BA48*BSL!BG48+DSP!BA48*DSP!BG48+RSP!BA48*RSP!BG48+ISP!BA48*ISP!BG48)/(BSP!BG48+BSL!BG48+DSP!BG48+RSP!BG48+ISP!BG48),)</f>
        <v>0</v>
      </c>
      <c r="BB48" s="147">
        <f>IFERROR((BSP!BB48*BSP!BG48+BSL!BB48*BSL!BG48+DSP!BB48*DSP!BG48+RSP!BB48*RSP!BG48+ISP!BB48*ISP!BG48)/(BSP!BG48+BSL!BG48+DSP!BG48+RSP!BG48+ISP!BG48),)</f>
        <v>0</v>
      </c>
      <c r="BC48" s="147">
        <f>IFERROR((BSP!BC48*BSP!BG48+BSL!BC48*BSL!BG48+DSP!BC48*DSP!BG48+RSP!BC48*RSP!BG48+ISP!BC48*ISP!BG48)/(BSP!BG48+BSL!BG48+DSP!BG48+RSP!BG48+ISP!BG48),)</f>
        <v>0</v>
      </c>
      <c r="BD48" s="147">
        <f>IFERROR((BSP!BD48*BSP!BG48+BSL!BD48*BSL!BG48+DSP!BD48*DSP!BG48+RSP!BD48*RSP!BG48+ISP!BD48*ISP!BG48)/(BSP!BG48+BSL!BG48+DSP!BG48+RSP!BG48+ISP!BG48),)</f>
        <v>0</v>
      </c>
      <c r="BE48" s="147">
        <f t="shared" si="67"/>
        <v>0</v>
      </c>
      <c r="BF48" s="148" t="str">
        <f>IF(BA48&gt;0,+BB48/BA48,"")</f>
        <v/>
      </c>
      <c r="BG48" s="155">
        <f>(BSP!BG48+BSL!BG48+DSP!BG48+RSP!BG48+ISP!BG48)</f>
        <v>0</v>
      </c>
      <c r="CD48" s="104">
        <f t="shared" ref="CD48:CS61" si="77">T48</f>
        <v>0</v>
      </c>
      <c r="CE48" s="159" t="str">
        <f t="shared" si="77"/>
        <v>APP 21-22</v>
      </c>
      <c r="CF48" s="160">
        <f t="shared" si="77"/>
        <v>63</v>
      </c>
      <c r="CG48" s="161">
        <f t="shared" si="77"/>
        <v>2.5</v>
      </c>
      <c r="CH48" s="161">
        <f t="shared" si="77"/>
        <v>2.2000000000000002</v>
      </c>
      <c r="CI48" s="161">
        <f t="shared" si="77"/>
        <v>10</v>
      </c>
      <c r="CJ48" s="161">
        <f t="shared" si="77"/>
        <v>10</v>
      </c>
      <c r="CK48" s="161">
        <f t="shared" si="77"/>
        <v>4.7</v>
      </c>
      <c r="CL48" s="162">
        <f t="shared" si="77"/>
        <v>0.88000000000000012</v>
      </c>
      <c r="CM48" s="163">
        <f t="shared" si="77"/>
        <v>0</v>
      </c>
      <c r="CN48" s="165">
        <f t="shared" si="77"/>
        <v>0</v>
      </c>
      <c r="CO48" s="159" t="str">
        <f t="shared" si="77"/>
        <v>APP 21-22</v>
      </c>
      <c r="CP48" s="160">
        <f t="shared" si="77"/>
        <v>63</v>
      </c>
      <c r="CQ48" s="161">
        <f t="shared" si="77"/>
        <v>2.8</v>
      </c>
      <c r="CR48" s="161">
        <f t="shared" si="77"/>
        <v>2.4</v>
      </c>
      <c r="CS48" s="161">
        <f t="shared" si="77"/>
        <v>5</v>
      </c>
      <c r="CT48" s="161">
        <f t="shared" ref="CT48:CY61" si="78">AJ48</f>
        <v>40</v>
      </c>
      <c r="CU48" s="161">
        <f t="shared" si="78"/>
        <v>5.1999999999999993</v>
      </c>
      <c r="CV48" s="162">
        <f t="shared" si="78"/>
        <v>0.85714285714285721</v>
      </c>
      <c r="CW48" s="163">
        <f t="shared" si="78"/>
        <v>0</v>
      </c>
      <c r="CX48" s="104">
        <f t="shared" si="2"/>
        <v>0</v>
      </c>
      <c r="CY48" s="253" t="str">
        <f t="shared" si="2"/>
        <v>APP 21-22</v>
      </c>
      <c r="CZ48" s="146">
        <f t="shared" si="2"/>
        <v>0</v>
      </c>
      <c r="DA48" s="147">
        <f t="shared" si="2"/>
        <v>0</v>
      </c>
      <c r="DB48" s="147">
        <f t="shared" si="2"/>
        <v>0</v>
      </c>
      <c r="DC48" s="147">
        <f t="shared" si="2"/>
        <v>0</v>
      </c>
      <c r="DD48" s="147">
        <f t="shared" si="2"/>
        <v>0</v>
      </c>
      <c r="DE48" s="147">
        <f t="shared" si="2"/>
        <v>0</v>
      </c>
      <c r="DF48" s="148" t="str">
        <f t="shared" si="2"/>
        <v/>
      </c>
      <c r="DG48" s="155">
        <f t="shared" si="2"/>
        <v>0</v>
      </c>
      <c r="DH48" s="152">
        <f t="shared" si="65"/>
        <v>0</v>
      </c>
      <c r="DI48" s="253" t="str">
        <f t="shared" si="65"/>
        <v>APP 21-22</v>
      </c>
      <c r="DJ48" s="146">
        <f t="shared" si="64"/>
        <v>0</v>
      </c>
      <c r="DK48" s="147">
        <f t="shared" si="64"/>
        <v>0</v>
      </c>
      <c r="DL48" s="147">
        <f t="shared" si="64"/>
        <v>0</v>
      </c>
      <c r="DM48" s="147">
        <f t="shared" si="64"/>
        <v>0</v>
      </c>
      <c r="DN48" s="147">
        <f t="shared" si="64"/>
        <v>0</v>
      </c>
      <c r="DO48" s="147">
        <f t="shared" si="64"/>
        <v>0</v>
      </c>
      <c r="DP48" s="148" t="str">
        <f t="shared" si="64"/>
        <v/>
      </c>
      <c r="DQ48" s="155">
        <f t="shared" si="64"/>
        <v>0</v>
      </c>
    </row>
    <row r="49" spans="1:121" ht="19" customHeight="1" x14ac:dyDescent="0.35">
      <c r="A49" s="166">
        <f>BSP!A49</f>
        <v>44287</v>
      </c>
      <c r="B49" s="167">
        <f>IFERROR((BSP!B49*BSP!I49+BSL!B49*BSL!I49+DSP!B49*DSP!I49+RSP!B49*RSP!I49+ISP!B49*ISP!I49)/(BSP!I49+BSL!I49+DSP!I49+RSP!I49+ISP!I49),)</f>
        <v>62.70000000000001</v>
      </c>
      <c r="C49" s="168">
        <f>IFERROR((BSP!C49*BSP!I49+BSL!C49*BSL!I49+DSP!C49*DSP!I49+RSP!C49*RSP!I49+ISP!C49*ISP!I49)/(BSP!I49+BSL!I49+DSP!I49+RSP!I49+ISP!I49),)</f>
        <v>2.85</v>
      </c>
      <c r="D49" s="168">
        <f>IFERROR((BSP!D49*BSP!I49+BSL!D49*BSL!I49+DSP!D49*DSP!I49+RSP!D49*RSP!I49+ISP!D49*ISP!I49)/(BSP!I49+BSL!I49+DSP!I49+RSP!I49+ISP!I49),)</f>
        <v>2.5499999999999994</v>
      </c>
      <c r="E49" s="168">
        <f>IFERROR((BSP!E49*BSP!I49+BSL!E49*BSL!I49+DSP!E49*DSP!I49+RSP!E49*RSP!I49+ISP!E49*ISP!I49)/(IF(BSP!F49&gt;0,BSP!I49,0)+IF(BSL!F49&gt;0,BSL!I49,0)+IF(DSP!F49&gt;0,DSP!I49,0)+IF(RSP!F49&gt;0,RSP!I49,0)+IF(ISP!F49&gt;0,ISP!I49,0)),)</f>
        <v>9.5</v>
      </c>
      <c r="F49" s="168">
        <f>IFERROR((BSP!F49*BSP!I49+BSL!F49*BSL!I49+DSP!F49*DSP!I49+RSP!F49*RSP!I49+ISP!F49*ISP!I49)/(IF(BSP!F49&gt;0,BSP!I49,0)+IF(BSL!F49&gt;0,BSL!I49,0)+IF(DSP!F49&gt;0,DSP!I49,0)+IF(RSP!F49&gt;0,RSP!I49,0)+IF(ISP!F49&gt;0,ISP!I49,0)),)</f>
        <v>17</v>
      </c>
      <c r="G49" s="168">
        <f t="shared" si="68"/>
        <v>5.3999999999999995</v>
      </c>
      <c r="H49" s="169">
        <f t="shared" si="69"/>
        <v>0.89473684210526294</v>
      </c>
      <c r="I49" s="170">
        <f>(BSP!I49+BSL!I49+DSP!I49+RSP!I49+ISP!I49)</f>
        <v>51437</v>
      </c>
      <c r="J49" s="171"/>
      <c r="K49" s="166">
        <f>BSP!K49</f>
        <v>44287</v>
      </c>
      <c r="L49" s="167">
        <f>IFERROR((BSP!L49*BSP!S49+BSL!L49*BSL!S49+DSP!L49*DSP!S49+RSP!L49*RSP!S49+ISP!L49*ISP!S49)/(BSP!S49+BSL!S49+DSP!S49+RSP!S49+ISP!S49),)</f>
        <v>62</v>
      </c>
      <c r="M49" s="168">
        <f>IFERROR((BSP!M49*BSP!S49+BSL!M49*BSL!S49+DSP!M49*DSP!S49+RSP!M49*RSP!S49+ISP!M49*ISP!S49)/(BSP!S49+BSL!S49+DSP!S49+RSP!S49+ISP!S49),)</f>
        <v>3.45</v>
      </c>
      <c r="N49" s="168">
        <f>IFERROR((BSP!N49*BSP!S49+BSL!N49*BSL!S49+DSP!N49*DSP!S49+RSP!N49*RSP!S49+ISP!N49*ISP!S49)/(BSP!S49+BSL!S49+DSP!S49+RSP!S49+ISP!S49),)</f>
        <v>2.9</v>
      </c>
      <c r="O49" s="168">
        <f>IFERROR((BSP!O49*BSP!S49+BSL!O49*BSL!S49+DSP!O49*DSP!S49+RSP!O49*RSP!S49+ISP!O49*ISP!S49)/(IF(BSP!P49&gt;0,BSP!S49,0)+IF(BSL!P49&gt;0,BSL!S49,0)+IF(DSP!P49&gt;0,DSP!S49,0)+IF(RSP!P49&gt;0,RSP!S49,0)+IF(ISP!P49&gt;0,ISP!S49,0)),)</f>
        <v>6.2</v>
      </c>
      <c r="P49" s="168">
        <f>IFERROR((BSP!P49*BSP!S49+BSL!P49*BSL!S49+DSP!P49*DSP!S49+RSP!P49*RSP!S49+ISP!P49*ISP!S49)/(IF(BSP!P49&gt;0,BSP!S49,0)+IF(BSL!P49&gt;0,BSL!S49,0)+IF(DSP!P49&gt;0,DSP!S49,0)+IF(RSP!P49&gt;0,RSP!S49,0)+IF(ISP!P49&gt;0,ISP!S49,0)),)</f>
        <v>38.700000000000003</v>
      </c>
      <c r="Q49" s="168">
        <f t="shared" si="70"/>
        <v>6.35</v>
      </c>
      <c r="R49" s="169">
        <f t="shared" si="71"/>
        <v>0.84057971014492749</v>
      </c>
      <c r="S49" s="170">
        <f>(BSP!S49+BSL!S49+DSP!S49+RSP!S49+ISP!S49)</f>
        <v>99125</v>
      </c>
      <c r="U49" s="166">
        <f>BSP!U49</f>
        <v>44287</v>
      </c>
      <c r="V49" s="167">
        <f>IFERROR((BSP!V49*BSP!AC49+BSL!V49*BSL!AC49+DSP!V49*DSP!AC49+RSP!V49*RSP!AC49+ISP!V49*ISP!AC49)/(BSP!AC49+BSL!AC49+DSP!AC49+RSP!AC49+ISP!AC49),)</f>
        <v>63.49</v>
      </c>
      <c r="W49" s="168">
        <f>IFERROR((BSP!W49*BSP!AC49+BSL!W49*BSL!AC49+DSP!W49*DSP!AC49+RSP!W49*RSP!AC49+ISP!W49*ISP!AC49)/(BSP!AC49+BSL!AC49+DSP!AC49+RSP!AC49+ISP!AC49),)</f>
        <v>2.5199999999999996</v>
      </c>
      <c r="X49" s="168">
        <f>IFERROR((BSP!X49*BSP!AC49+BSL!X49*BSL!AC49+DSP!X49*DSP!AC49+RSP!X49*RSP!AC49+ISP!X49*ISP!AC49)/(BSP!AC49+BSL!AC49+DSP!AC49+RSP!AC49+ISP!AC49),)</f>
        <v>2.1</v>
      </c>
      <c r="Y49" s="168">
        <f>IFERROR((BSP!Y49*BSP!AC49+BSL!Y49*BSL!AC49+DSP!Y49*DSP!AC49+RSP!Y49*RSP!AC49+ISP!Y49*ISP!AC49)/(IF(BSP!Z49&gt;0,BSP!AC49,0)+IF(BSL!Z49&gt;0,BSL!AC49,0)+IF(DSP!Z49&gt;0,DSP!AC49,0)+IF(RSP!Z49&gt;0,RSP!AC49,0)+IF(ISP!Z49&gt;0,ISP!AC49,0)),)</f>
        <v>7.3</v>
      </c>
      <c r="Z49" s="168">
        <f>IFERROR((BSP!Z49*BSP!AC49+BSL!Z49*BSL!AC49+DSP!Z49*DSP!AC49+RSP!Z49*RSP!AC49+ISP!Z49*ISP!AC49)/(IF(BSP!Z49&gt;0,BSP!AC49,0)+IF(BSL!Z49&gt;0,BSL!AC49,0)+IF(DSP!Z49&gt;0,DSP!AC49,0)+IF(RSP!Z49&gt;0,RSP!AC49,0)+IF(ISP!Z49&gt;0,ISP!AC49,0)),)</f>
        <v>11.9</v>
      </c>
      <c r="AA49" s="168">
        <f t="shared" si="72"/>
        <v>4.6199999999999992</v>
      </c>
      <c r="AB49" s="169">
        <f t="shared" si="73"/>
        <v>0.83333333333333348</v>
      </c>
      <c r="AC49" s="170">
        <f>(BSP!AC49+BSL!AC49+DSP!AC49+RSP!AC49+ISP!AC49)</f>
        <v>3340</v>
      </c>
      <c r="AD49" s="171"/>
      <c r="AE49" s="166">
        <f>BSP!AE49</f>
        <v>44287</v>
      </c>
      <c r="AF49" s="167">
        <f>IFERROR((BSP!AF49*BSP!AM49+BSL!AF49*BSL!AM49+DSP!AF49*DSP!AM49+RSP!AF49*RSP!AM49+ISP!AF49*ISP!AM49)/(BSP!AM49+BSL!AM49+DSP!AM49+RSP!AM49+ISP!AM49),)</f>
        <v>63.37</v>
      </c>
      <c r="AG49" s="168">
        <f>IFERROR((BSP!AG49*BSP!AM49+BSL!AG49*BSL!AM49+DSP!AG49*DSP!AM49+RSP!AG49*RSP!AM49+ISP!AG49*ISP!AM49)/(BSP!AM49+BSL!AM49+DSP!AM49+RSP!AM49+ISP!AM49),)</f>
        <v>2.58</v>
      </c>
      <c r="AH49" s="168">
        <f>IFERROR((BSP!AH49*BSP!AM49+BSL!AH49*BSL!AM49+DSP!AH49*DSP!AM49+RSP!AH49*RSP!AM49+ISP!AH49*ISP!AM49)/(BSP!AM49+BSL!AM49+DSP!AM49+RSP!AM49+ISP!AM49),)</f>
        <v>2.14</v>
      </c>
      <c r="AI49" s="168">
        <f>IFERROR((BSP!AI49*BSP!AM49+BSL!AI49*BSL!AM49+DSP!AI49*DSP!AM49+RSP!AI49*RSP!AM49+ISP!AI49*ISP!AM49)/(IF(BSP!AJ49&gt;0,BSP!AM49,0)+IF(BSL!AJ49&gt;0,BSL!AM49,0)+IF(DSP!AJ49&gt;0,DSP!AM49,0)+IF(RSP!AJ49&gt;0,RSP!AM49,0)+IF(ISP!AJ49&gt;0,ISP!AM49,0)),)</f>
        <v>5</v>
      </c>
      <c r="AJ49" s="168">
        <f>IFERROR((BSP!AJ49*BSP!AM49+BSL!AJ49*BSL!AM49+DSP!AJ49*DSP!AM49+RSP!AJ49*RSP!AM49+ISP!AJ49*ISP!AM49)/(IF(BSP!AJ49&gt;0,BSP!AM49,0)+IF(BSL!AJ49&gt;0,BSL!AM49,0)+IF(DSP!AJ49&gt;0,DSP!AM49,0)+IF(RSP!AJ49&gt;0,RSP!AM49,0)+IF(ISP!AJ49&gt;0,ISP!AM49,0)),)</f>
        <v>36.200000000000003</v>
      </c>
      <c r="AK49" s="168">
        <f t="shared" si="74"/>
        <v>4.7200000000000006</v>
      </c>
      <c r="AL49" s="169">
        <f t="shared" si="75"/>
        <v>0.8294573643410853</v>
      </c>
      <c r="AM49" s="170">
        <f>(BSP!AM49+BSL!AM49+DSP!AM49+RSP!AM49+ISP!AM49)</f>
        <v>7086</v>
      </c>
      <c r="AO49" s="172">
        <f t="shared" si="76"/>
        <v>44287</v>
      </c>
      <c r="AP49" s="167">
        <f>IFERROR((BSP!AP49*BSP!AW49+BSL!AP49*BSL!AW49+DSP!AP49*DSP!AW49+RSP!AP49*RSP!AW49+ISP!AP49*ISP!AW49)/(BSP!AW49+BSL!AW49+DSP!AW49+RSP!AW49+ISP!AW49),)</f>
        <v>62.099651963841829</v>
      </c>
      <c r="AQ49" s="168">
        <f>IFERROR((BSP!AQ49*BSP!AW49+BSL!AQ49*BSL!AW49+DSP!AQ49*DSP!AW49+RSP!AQ49*RSP!AW49+ISP!AQ49*ISP!AW49)/(BSP!AW49+BSL!AW49+DSP!AW49+RSP!AW49+ISP!AW49),)</f>
        <v>3.5168062741185935</v>
      </c>
      <c r="AR49" s="168">
        <f>IFERROR((BSP!AR49*BSP!AW49+BSL!AR49*BSL!AW49+DSP!AR49*DSP!AW49+RSP!AR49*RSP!AW49+ISP!AR49*ISP!AW49)/(BSP!AW49+BSL!AW49+DSP!AW49+RSP!AW49+ISP!AW49),)</f>
        <v>2.6438000652515536</v>
      </c>
      <c r="AS49" s="168">
        <f>IFERROR((BSP!AS49*BSP!AW49+BSL!AS49*BSL!AW49+DSP!AS49*DSP!AW49+RSP!AS49*RSP!AW49+ISP!AS49*ISP!AW49)/(BSP!AW49+BSL!AW49+DSP!AW49+RSP!AW49+ISP!AW49),)</f>
        <v>15.750721407542583</v>
      </c>
      <c r="AT49" s="168">
        <f>IFERROR((BSP!AT49*BSP!AW49+BSL!AT49*BSL!AW49+DSP!AT49*DSP!AW49+RSP!AT49*RSP!AW49+ISP!AT49*ISP!AW49)/(BSP!AW49+BSL!AW49+DSP!AW49+RSP!AW49+ISP!AW49),)</f>
        <v>16.163452661026863</v>
      </c>
      <c r="AU49" s="168">
        <f t="shared" si="66"/>
        <v>6.1606063393701476</v>
      </c>
      <c r="AV49" s="169">
        <f t="shared" ref="AV49:AV61" si="79">IF(AQ49&gt;0,+AR49/AQ49,"")</f>
        <v>0.75176164371299103</v>
      </c>
      <c r="AW49" s="170">
        <f>(BSP!AW49+BSL!AW49+DSP!AW49+RSP!AW49+ISP!AW49)</f>
        <v>621900.9</v>
      </c>
      <c r="AY49" s="172">
        <f t="shared" ref="AY49:AY60" si="80">AO49</f>
        <v>44287</v>
      </c>
      <c r="AZ49" s="167">
        <f>IFERROR((BSP!AZ49*BSP!BG49+BSL!AZ49*BSL!BG49+DSP!AZ49*DSP!BG49+RSP!AZ49*RSP!BG49+ISP!AZ49*ISP!BG49)/(BSP!BG49+BSL!BG49+DSP!BG49+RSP!BG49+ISP!BG49),)</f>
        <v>61.107704163911514</v>
      </c>
      <c r="BA49" s="168">
        <f>IFERROR((BSP!BA49*BSP!BG49+BSL!BA49*BSL!BG49+DSP!BA49*DSP!BG49+RSP!BA49*RSP!BG49+ISP!BA49*ISP!BG49)/(BSP!BG49+BSL!BG49+DSP!BG49+RSP!BG49+ISP!BG49),)</f>
        <v>4.532311949921219</v>
      </c>
      <c r="BB49" s="168">
        <f>IFERROR((BSP!BB49*BSP!BG49+BSL!BB49*BSL!BG49+DSP!BB49*DSP!BG49+RSP!BB49*RSP!BG49+ISP!BB49*ISP!BG49)/(BSP!BG49+BSL!BG49+DSP!BG49+RSP!BG49+ISP!BG49),)</f>
        <v>3.1055396010241632</v>
      </c>
      <c r="BC49" s="168">
        <f>IFERROR((BSP!BC49*BSP!BG49+BSL!BC49*BSL!BG49+DSP!BC49*DSP!BG49+RSP!BC49*RSP!BG49+ISP!BC49*ISP!BG49)/(BSP!BG49+BSL!BG49+DSP!BG49+RSP!BG49+ISP!BG49),)</f>
        <v>6.7237128788607938</v>
      </c>
      <c r="BD49" s="168">
        <f>IFERROR((BSP!BD49*BSP!BG49+BSL!BD49*BSL!BG49+DSP!BD49*DSP!BG49+RSP!BD49*RSP!BG49+ISP!BD49*ISP!BG49)/(BSP!BG49+BSL!BG49+DSP!BG49+RSP!BG49+ISP!BG49),)</f>
        <v>41.839378160888131</v>
      </c>
      <c r="BE49" s="168">
        <f t="shared" si="67"/>
        <v>7.6378515509453822</v>
      </c>
      <c r="BF49" s="169">
        <f t="shared" ref="BF49:BF61" si="81">IF(BA49&gt;0,+BB49/BA49,"")</f>
        <v>0.68519987929739568</v>
      </c>
      <c r="BG49" s="170">
        <f>(BSP!BG49+BSL!BG49+DSP!BG49+RSP!BG49+ISP!BG49)</f>
        <v>1247809.8999999999</v>
      </c>
      <c r="BL49" s="254"/>
      <c r="CD49" s="104">
        <f t="shared" si="77"/>
        <v>0</v>
      </c>
      <c r="CE49" s="173">
        <f t="shared" si="77"/>
        <v>44287</v>
      </c>
      <c r="CF49" s="174">
        <f t="shared" si="77"/>
        <v>63.49</v>
      </c>
      <c r="CG49" s="175">
        <f t="shared" si="77"/>
        <v>2.5199999999999996</v>
      </c>
      <c r="CH49" s="175">
        <f t="shared" si="77"/>
        <v>2.1</v>
      </c>
      <c r="CI49" s="175">
        <f t="shared" si="77"/>
        <v>7.3</v>
      </c>
      <c r="CJ49" s="175">
        <f t="shared" si="77"/>
        <v>11.9</v>
      </c>
      <c r="CK49" s="175">
        <f t="shared" si="77"/>
        <v>4.6199999999999992</v>
      </c>
      <c r="CL49" s="176">
        <f t="shared" si="77"/>
        <v>0.83333333333333348</v>
      </c>
      <c r="CM49" s="177">
        <f t="shared" si="77"/>
        <v>3340</v>
      </c>
      <c r="CN49" s="111">
        <f t="shared" si="77"/>
        <v>0</v>
      </c>
      <c r="CO49" s="173">
        <f t="shared" si="77"/>
        <v>44287</v>
      </c>
      <c r="CP49" s="174">
        <f t="shared" si="77"/>
        <v>63.37</v>
      </c>
      <c r="CQ49" s="175">
        <f t="shared" si="77"/>
        <v>2.58</v>
      </c>
      <c r="CR49" s="175">
        <f t="shared" si="77"/>
        <v>2.14</v>
      </c>
      <c r="CS49" s="175">
        <f t="shared" si="77"/>
        <v>5</v>
      </c>
      <c r="CT49" s="175">
        <f t="shared" si="78"/>
        <v>36.200000000000003</v>
      </c>
      <c r="CU49" s="175">
        <f t="shared" si="78"/>
        <v>4.7200000000000006</v>
      </c>
      <c r="CV49" s="176">
        <f t="shared" si="78"/>
        <v>0.8294573643410853</v>
      </c>
      <c r="CW49" s="177">
        <f t="shared" si="78"/>
        <v>7086</v>
      </c>
      <c r="CX49" s="104">
        <f t="shared" si="2"/>
        <v>0</v>
      </c>
      <c r="CY49" s="255">
        <f t="shared" si="2"/>
        <v>44287</v>
      </c>
      <c r="CZ49" s="167">
        <f t="shared" si="2"/>
        <v>62.099651963841829</v>
      </c>
      <c r="DA49" s="168">
        <f t="shared" si="2"/>
        <v>3.5168062741185935</v>
      </c>
      <c r="DB49" s="168">
        <f t="shared" si="2"/>
        <v>2.6438000652515536</v>
      </c>
      <c r="DC49" s="168">
        <f t="shared" si="2"/>
        <v>15.750721407542583</v>
      </c>
      <c r="DD49" s="168">
        <f t="shared" si="2"/>
        <v>16.163452661026863</v>
      </c>
      <c r="DE49" s="168">
        <f t="shared" si="2"/>
        <v>6.1606063393701476</v>
      </c>
      <c r="DF49" s="169">
        <f t="shared" si="2"/>
        <v>0.75176164371299103</v>
      </c>
      <c r="DG49" s="170">
        <f t="shared" si="2"/>
        <v>621900.9</v>
      </c>
      <c r="DH49" s="104">
        <f t="shared" si="65"/>
        <v>0</v>
      </c>
      <c r="DI49" s="255">
        <f t="shared" si="65"/>
        <v>44287</v>
      </c>
      <c r="DJ49" s="167">
        <f t="shared" si="64"/>
        <v>61.107704163911514</v>
      </c>
      <c r="DK49" s="168">
        <f t="shared" si="64"/>
        <v>4.532311949921219</v>
      </c>
      <c r="DL49" s="168">
        <f t="shared" si="64"/>
        <v>3.1055396010241632</v>
      </c>
      <c r="DM49" s="168">
        <f t="shared" si="64"/>
        <v>6.7237128788607938</v>
      </c>
      <c r="DN49" s="168">
        <f t="shared" si="64"/>
        <v>41.839378160888131</v>
      </c>
      <c r="DO49" s="168">
        <f t="shared" si="64"/>
        <v>7.6378515509453822</v>
      </c>
      <c r="DP49" s="169">
        <f t="shared" si="64"/>
        <v>0.68519987929739568</v>
      </c>
      <c r="DQ49" s="170">
        <f t="shared" si="64"/>
        <v>1247809.8999999999</v>
      </c>
    </row>
    <row r="50" spans="1:121" ht="19" customHeight="1" x14ac:dyDescent="0.35">
      <c r="A50" s="166">
        <f>BSP!A50</f>
        <v>44317</v>
      </c>
      <c r="B50" s="167">
        <f>IFERROR((BSP!B50*BSP!I50+BSL!B50*BSL!I50+DSP!B50*DSP!I50+RSP!B50*RSP!I50+ISP!B50*ISP!I50)/(BSP!I50+BSL!I50+DSP!I50+RSP!I50+ISP!I50),)</f>
        <v>62.800000000000004</v>
      </c>
      <c r="C50" s="168">
        <f>IFERROR((BSP!C50*BSP!I50+BSL!C50*BSL!I50+DSP!C50*DSP!I50+RSP!C50*RSP!I50+ISP!C50*ISP!I50)/(BSP!I50+BSL!I50+DSP!I50+RSP!I50+ISP!I50),)</f>
        <v>2.2999999999999998</v>
      </c>
      <c r="D50" s="168">
        <f>IFERROR((BSP!D50*BSP!I50+BSL!D50*BSL!I50+DSP!D50*DSP!I50+RSP!D50*RSP!I50+ISP!D50*ISP!I50)/(BSP!I50+BSL!I50+DSP!I50+RSP!I50+ISP!I50),)</f>
        <v>3</v>
      </c>
      <c r="E50" s="168">
        <f>IFERROR((BSP!E50*BSP!I50+BSL!E50*BSL!I50+DSP!E50*DSP!I50+RSP!E50*RSP!I50+ISP!E50*ISP!I50)/(IF(BSP!F50&gt;0,BSP!I50,0)+IF(BSL!F50&gt;0,BSL!I50,0)+IF(DSP!F50&gt;0,DSP!I50,0)+IF(RSP!F50&gt;0,RSP!I50,0)+IF(ISP!F50&gt;0,ISP!I50,0)),)</f>
        <v>5</v>
      </c>
      <c r="F50" s="168">
        <f>IFERROR((BSP!F50*BSP!I50+BSL!F50*BSL!I50+DSP!F50*DSP!I50+RSP!F50*RSP!I50+ISP!F50*ISP!I50)/(IF(BSP!F50&gt;0,BSP!I50,0)+IF(BSL!F50&gt;0,BSL!I50,0)+IF(DSP!F50&gt;0,DSP!I50,0)+IF(RSP!F50&gt;0,RSP!I50,0)+IF(ISP!F50&gt;0,ISP!I50,0)),)</f>
        <v>15</v>
      </c>
      <c r="G50" s="168">
        <f t="shared" si="68"/>
        <v>5.3</v>
      </c>
      <c r="H50" s="169">
        <f t="shared" si="69"/>
        <v>1.3043478260869565</v>
      </c>
      <c r="I50" s="170">
        <f>(BSP!I50+BSL!I50+DSP!I50+RSP!I50+ISP!I50)</f>
        <v>43372</v>
      </c>
      <c r="J50" s="171"/>
      <c r="K50" s="166">
        <f>BSP!K50</f>
        <v>44317</v>
      </c>
      <c r="L50" s="167">
        <f>IFERROR((BSP!L50*BSP!S50+BSL!L50*BSL!S50+DSP!L50*DSP!S50+RSP!L50*RSP!S50+ISP!L50*ISP!S50)/(BSP!S50+BSL!S50+DSP!S50+RSP!S50+ISP!S50),)</f>
        <v>62.8</v>
      </c>
      <c r="M50" s="168">
        <f>IFERROR((BSP!M50*BSP!S50+BSL!M50*BSL!S50+DSP!M50*DSP!S50+RSP!M50*RSP!S50+ISP!M50*ISP!S50)/(BSP!S50+BSL!S50+DSP!S50+RSP!S50+ISP!S50),)</f>
        <v>2.8</v>
      </c>
      <c r="N50" s="168">
        <f>IFERROR((BSP!N50*BSP!S50+BSL!N50*BSL!S50+DSP!N50*DSP!S50+RSP!N50*RSP!S50+ISP!N50*ISP!S50)/(BSP!S50+BSL!S50+DSP!S50+RSP!S50+ISP!S50),)</f>
        <v>2.2000000000000002</v>
      </c>
      <c r="O50" s="168">
        <f>IFERROR((BSP!O50*BSP!S50+BSL!O50*BSL!S50+DSP!O50*DSP!S50+RSP!O50*RSP!S50+ISP!O50*ISP!S50)/(IF(BSP!P50&gt;0,BSP!S50,0)+IF(BSL!P50&gt;0,BSL!S50,0)+IF(DSP!P50&gt;0,DSP!S50,0)+IF(RSP!P50&gt;0,RSP!S50,0)+IF(ISP!P50&gt;0,ISP!S50,0)),)</f>
        <v>6</v>
      </c>
      <c r="P50" s="168">
        <f>IFERROR((BSP!P50*BSP!S50+BSL!P50*BSL!S50+DSP!P50*DSP!S50+RSP!P50*RSP!S50+ISP!P50*ISP!S50)/(IF(BSP!P50&gt;0,BSP!S50,0)+IF(BSL!P50&gt;0,BSL!S50,0)+IF(DSP!P50&gt;0,DSP!S50,0)+IF(RSP!P50&gt;0,RSP!S50,0)+IF(ISP!P50&gt;0,ISP!S50,0)),)</f>
        <v>40</v>
      </c>
      <c r="Q50" s="168">
        <f t="shared" si="70"/>
        <v>5</v>
      </c>
      <c r="R50" s="169">
        <f t="shared" si="71"/>
        <v>0.78571428571428581</v>
      </c>
      <c r="S50" s="170">
        <f>(BSP!S50+BSL!S50+DSP!S50+RSP!S50+ISP!S50)</f>
        <v>91102</v>
      </c>
      <c r="U50" s="166">
        <f>BSP!U50</f>
        <v>44317</v>
      </c>
      <c r="V50" s="167">
        <f>IFERROR((BSP!V50*BSP!AC50+BSL!V50*BSL!AC50+DSP!V50*DSP!AC50+RSP!V50*RSP!AC50+ISP!V50*ISP!AC50)/(BSP!AC50+BSL!AC50+DSP!AC50+RSP!AC50+ISP!AC50),)</f>
        <v>63.36</v>
      </c>
      <c r="W50" s="168">
        <f>IFERROR((BSP!W50*BSP!AC50+BSL!W50*BSL!AC50+DSP!W50*DSP!AC50+RSP!W50*RSP!AC50+ISP!W50*ISP!AC50)/(BSP!AC50+BSL!AC50+DSP!AC50+RSP!AC50+ISP!AC50),)</f>
        <v>2.5</v>
      </c>
      <c r="X50" s="168">
        <f>IFERROR((BSP!X50*BSP!AC50+BSL!X50*BSL!AC50+DSP!X50*DSP!AC50+RSP!X50*RSP!AC50+ISP!X50*ISP!AC50)/(BSP!AC50+BSL!AC50+DSP!AC50+RSP!AC50+ISP!AC50),)</f>
        <v>2.2799999999999998</v>
      </c>
      <c r="Y50" s="168">
        <f>IFERROR((BSP!Y50*BSP!AC50+BSL!Y50*BSL!AC50+DSP!Y50*DSP!AC50+RSP!Y50*RSP!AC50+ISP!Y50*ISP!AC50)/(IF(BSP!Z50&gt;0,BSP!AC50,0)+IF(BSL!Z50&gt;0,BSL!AC50,0)+IF(DSP!Z50&gt;0,DSP!AC50,0)+IF(RSP!Z50&gt;0,RSP!AC50,0)+IF(ISP!Z50&gt;0,ISP!AC50,0)),)</f>
        <v>8.26</v>
      </c>
      <c r="Z50" s="168">
        <f>IFERROR((BSP!Z50*BSP!AC50+BSL!Z50*BSL!AC50+DSP!Z50*DSP!AC50+RSP!Z50*RSP!AC50+ISP!Z50*ISP!AC50)/(IF(BSP!Z50&gt;0,BSP!AC50,0)+IF(BSL!Z50&gt;0,BSL!AC50,0)+IF(DSP!Z50&gt;0,DSP!AC50,0)+IF(RSP!Z50&gt;0,RSP!AC50,0)+IF(ISP!Z50&gt;0,ISP!AC50,0)),)</f>
        <v>9.52</v>
      </c>
      <c r="AA50" s="168">
        <f t="shared" si="72"/>
        <v>4.7799999999999994</v>
      </c>
      <c r="AB50" s="169">
        <f t="shared" si="73"/>
        <v>0.91199999999999992</v>
      </c>
      <c r="AC50" s="170">
        <f>(BSP!AC50+BSL!AC50+DSP!AC50+RSP!AC50+ISP!AC50)</f>
        <v>17229</v>
      </c>
      <c r="AD50" s="171"/>
      <c r="AE50" s="166">
        <f>BSP!AE50</f>
        <v>44317</v>
      </c>
      <c r="AF50" s="167">
        <f>IFERROR((BSP!AF50*BSP!AM50+BSL!AF50*BSL!AM50+DSP!AF50*DSP!AM50+RSP!AF50*RSP!AM50+ISP!AF50*ISP!AM50)/(BSP!AM50+BSL!AM50+DSP!AM50+RSP!AM50+ISP!AM50),)</f>
        <v>63.27</v>
      </c>
      <c r="AG50" s="168">
        <f>IFERROR((BSP!AG50*BSP!AM50+BSL!AG50*BSL!AM50+DSP!AG50*DSP!AM50+RSP!AG50*RSP!AM50+ISP!AG50*ISP!AM50)/(BSP!AM50+BSL!AM50+DSP!AM50+RSP!AM50+ISP!AM50),)</f>
        <v>2.57</v>
      </c>
      <c r="AH50" s="168">
        <f>IFERROR((BSP!AH50*BSP!AM50+BSL!AH50*BSL!AM50+DSP!AH50*DSP!AM50+RSP!AH50*RSP!AM50+ISP!AH50*ISP!AM50)/(BSP!AM50+BSL!AM50+DSP!AM50+RSP!AM50+ISP!AM50),)</f>
        <v>2.31</v>
      </c>
      <c r="AI50" s="168">
        <f>IFERROR((BSP!AI50*BSP!AM50+BSL!AI50*BSL!AM50+DSP!AI50*DSP!AM50+RSP!AI50*RSP!AM50+ISP!AI50*ISP!AM50)/(IF(BSP!AJ50&gt;0,BSP!AM50,0)+IF(BSL!AJ50&gt;0,BSL!AM50,0)+IF(DSP!AJ50&gt;0,DSP!AM50,0)+IF(RSP!AJ50&gt;0,RSP!AM50,0)+IF(ISP!AJ50&gt;0,ISP!AM50,0)),)</f>
        <v>4.6800000000000006</v>
      </c>
      <c r="AJ50" s="168">
        <f>IFERROR((BSP!AJ50*BSP!AM50+BSL!AJ50*BSL!AM50+DSP!AJ50*DSP!AM50+RSP!AJ50*RSP!AM50+ISP!AJ50*ISP!AM50)/(IF(BSP!AJ50&gt;0,BSP!AM50,0)+IF(BSL!AJ50&gt;0,BSL!AM50,0)+IF(DSP!AJ50&gt;0,DSP!AM50,0)+IF(RSP!AJ50&gt;0,RSP!AM50,0)+IF(ISP!AJ50&gt;0,ISP!AM50,0)),)</f>
        <v>33.79</v>
      </c>
      <c r="AK50" s="168">
        <f t="shared" si="74"/>
        <v>4.88</v>
      </c>
      <c r="AL50" s="169">
        <f t="shared" si="75"/>
        <v>0.89883268482490275</v>
      </c>
      <c r="AM50" s="170">
        <f>(BSP!AM50+BSL!AM50+DSP!AM50+RSP!AM50+ISP!AM50)</f>
        <v>28141</v>
      </c>
      <c r="AO50" s="172">
        <f t="shared" si="76"/>
        <v>44317</v>
      </c>
      <c r="AP50" s="167">
        <f>IFERROR((BSP!AP50*BSP!AW50+BSL!AP50*BSL!AW50+DSP!AP50*DSP!AW50+RSP!AP50*RSP!AW50+ISP!AP50*ISP!AW50)/(BSP!AW50+BSL!AW50+DSP!AW50+RSP!AW50+ISP!AW50),)</f>
        <v>62.466465187002441</v>
      </c>
      <c r="AQ50" s="168">
        <f>IFERROR((BSP!AQ50*BSP!AW50+BSL!AQ50*BSL!AW50+DSP!AQ50*DSP!AW50+RSP!AQ50*RSP!AW50+ISP!AQ50*ISP!AW50)/(BSP!AW50+BSL!AW50+DSP!AW50+RSP!AW50+ISP!AW50),)</f>
        <v>2.9695113271887332</v>
      </c>
      <c r="AR50" s="168">
        <f>IFERROR((BSP!AR50*BSP!AW50+BSL!AR50*BSL!AW50+DSP!AR50*DSP!AW50+RSP!AR50*RSP!AW50+ISP!AR50*ISP!AW50)/(BSP!AW50+BSL!AW50+DSP!AW50+RSP!AW50+ISP!AW50),)</f>
        <v>2.4740140654982286</v>
      </c>
      <c r="AS50" s="168">
        <f>IFERROR((BSP!AS50*BSP!AW50+BSL!AS50*BSL!AW50+DSP!AS50*DSP!AW50+RSP!AS50*RSP!AW50+ISP!AS50*ISP!AW50)/(BSP!AW50+BSL!AW50+DSP!AW50+RSP!AW50+ISP!AW50),)</f>
        <v>14.340870365543628</v>
      </c>
      <c r="AT50" s="168">
        <f>IFERROR((BSP!AT50*BSP!AW50+BSL!AT50*BSL!AW50+DSP!AT50*DSP!AW50+RSP!AT50*RSP!AW50+ISP!AT50*ISP!AW50)/(BSP!AW50+BSL!AW50+DSP!AW50+RSP!AW50+ISP!AW50),)</f>
        <v>15.48249720213682</v>
      </c>
      <c r="AU50" s="168">
        <f t="shared" si="66"/>
        <v>5.4435253926869613</v>
      </c>
      <c r="AV50" s="169">
        <f t="shared" si="79"/>
        <v>0.83313845037270928</v>
      </c>
      <c r="AW50" s="170">
        <f>(BSP!AW50+BSL!AW50+DSP!AW50+RSP!AW50+ISP!AW50)</f>
        <v>646475.5</v>
      </c>
      <c r="AY50" s="172">
        <f t="shared" si="80"/>
        <v>44317</v>
      </c>
      <c r="AZ50" s="167">
        <f>IFERROR((BSP!AZ50*BSP!BG50+BSL!AZ50*BSL!BG50+DSP!AZ50*DSP!BG50+RSP!AZ50*RSP!BG50+ISP!AZ50*ISP!BG50)/(BSP!BG50+BSL!BG50+DSP!BG50+RSP!BG50+ISP!BG50),)</f>
        <v>61.921351111241975</v>
      </c>
      <c r="BA50" s="168">
        <f>IFERROR((BSP!BA50*BSP!BG50+BSL!BA50*BSL!BG50+DSP!BA50*DSP!BG50+RSP!BA50*RSP!BG50+ISP!BA50*ISP!BG50)/(BSP!BG50+BSL!BG50+DSP!BG50+RSP!BG50+ISP!BG50),)</f>
        <v>3.840221789998862</v>
      </c>
      <c r="BB50" s="168">
        <f>IFERROR((BSP!BB50*BSP!BG50+BSL!BB50*BSL!BG50+DSP!BB50*DSP!BG50+RSP!BB50*RSP!BG50+ISP!BB50*ISP!BG50)/(BSP!BG50+BSL!BG50+DSP!BG50+RSP!BG50+ISP!BG50),)</f>
        <v>2.6605184517639349</v>
      </c>
      <c r="BC50" s="168">
        <f>IFERROR((BSP!BC50*BSP!BG50+BSL!BC50*BSL!BG50+DSP!BC50*DSP!BG50+RSP!BC50*RSP!BG50+ISP!BC50*ISP!BG50)/(BSP!BG50+BSL!BG50+DSP!BG50+RSP!BG50+ISP!BG50),)</f>
        <v>6.0485080610077864</v>
      </c>
      <c r="BD50" s="168">
        <f>IFERROR((BSP!BD50*BSP!BG50+BSL!BD50*BSL!BG50+DSP!BD50*DSP!BG50+RSP!BD50*RSP!BG50+ISP!BD50*ISP!BG50)/(BSP!BG50+BSL!BG50+DSP!BG50+RSP!BG50+ISP!BG50),)</f>
        <v>41.867645936429966</v>
      </c>
      <c r="BE50" s="168">
        <f t="shared" si="67"/>
        <v>6.5007402417627969</v>
      </c>
      <c r="BF50" s="169">
        <f t="shared" si="81"/>
        <v>0.69280333200878053</v>
      </c>
      <c r="BG50" s="170">
        <f>(BSP!BG50+BSL!BG50+DSP!BG50+RSP!BG50+ISP!BG50)</f>
        <v>1134392.8999999999</v>
      </c>
      <c r="CD50" s="104">
        <f t="shared" si="77"/>
        <v>0</v>
      </c>
      <c r="CE50" s="178">
        <f t="shared" si="77"/>
        <v>44317</v>
      </c>
      <c r="CF50" s="179">
        <f t="shared" si="77"/>
        <v>63.36</v>
      </c>
      <c r="CG50" s="180">
        <f t="shared" si="77"/>
        <v>2.5</v>
      </c>
      <c r="CH50" s="180">
        <f t="shared" si="77"/>
        <v>2.2799999999999998</v>
      </c>
      <c r="CI50" s="180">
        <f t="shared" si="77"/>
        <v>8.26</v>
      </c>
      <c r="CJ50" s="180">
        <f t="shared" si="77"/>
        <v>9.52</v>
      </c>
      <c r="CK50" s="180">
        <f t="shared" si="77"/>
        <v>4.7799999999999994</v>
      </c>
      <c r="CL50" s="181">
        <f t="shared" si="77"/>
        <v>0.91199999999999992</v>
      </c>
      <c r="CM50" s="182">
        <f t="shared" si="77"/>
        <v>17229</v>
      </c>
      <c r="CN50" s="111">
        <f t="shared" si="77"/>
        <v>0</v>
      </c>
      <c r="CO50" s="178">
        <f t="shared" si="77"/>
        <v>44317</v>
      </c>
      <c r="CP50" s="179">
        <f t="shared" si="77"/>
        <v>63.27</v>
      </c>
      <c r="CQ50" s="180">
        <f t="shared" si="77"/>
        <v>2.57</v>
      </c>
      <c r="CR50" s="180">
        <f t="shared" si="77"/>
        <v>2.31</v>
      </c>
      <c r="CS50" s="180">
        <f t="shared" si="77"/>
        <v>4.6800000000000006</v>
      </c>
      <c r="CT50" s="180">
        <f t="shared" si="78"/>
        <v>33.79</v>
      </c>
      <c r="CU50" s="180">
        <f t="shared" si="78"/>
        <v>4.88</v>
      </c>
      <c r="CV50" s="181">
        <f t="shared" si="78"/>
        <v>0.89883268482490275</v>
      </c>
      <c r="CW50" s="182">
        <f t="shared" si="78"/>
        <v>28141</v>
      </c>
      <c r="CX50" s="104">
        <f t="shared" si="2"/>
        <v>0</v>
      </c>
      <c r="CY50" s="255">
        <f t="shared" si="2"/>
        <v>44317</v>
      </c>
      <c r="CZ50" s="167">
        <f t="shared" si="2"/>
        <v>62.466465187002441</v>
      </c>
      <c r="DA50" s="168">
        <f t="shared" si="2"/>
        <v>2.9695113271887332</v>
      </c>
      <c r="DB50" s="168">
        <f t="shared" si="2"/>
        <v>2.4740140654982286</v>
      </c>
      <c r="DC50" s="168">
        <f t="shared" si="2"/>
        <v>14.340870365543628</v>
      </c>
      <c r="DD50" s="168">
        <f t="shared" si="2"/>
        <v>15.48249720213682</v>
      </c>
      <c r="DE50" s="168">
        <f t="shared" si="2"/>
        <v>5.4435253926869613</v>
      </c>
      <c r="DF50" s="169">
        <f t="shared" si="2"/>
        <v>0.83313845037270928</v>
      </c>
      <c r="DG50" s="170">
        <f t="shared" si="2"/>
        <v>646475.5</v>
      </c>
      <c r="DH50" s="104">
        <f t="shared" si="65"/>
        <v>0</v>
      </c>
      <c r="DI50" s="255">
        <f t="shared" si="65"/>
        <v>44317</v>
      </c>
      <c r="DJ50" s="167">
        <f t="shared" si="64"/>
        <v>61.921351111241975</v>
      </c>
      <c r="DK50" s="168">
        <f t="shared" si="64"/>
        <v>3.840221789998862</v>
      </c>
      <c r="DL50" s="168">
        <f t="shared" si="64"/>
        <v>2.6605184517639349</v>
      </c>
      <c r="DM50" s="168">
        <f t="shared" si="64"/>
        <v>6.0485080610077864</v>
      </c>
      <c r="DN50" s="168">
        <f t="shared" si="64"/>
        <v>41.867645936429966</v>
      </c>
      <c r="DO50" s="168">
        <f t="shared" si="64"/>
        <v>6.5007402417627969</v>
      </c>
      <c r="DP50" s="169">
        <f t="shared" si="64"/>
        <v>0.69280333200878053</v>
      </c>
      <c r="DQ50" s="170">
        <f t="shared" si="64"/>
        <v>1134392.8999999999</v>
      </c>
    </row>
    <row r="51" spans="1:121" ht="19" customHeight="1" x14ac:dyDescent="0.35">
      <c r="A51" s="166">
        <f>BSP!A51</f>
        <v>44348</v>
      </c>
      <c r="B51" s="167">
        <f>IFERROR((BSP!B51*BSP!I51+BSL!B51*BSL!I51+DSP!B51*DSP!I51+RSP!B51*RSP!I51+ISP!B51*ISP!I51)/(BSP!I51+BSL!I51+DSP!I51+RSP!I51+ISP!I51),)</f>
        <v>62.72</v>
      </c>
      <c r="C51" s="168">
        <f>IFERROR((BSP!C51*BSP!I51+BSL!C51*BSL!I51+DSP!C51*DSP!I51+RSP!C51*RSP!I51+ISP!C51*ISP!I51)/(BSP!I51+BSL!I51+DSP!I51+RSP!I51+ISP!I51),)</f>
        <v>2.94</v>
      </c>
      <c r="D51" s="168">
        <f>IFERROR((BSP!D51*BSP!I51+BSL!D51*BSL!I51+DSP!D51*DSP!I51+RSP!D51*RSP!I51+ISP!D51*ISP!I51)/(BSP!I51+BSL!I51+DSP!I51+RSP!I51+ISP!I51),)</f>
        <v>2.48</v>
      </c>
      <c r="E51" s="168">
        <f>IFERROR((BSP!E51*BSP!I51+BSL!E51*BSL!I51+DSP!E51*DSP!I51+RSP!E51*RSP!I51+ISP!E51*ISP!I51)/(IF(BSP!F51&gt;0,BSP!I51,0)+IF(BSL!F51&gt;0,BSL!I51,0)+IF(DSP!F51&gt;0,DSP!I51,0)+IF(RSP!F51&gt;0,RSP!I51,0)+IF(ISP!F51&gt;0,ISP!I51,0)),)</f>
        <v>6.7</v>
      </c>
      <c r="F51" s="168">
        <f>IFERROR((BSP!F51*BSP!I51+BSL!F51*BSL!I51+DSP!F51*DSP!I51+RSP!F51*RSP!I51+ISP!F51*ISP!I51)/(IF(BSP!F51&gt;0,BSP!I51,0)+IF(BSL!F51&gt;0,BSL!I51,0)+IF(DSP!F51&gt;0,DSP!I51,0)+IF(RSP!F51&gt;0,RSP!I51,0)+IF(ISP!F51&gt;0,ISP!I51,0)),)</f>
        <v>16.2</v>
      </c>
      <c r="G51" s="168">
        <f t="shared" si="68"/>
        <v>5.42</v>
      </c>
      <c r="H51" s="169">
        <f t="shared" si="69"/>
        <v>0.84353741496598644</v>
      </c>
      <c r="I51" s="170">
        <f>(BSP!I51+BSL!I51+DSP!I51+RSP!I51+ISP!I51)</f>
        <v>33330</v>
      </c>
      <c r="J51" s="171"/>
      <c r="K51" s="166">
        <f>BSP!K51</f>
        <v>44348</v>
      </c>
      <c r="L51" s="167">
        <f>IFERROR((BSP!L51*BSP!S51+BSL!L51*BSL!S51+DSP!L51*DSP!S51+RSP!L51*RSP!S51+ISP!L51*ISP!S51)/(BSP!S51+BSL!S51+DSP!S51+RSP!S51+ISP!S51),)</f>
        <v>62.38000000000001</v>
      </c>
      <c r="M51" s="168">
        <f>IFERROR((BSP!M51*BSP!S51+BSL!M51*BSL!S51+DSP!M51*DSP!S51+RSP!M51*RSP!S51+ISP!M51*ISP!S51)/(BSP!S51+BSL!S51+DSP!S51+RSP!S51+ISP!S51),)</f>
        <v>3.06</v>
      </c>
      <c r="N51" s="168">
        <f>IFERROR((BSP!N51*BSP!S51+BSL!N51*BSL!S51+DSP!N51*DSP!S51+RSP!N51*RSP!S51+ISP!N51*ISP!S51)/(BSP!S51+BSL!S51+DSP!S51+RSP!S51+ISP!S51),)</f>
        <v>2.67</v>
      </c>
      <c r="O51" s="168">
        <f>IFERROR((BSP!O51*BSP!S51+BSL!O51*BSL!S51+DSP!O51*DSP!S51+RSP!O51*RSP!S51+ISP!O51*ISP!S51)/(IF(BSP!P51&gt;0,BSP!S51,0)+IF(BSL!P51&gt;0,BSL!S51,0)+IF(DSP!P51&gt;0,DSP!S51,0)+IF(RSP!P51&gt;0,RSP!S51,0)+IF(ISP!P51&gt;0,ISP!S51,0)),)</f>
        <v>4</v>
      </c>
      <c r="P51" s="168">
        <f>IFERROR((BSP!P51*BSP!S51+BSL!P51*BSL!S51+DSP!P51*DSP!S51+RSP!P51*RSP!S51+ISP!P51*ISP!S51)/(IF(BSP!P51&gt;0,BSP!S51,0)+IF(BSL!P51&gt;0,BSL!S51,0)+IF(DSP!P51&gt;0,DSP!S51,0)+IF(RSP!P51&gt;0,RSP!S51,0)+IF(ISP!P51&gt;0,ISP!S51,0)),)</f>
        <v>37.5</v>
      </c>
      <c r="Q51" s="168">
        <f t="shared" si="70"/>
        <v>5.73</v>
      </c>
      <c r="R51" s="169">
        <f t="shared" si="71"/>
        <v>0.87254901960784315</v>
      </c>
      <c r="S51" s="170">
        <f>(BSP!S51+BSL!S51+DSP!S51+RSP!S51+ISP!S51)</f>
        <v>80261</v>
      </c>
      <c r="U51" s="166">
        <f>BSP!U51</f>
        <v>44348</v>
      </c>
      <c r="V51" s="167">
        <f>IFERROR((BSP!V51*BSP!AC51+BSL!V51*BSL!AC51+DSP!V51*DSP!AC51+RSP!V51*RSP!AC51+ISP!V51*ISP!AC51)/(BSP!AC51+BSL!AC51+DSP!AC51+RSP!AC51+ISP!AC51),)</f>
        <v>0</v>
      </c>
      <c r="W51" s="168">
        <f>IFERROR((BSP!W51*BSP!AC51+BSL!W51*BSL!AC51+DSP!W51*DSP!AC51+RSP!W51*RSP!AC51+ISP!W51*ISP!AC51)/(BSP!AC51+BSL!AC51+DSP!AC51+RSP!AC51+ISP!AC51),)</f>
        <v>0</v>
      </c>
      <c r="X51" s="168">
        <f>IFERROR((BSP!X51*BSP!AC51+BSL!X51*BSL!AC51+DSP!X51*DSP!AC51+RSP!X51*RSP!AC51+ISP!X51*ISP!AC51)/(BSP!AC51+BSL!AC51+DSP!AC51+RSP!AC51+ISP!AC51),)</f>
        <v>0</v>
      </c>
      <c r="Y51" s="168">
        <f>IFERROR((BSP!Y51*BSP!AC51+BSL!Y51*BSL!AC51+DSP!Y51*DSP!AC51+RSP!Y51*RSP!AC51+ISP!Y51*ISP!AC51)/(IF(BSP!Z51&gt;0,BSP!AC51,0)+IF(BSL!Z51&gt;0,BSL!AC51,0)+IF(DSP!Z51&gt;0,DSP!AC51,0)+IF(RSP!Z51&gt;0,RSP!AC51,0)+IF(ISP!Z51&gt;0,ISP!AC51,0)),)</f>
        <v>0</v>
      </c>
      <c r="Z51" s="168">
        <f>IFERROR((BSP!Z51*BSP!AC51+BSL!Z51*BSL!AC51+DSP!Z51*DSP!AC51+RSP!Z51*RSP!AC51+ISP!Z51*ISP!AC51)/(IF(BSP!Z51&gt;0,BSP!AC51,0)+IF(BSL!Z51&gt;0,BSL!AC51,0)+IF(DSP!Z51&gt;0,DSP!AC51,0)+IF(RSP!Z51&gt;0,RSP!AC51,0)+IF(ISP!Z51&gt;0,ISP!AC51,0)),)</f>
        <v>0</v>
      </c>
      <c r="AA51" s="168">
        <f t="shared" si="72"/>
        <v>0</v>
      </c>
      <c r="AB51" s="169" t="str">
        <f t="shared" si="73"/>
        <v/>
      </c>
      <c r="AC51" s="170">
        <f>(BSP!AC51+BSL!AC51+DSP!AC51+RSP!AC51+ISP!AC51)</f>
        <v>0</v>
      </c>
      <c r="AD51" s="171"/>
      <c r="AE51" s="166">
        <f>BSP!AE51</f>
        <v>44348</v>
      </c>
      <c r="AF51" s="167">
        <f>IFERROR((BSP!AF51*BSP!AM51+BSL!AF51*BSL!AM51+DSP!AF51*DSP!AM51+RSP!AF51*RSP!AM51+ISP!AF51*ISP!AM51)/(BSP!AM51+BSL!AM51+DSP!AM51+RSP!AM51+ISP!AM51),)</f>
        <v>63.1</v>
      </c>
      <c r="AG51" s="168">
        <f>IFERROR((BSP!AG51*BSP!AM51+BSL!AG51*BSL!AM51+DSP!AG51*DSP!AM51+RSP!AG51*RSP!AM51+ISP!AG51*ISP!AM51)/(BSP!AM51+BSL!AM51+DSP!AM51+RSP!AM51+ISP!AM51),)</f>
        <v>2.67</v>
      </c>
      <c r="AH51" s="168">
        <f>IFERROR((BSP!AH51*BSP!AM51+BSL!AH51*BSL!AM51+DSP!AH51*DSP!AM51+RSP!AH51*RSP!AM51+ISP!AH51*ISP!AM51)/(BSP!AM51+BSL!AM51+DSP!AM51+RSP!AM51+ISP!AM51),)</f>
        <v>2.5099999999999998</v>
      </c>
      <c r="AI51" s="168">
        <f>IFERROR((BSP!AI51*BSP!AM51+BSL!AI51*BSL!AM51+DSP!AI51*DSP!AM51+RSP!AI51*RSP!AM51+ISP!AI51*ISP!AM51)/(IF(BSP!AJ51&gt;0,BSP!AM51,0)+IF(BSL!AJ51&gt;0,BSL!AM51,0)+IF(DSP!AJ51&gt;0,DSP!AM51,0)+IF(RSP!AJ51&gt;0,RSP!AM51,0)+IF(ISP!AJ51&gt;0,ISP!AM51,0)),)</f>
        <v>5</v>
      </c>
      <c r="AJ51" s="168">
        <f>IFERROR((BSP!AJ51*BSP!AM51+BSL!AJ51*BSL!AM51+DSP!AJ51*DSP!AM51+RSP!AJ51*RSP!AM51+ISP!AJ51*ISP!AM51)/(IF(BSP!AJ51&gt;0,BSP!AM51,0)+IF(BSL!AJ51&gt;0,BSL!AM51,0)+IF(DSP!AJ51&gt;0,DSP!AM51,0)+IF(RSP!AJ51&gt;0,RSP!AM51,0)+IF(ISP!AJ51&gt;0,ISP!AM51,0)),)</f>
        <v>35.6</v>
      </c>
      <c r="AK51" s="168">
        <f t="shared" si="74"/>
        <v>5.18</v>
      </c>
      <c r="AL51" s="169">
        <f t="shared" si="75"/>
        <v>0.94007490636704116</v>
      </c>
      <c r="AM51" s="170">
        <f>(BSP!AM51+BSL!AM51+DSP!AM51+RSP!AM51+ISP!AM51)</f>
        <v>3572</v>
      </c>
      <c r="AO51" s="172">
        <f t="shared" si="76"/>
        <v>44348</v>
      </c>
      <c r="AP51" s="167">
        <f>IFERROR((BSP!AP51*BSP!AW51+BSL!AP51*BSL!AW51+DSP!AP51*DSP!AW51+RSP!AP51*RSP!AW51+ISP!AP51*ISP!AW51)/(BSP!AW51+BSL!AW51+DSP!AW51+RSP!AW51+ISP!AW51),)</f>
        <v>61.708812360533294</v>
      </c>
      <c r="AQ51" s="168">
        <f>IFERROR((BSP!AQ51*BSP!AW51+BSL!AQ51*BSL!AW51+DSP!AQ51*DSP!AW51+RSP!AQ51*RSP!AW51+ISP!AQ51*ISP!AW51)/(BSP!AW51+BSL!AW51+DSP!AW51+RSP!AW51+ISP!AW51),)</f>
        <v>4.3942591031053064</v>
      </c>
      <c r="AR51" s="168">
        <f>IFERROR((BSP!AR51*BSP!AW51+BSL!AR51*BSL!AW51+DSP!AR51*DSP!AW51+RSP!AR51*RSP!AW51+ISP!AR51*ISP!AW51)/(BSP!AW51+BSL!AW51+DSP!AW51+RSP!AW51+ISP!AW51),)</f>
        <v>2.3420334693955858</v>
      </c>
      <c r="AS51" s="168">
        <f>IFERROR((BSP!AS51*BSP!AW51+BSL!AS51*BSL!AW51+DSP!AS51*DSP!AW51+RSP!AS51*RSP!AW51+ISP!AS51*ISP!AW51)/(BSP!AW51+BSL!AW51+DSP!AW51+RSP!AW51+ISP!AW51),)</f>
        <v>15.246450257634642</v>
      </c>
      <c r="AT51" s="168">
        <f>IFERROR((BSP!AT51*BSP!AW51+BSL!AT51*BSL!AW51+DSP!AT51*DSP!AW51+RSP!AT51*RSP!AW51+ISP!AT51*ISP!AW51)/(BSP!AW51+BSL!AW51+DSP!AW51+RSP!AW51+ISP!AW51),)</f>
        <v>18.443942660268458</v>
      </c>
      <c r="AU51" s="168">
        <f t="shared" si="66"/>
        <v>6.7362925725008918</v>
      </c>
      <c r="AV51" s="169">
        <f t="shared" si="79"/>
        <v>0.53297573366589435</v>
      </c>
      <c r="AW51" s="170">
        <f>(BSP!AW51+BSL!AW51+DSP!AW51+RSP!AW51+ISP!AW51)</f>
        <v>573389.5</v>
      </c>
      <c r="AY51" s="172">
        <f t="shared" si="80"/>
        <v>44348</v>
      </c>
      <c r="AZ51" s="167">
        <f>IFERROR((BSP!AZ51*BSP!BG51+BSL!AZ51*BSL!BG51+DSP!AZ51*DSP!BG51+RSP!AZ51*RSP!BG51+ISP!AZ51*ISP!BG51)/(BSP!BG51+BSL!BG51+DSP!BG51+RSP!BG51+ISP!BG51),)</f>
        <v>61.263964256412571</v>
      </c>
      <c r="BA51" s="168">
        <f>IFERROR((BSP!BA51*BSP!BG51+BSL!BA51*BSL!BG51+DSP!BA51*DSP!BG51+RSP!BA51*RSP!BG51+ISP!BA51*ISP!BG51)/(BSP!BG51+BSL!BG51+DSP!BG51+RSP!BG51+ISP!BG51),)</f>
        <v>5.1090625546915218</v>
      </c>
      <c r="BB51" s="168">
        <f>IFERROR((BSP!BB51*BSP!BG51+BSL!BB51*BSL!BG51+DSP!BB51*DSP!BG51+RSP!BB51*RSP!BG51+ISP!BB51*ISP!BG51)/(BSP!BG51+BSL!BG51+DSP!BG51+RSP!BG51+ISP!BG51),)</f>
        <v>2.5702685077491396</v>
      </c>
      <c r="BC51" s="168">
        <f>IFERROR((BSP!BC51*BSP!BG51+BSL!BC51*BSL!BG51+DSP!BC51*DSP!BG51+RSP!BC51*RSP!BG51+ISP!BC51*ISP!BG51)/(BSP!BG51+BSL!BG51+DSP!BG51+RSP!BG51+ISP!BG51),)</f>
        <v>6.6057188153040398</v>
      </c>
      <c r="BD51" s="168">
        <f>IFERROR((BSP!BD51*BSP!BG51+BSL!BD51*BSL!BG51+DSP!BD51*DSP!BG51+RSP!BD51*RSP!BG51+ISP!BD51*ISP!BG51)/(BSP!BG51+BSL!BG51+DSP!BG51+RSP!BG51+ISP!BG51),)</f>
        <v>41.425790909165549</v>
      </c>
      <c r="BE51" s="168">
        <f t="shared" si="67"/>
        <v>7.6793310624406619</v>
      </c>
      <c r="BF51" s="169">
        <f t="shared" si="81"/>
        <v>0.50308025792107935</v>
      </c>
      <c r="BG51" s="170">
        <f>(BSP!BG51+BSL!BG51+DSP!BG51+RSP!BG51+ISP!BG51)</f>
        <v>1083920.3</v>
      </c>
      <c r="CD51" s="104">
        <f t="shared" si="77"/>
        <v>0</v>
      </c>
      <c r="CE51" s="178">
        <f t="shared" si="77"/>
        <v>44348</v>
      </c>
      <c r="CF51" s="179">
        <f t="shared" si="77"/>
        <v>0</v>
      </c>
      <c r="CG51" s="180">
        <f t="shared" si="77"/>
        <v>0</v>
      </c>
      <c r="CH51" s="180">
        <f t="shared" si="77"/>
        <v>0</v>
      </c>
      <c r="CI51" s="180">
        <f t="shared" si="77"/>
        <v>0</v>
      </c>
      <c r="CJ51" s="180">
        <f t="shared" si="77"/>
        <v>0</v>
      </c>
      <c r="CK51" s="180">
        <f t="shared" si="77"/>
        <v>0</v>
      </c>
      <c r="CL51" s="181" t="str">
        <f t="shared" si="77"/>
        <v/>
      </c>
      <c r="CM51" s="182">
        <f t="shared" si="77"/>
        <v>0</v>
      </c>
      <c r="CN51" s="111">
        <f t="shared" si="77"/>
        <v>0</v>
      </c>
      <c r="CO51" s="178">
        <f t="shared" si="77"/>
        <v>44348</v>
      </c>
      <c r="CP51" s="179">
        <f t="shared" si="77"/>
        <v>63.1</v>
      </c>
      <c r="CQ51" s="180">
        <f t="shared" si="77"/>
        <v>2.67</v>
      </c>
      <c r="CR51" s="180">
        <f t="shared" si="77"/>
        <v>2.5099999999999998</v>
      </c>
      <c r="CS51" s="180">
        <f t="shared" si="77"/>
        <v>5</v>
      </c>
      <c r="CT51" s="180">
        <f t="shared" si="78"/>
        <v>35.6</v>
      </c>
      <c r="CU51" s="180">
        <f t="shared" si="78"/>
        <v>5.18</v>
      </c>
      <c r="CV51" s="181">
        <f t="shared" si="78"/>
        <v>0.94007490636704116</v>
      </c>
      <c r="CW51" s="182">
        <f t="shared" si="78"/>
        <v>3572</v>
      </c>
      <c r="CX51" s="104">
        <f t="shared" si="2"/>
        <v>0</v>
      </c>
      <c r="CY51" s="255">
        <f t="shared" si="2"/>
        <v>44348</v>
      </c>
      <c r="CZ51" s="167">
        <f t="shared" si="2"/>
        <v>61.708812360533294</v>
      </c>
      <c r="DA51" s="168">
        <f t="shared" si="2"/>
        <v>4.3942591031053064</v>
      </c>
      <c r="DB51" s="168">
        <f t="shared" si="2"/>
        <v>2.3420334693955858</v>
      </c>
      <c r="DC51" s="168">
        <f t="shared" si="2"/>
        <v>15.246450257634642</v>
      </c>
      <c r="DD51" s="168">
        <f t="shared" si="2"/>
        <v>18.443942660268458</v>
      </c>
      <c r="DE51" s="168">
        <f t="shared" si="2"/>
        <v>6.7362925725008918</v>
      </c>
      <c r="DF51" s="169">
        <f t="shared" si="2"/>
        <v>0.53297573366589435</v>
      </c>
      <c r="DG51" s="170">
        <f t="shared" si="2"/>
        <v>573389.5</v>
      </c>
      <c r="DH51" s="104">
        <f t="shared" si="65"/>
        <v>0</v>
      </c>
      <c r="DI51" s="255">
        <f t="shared" si="65"/>
        <v>44348</v>
      </c>
      <c r="DJ51" s="167">
        <f t="shared" si="64"/>
        <v>61.263964256412571</v>
      </c>
      <c r="DK51" s="168">
        <f t="shared" si="64"/>
        <v>5.1090625546915218</v>
      </c>
      <c r="DL51" s="168">
        <f t="shared" si="64"/>
        <v>2.5702685077491396</v>
      </c>
      <c r="DM51" s="168">
        <f t="shared" si="64"/>
        <v>6.6057188153040398</v>
      </c>
      <c r="DN51" s="168">
        <f t="shared" si="64"/>
        <v>41.425790909165549</v>
      </c>
      <c r="DO51" s="168">
        <f t="shared" si="64"/>
        <v>7.6793310624406619</v>
      </c>
      <c r="DP51" s="169">
        <f t="shared" si="64"/>
        <v>0.50308025792107935</v>
      </c>
      <c r="DQ51" s="170">
        <f t="shared" si="64"/>
        <v>1083920.3</v>
      </c>
    </row>
    <row r="52" spans="1:121" ht="19" customHeight="1" x14ac:dyDescent="0.35">
      <c r="A52" s="166">
        <f>BSP!A52</f>
        <v>44378</v>
      </c>
      <c r="B52" s="167">
        <f>IFERROR((BSP!B52*BSP!I52+BSL!B52*BSL!I52+DSP!B52*DSP!I52+RSP!B52*RSP!I52+ISP!B52*ISP!I52)/(BSP!I52+BSL!I52+DSP!I52+RSP!I52+ISP!I52),)</f>
        <v>62.76</v>
      </c>
      <c r="C52" s="168">
        <f>IFERROR((BSP!C52*BSP!I52+BSL!C52*BSL!I52+DSP!C52*DSP!I52+RSP!C52*RSP!I52+ISP!C52*ISP!I52)/(BSP!I52+BSL!I52+DSP!I52+RSP!I52+ISP!I52),)</f>
        <v>2.66</v>
      </c>
      <c r="D52" s="168">
        <f>IFERROR((BSP!D52*BSP!I52+BSL!D52*BSL!I52+DSP!D52*DSP!I52+RSP!D52*RSP!I52+ISP!D52*ISP!I52)/(BSP!I52+BSL!I52+DSP!I52+RSP!I52+ISP!I52),)</f>
        <v>2.67</v>
      </c>
      <c r="E52" s="168">
        <f>IFERROR((BSP!E52*BSP!I52+BSL!E52*BSL!I52+DSP!E52*DSP!I52+RSP!E52*RSP!I52+ISP!E52*ISP!I52)/(IF(BSP!F52&gt;0,BSP!I52,0)+IF(BSL!F52&gt;0,BSL!I52,0)+IF(DSP!F52&gt;0,DSP!I52,0)+IF(RSP!F52&gt;0,RSP!I52,0)+IF(ISP!F52&gt;0,ISP!I52,0)),)</f>
        <v>9.6</v>
      </c>
      <c r="F52" s="168">
        <f>IFERROR((BSP!F52*BSP!I52+BSL!F52*BSL!I52+DSP!F52*DSP!I52+RSP!F52*RSP!I52+ISP!F52*ISP!I52)/(IF(BSP!F52&gt;0,BSP!I52,0)+IF(BSL!F52&gt;0,BSL!I52,0)+IF(DSP!F52&gt;0,DSP!I52,0)+IF(RSP!F52&gt;0,RSP!I52,0)+IF(ISP!F52&gt;0,ISP!I52,0)),)</f>
        <v>16.899999999999999</v>
      </c>
      <c r="G52" s="168">
        <f t="shared" si="68"/>
        <v>5.33</v>
      </c>
      <c r="H52" s="169">
        <f t="shared" si="69"/>
        <v>1.0037593984962405</v>
      </c>
      <c r="I52" s="170">
        <f>(BSP!I52+BSL!I52+DSP!I52+RSP!I52+ISP!I52)</f>
        <v>56042</v>
      </c>
      <c r="J52" s="171"/>
      <c r="K52" s="166">
        <f>BSP!K52</f>
        <v>44378</v>
      </c>
      <c r="L52" s="167">
        <f>IFERROR((BSP!L52*BSP!S52+BSL!L52*BSL!S52+DSP!L52*DSP!S52+RSP!L52*RSP!S52+ISP!L52*ISP!S52)/(BSP!S52+BSL!S52+DSP!S52+RSP!S52+ISP!S52),)</f>
        <v>62.269999999999996</v>
      </c>
      <c r="M52" s="168">
        <f>IFERROR((BSP!M52*BSP!S52+BSL!M52*BSL!S52+DSP!M52*DSP!S52+RSP!M52*RSP!S52+ISP!M52*ISP!S52)/(BSP!S52+BSL!S52+DSP!S52+RSP!S52+ISP!S52),)</f>
        <v>3</v>
      </c>
      <c r="N52" s="168">
        <f>IFERROR((BSP!N52*BSP!S52+BSL!N52*BSL!S52+DSP!N52*DSP!S52+RSP!N52*RSP!S52+ISP!N52*ISP!S52)/(BSP!S52+BSL!S52+DSP!S52+RSP!S52+ISP!S52),)</f>
        <v>2.82</v>
      </c>
      <c r="O52" s="168">
        <f>IFERROR((BSP!O52*BSP!S52+BSL!O52*BSL!S52+DSP!O52*DSP!S52+RSP!O52*RSP!S52+ISP!O52*ISP!S52)/(IF(BSP!P52&gt;0,BSP!S52,0)+IF(BSL!P52&gt;0,BSL!S52,0)+IF(DSP!P52&gt;0,DSP!S52,0)+IF(RSP!P52&gt;0,RSP!S52,0)+IF(ISP!P52&gt;0,ISP!S52,0)),)</f>
        <v>0</v>
      </c>
      <c r="P52" s="168">
        <f>IFERROR((BSP!P52*BSP!S52+BSL!P52*BSL!S52+DSP!P52*DSP!S52+RSP!P52*RSP!S52+ISP!P52*ISP!S52)/(IF(BSP!P52&gt;0,BSP!S52,0)+IF(BSL!P52&gt;0,BSL!S52,0)+IF(DSP!P52&gt;0,DSP!S52,0)+IF(RSP!P52&gt;0,RSP!S52,0)+IF(ISP!P52&gt;0,ISP!S52,0)),)</f>
        <v>0</v>
      </c>
      <c r="Q52" s="168">
        <f t="shared" si="70"/>
        <v>5.82</v>
      </c>
      <c r="R52" s="169">
        <f t="shared" si="71"/>
        <v>0.94</v>
      </c>
      <c r="S52" s="170">
        <f>(BSP!S52+BSL!S52+DSP!S52+RSP!S52+ISP!S52)</f>
        <v>90871</v>
      </c>
      <c r="U52" s="166">
        <f>BSP!U52</f>
        <v>44378</v>
      </c>
      <c r="V52" s="167">
        <f>IFERROR((BSP!V52*BSP!AC52+BSL!V52*BSL!AC52+DSP!V52*DSP!AC52+RSP!V52*RSP!AC52+ISP!V52*ISP!AC52)/(BSP!AC52+BSL!AC52+DSP!AC52+RSP!AC52+ISP!AC52),)</f>
        <v>0</v>
      </c>
      <c r="W52" s="168">
        <f>IFERROR((BSP!W52*BSP!AC52+BSL!W52*BSL!AC52+DSP!W52*DSP!AC52+RSP!W52*RSP!AC52+ISP!W52*ISP!AC52)/(BSP!AC52+BSL!AC52+DSP!AC52+RSP!AC52+ISP!AC52),)</f>
        <v>0</v>
      </c>
      <c r="X52" s="168">
        <f>IFERROR((BSP!X52*BSP!AC52+BSL!X52*BSL!AC52+DSP!X52*DSP!AC52+RSP!X52*RSP!AC52+ISP!X52*ISP!AC52)/(BSP!AC52+BSL!AC52+DSP!AC52+RSP!AC52+ISP!AC52),)</f>
        <v>0</v>
      </c>
      <c r="Y52" s="168">
        <f>IFERROR((BSP!Y52*BSP!AC52+BSL!Y52*BSL!AC52+DSP!Y52*DSP!AC52+RSP!Y52*RSP!AC52+ISP!Y52*ISP!AC52)/(IF(BSP!Z52&gt;0,BSP!AC52,0)+IF(BSL!Z52&gt;0,BSL!AC52,0)+IF(DSP!Z52&gt;0,DSP!AC52,0)+IF(RSP!Z52&gt;0,RSP!AC52,0)+IF(ISP!Z52&gt;0,ISP!AC52,0)),)</f>
        <v>0</v>
      </c>
      <c r="Z52" s="168">
        <f>IFERROR((BSP!Z52*BSP!AC52+BSL!Z52*BSL!AC52+DSP!Z52*DSP!AC52+RSP!Z52*RSP!AC52+ISP!Z52*ISP!AC52)/(IF(BSP!Z52&gt;0,BSP!AC52,0)+IF(BSL!Z52&gt;0,BSL!AC52,0)+IF(DSP!Z52&gt;0,DSP!AC52,0)+IF(RSP!Z52&gt;0,RSP!AC52,0)+IF(ISP!Z52&gt;0,ISP!AC52,0)),)</f>
        <v>0</v>
      </c>
      <c r="AA52" s="168">
        <f t="shared" si="72"/>
        <v>0</v>
      </c>
      <c r="AB52" s="169" t="str">
        <f t="shared" si="73"/>
        <v/>
      </c>
      <c r="AC52" s="170">
        <f>(BSP!AC52+BSL!AC52+DSP!AC52+RSP!AC52+ISP!AC52)</f>
        <v>0</v>
      </c>
      <c r="AD52" s="171"/>
      <c r="AE52" s="166">
        <f>BSP!AE52</f>
        <v>44378</v>
      </c>
      <c r="AF52" s="167">
        <f>IFERROR((BSP!AF52*BSP!AM52+BSL!AF52*BSL!AM52+DSP!AF52*DSP!AM52+RSP!AF52*RSP!AM52+ISP!AF52*ISP!AM52)/(BSP!AM52+BSL!AM52+DSP!AM52+RSP!AM52+ISP!AM52),)</f>
        <v>0</v>
      </c>
      <c r="AG52" s="168">
        <f>IFERROR((BSP!AG52*BSP!AM52+BSL!AG52*BSL!AM52+DSP!AG52*DSP!AM52+RSP!AG52*RSP!AM52+ISP!AG52*ISP!AM52)/(BSP!AM52+BSL!AM52+DSP!AM52+RSP!AM52+ISP!AM52),)</f>
        <v>0</v>
      </c>
      <c r="AH52" s="168">
        <f>IFERROR((BSP!AH52*BSP!AM52+BSL!AH52*BSL!AM52+DSP!AH52*DSP!AM52+RSP!AH52*RSP!AM52+ISP!AH52*ISP!AM52)/(BSP!AM52+BSL!AM52+DSP!AM52+RSP!AM52+ISP!AM52),)</f>
        <v>0</v>
      </c>
      <c r="AI52" s="168">
        <f>IFERROR((BSP!AI52*BSP!AM52+BSL!AI52*BSL!AM52+DSP!AI52*DSP!AM52+RSP!AI52*RSP!AM52+ISP!AI52*ISP!AM52)/(IF(BSP!AJ52&gt;0,BSP!AM52,0)+IF(BSL!AJ52&gt;0,BSL!AM52,0)+IF(DSP!AJ52&gt;0,DSP!AM52,0)+IF(RSP!AJ52&gt;0,RSP!AM52,0)+IF(ISP!AJ52&gt;0,ISP!AM52,0)),)</f>
        <v>0</v>
      </c>
      <c r="AJ52" s="168">
        <f>IFERROR((BSP!AJ52*BSP!AM52+BSL!AJ52*BSL!AM52+DSP!AJ52*DSP!AM52+RSP!AJ52*RSP!AM52+ISP!AJ52*ISP!AM52)/(IF(BSP!AJ52&gt;0,BSP!AM52,0)+IF(BSL!AJ52&gt;0,BSL!AM52,0)+IF(DSP!AJ52&gt;0,DSP!AM52,0)+IF(RSP!AJ52&gt;0,RSP!AM52,0)+IF(ISP!AJ52&gt;0,ISP!AM52,0)),)</f>
        <v>0</v>
      </c>
      <c r="AK52" s="168">
        <f t="shared" si="74"/>
        <v>0</v>
      </c>
      <c r="AL52" s="169" t="str">
        <f t="shared" si="75"/>
        <v/>
      </c>
      <c r="AM52" s="170">
        <f>(BSP!AM52+BSL!AM52+DSP!AM52+RSP!AM52+ISP!AM52)</f>
        <v>0</v>
      </c>
      <c r="AO52" s="172">
        <f t="shared" si="76"/>
        <v>44378</v>
      </c>
      <c r="AP52" s="167">
        <f>IFERROR((BSP!AP52*BSP!AW52+BSL!AP52*BSL!AW52+DSP!AP52*DSP!AW52+RSP!AP52*RSP!AW52+ISP!AP52*ISP!AW52)/(BSP!AW52+BSL!AW52+DSP!AW52+RSP!AW52+ISP!AW52),)</f>
        <v>62.189756657601627</v>
      </c>
      <c r="AQ52" s="168">
        <f>IFERROR((BSP!AQ52*BSP!AW52+BSL!AQ52*BSL!AW52+DSP!AQ52*DSP!AW52+RSP!AQ52*RSP!AW52+ISP!AQ52*ISP!AW52)/(BSP!AW52+BSL!AW52+DSP!AW52+RSP!AW52+ISP!AW52),)</f>
        <v>3.6371226989114818</v>
      </c>
      <c r="AR52" s="168">
        <f>IFERROR((BSP!AR52*BSP!AW52+BSL!AR52*BSL!AW52+DSP!AR52*DSP!AW52+RSP!AR52*RSP!AW52+ISP!AR52*ISP!AW52)/(BSP!AW52+BSL!AW52+DSP!AW52+RSP!AW52+ISP!AW52),)</f>
        <v>2.3740678934910586</v>
      </c>
      <c r="AS52" s="168">
        <f>IFERROR((BSP!AS52*BSP!AW52+BSL!AS52*BSL!AW52+DSP!AS52*DSP!AW52+RSP!AS52*RSP!AW52+ISP!AS52*ISP!AW52)/(BSP!AW52+BSL!AW52+DSP!AW52+RSP!AW52+ISP!AW52),)</f>
        <v>10.495921430351418</v>
      </c>
      <c r="AT52" s="168">
        <f>IFERROR((BSP!AT52*BSP!AW52+BSL!AT52*BSL!AW52+DSP!AT52*DSP!AW52+RSP!AT52*RSP!AW52+ISP!AT52*ISP!AW52)/(BSP!AW52+BSL!AW52+DSP!AW52+RSP!AW52+ISP!AW52),)</f>
        <v>19.338224555003752</v>
      </c>
      <c r="AU52" s="168">
        <f t="shared" si="66"/>
        <v>6.0111905924025404</v>
      </c>
      <c r="AV52" s="169">
        <f t="shared" si="79"/>
        <v>0.65273241790868641</v>
      </c>
      <c r="AW52" s="170">
        <f>(BSP!AW52+BSL!AW52+DSP!AW52+RSP!AW52+ISP!AW52)</f>
        <v>756826.6</v>
      </c>
      <c r="AY52" s="172">
        <f t="shared" si="80"/>
        <v>44378</v>
      </c>
      <c r="AZ52" s="167">
        <f>IFERROR((BSP!AZ52*BSP!BG52+BSL!AZ52*BSL!BG52+DSP!AZ52*DSP!BG52+RSP!AZ52*RSP!BG52+ISP!AZ52*ISP!BG52)/(BSP!BG52+BSL!BG52+DSP!BG52+RSP!BG52+ISP!BG52),)</f>
        <v>61.739520448042533</v>
      </c>
      <c r="BA52" s="168">
        <f>IFERROR((BSP!BA52*BSP!BG52+BSL!BA52*BSL!BG52+DSP!BA52*DSP!BG52+RSP!BA52*RSP!BG52+ISP!BA52*ISP!BG52)/(BSP!BG52+BSL!BG52+DSP!BG52+RSP!BG52+ISP!BG52),)</f>
        <v>4.500191821705215</v>
      </c>
      <c r="BB52" s="168">
        <f>IFERROR((BSP!BB52*BSP!BG52+BSL!BB52*BSL!BG52+DSP!BB52*DSP!BG52+RSP!BB52*RSP!BG52+ISP!BB52*ISP!BG52)/(BSP!BG52+BSL!BG52+DSP!BG52+RSP!BG52+ISP!BG52),)</f>
        <v>2.5033469520662464</v>
      </c>
      <c r="BC52" s="168">
        <f>IFERROR((BSP!BC52*BSP!BG52+BSL!BC52*BSL!BG52+DSP!BC52*DSP!BG52+RSP!BC52*RSP!BG52+ISP!BC52*ISP!BG52)/(BSP!BG52+BSL!BG52+DSP!BG52+RSP!BG52+ISP!BG52),)</f>
        <v>5.8384303571347616</v>
      </c>
      <c r="BD52" s="168">
        <f>IFERROR((BSP!BD52*BSP!BG52+BSL!BD52*BSL!BG52+DSP!BD52*DSP!BG52+RSP!BD52*RSP!BG52+ISP!BD52*ISP!BG52)/(BSP!BG52+BSL!BG52+DSP!BG52+RSP!BG52+ISP!BG52),)</f>
        <v>35.508927888678585</v>
      </c>
      <c r="BE52" s="168">
        <f t="shared" si="67"/>
        <v>7.0035387737714618</v>
      </c>
      <c r="BF52" s="169">
        <f t="shared" si="81"/>
        <v>0.55627561029558004</v>
      </c>
      <c r="BG52" s="170">
        <f>(BSP!BG52+BSL!BG52+DSP!BG52+RSP!BG52+ISP!BG52)</f>
        <v>1301197.8999999999</v>
      </c>
      <c r="CD52" s="104">
        <f t="shared" si="77"/>
        <v>0</v>
      </c>
      <c r="CE52" s="178">
        <f t="shared" si="77"/>
        <v>44378</v>
      </c>
      <c r="CF52" s="179">
        <f t="shared" si="77"/>
        <v>0</v>
      </c>
      <c r="CG52" s="180">
        <f t="shared" si="77"/>
        <v>0</v>
      </c>
      <c r="CH52" s="180">
        <f t="shared" si="77"/>
        <v>0</v>
      </c>
      <c r="CI52" s="180">
        <f t="shared" si="77"/>
        <v>0</v>
      </c>
      <c r="CJ52" s="180">
        <f t="shared" si="77"/>
        <v>0</v>
      </c>
      <c r="CK52" s="180">
        <f t="shared" si="77"/>
        <v>0</v>
      </c>
      <c r="CL52" s="181" t="str">
        <f t="shared" si="77"/>
        <v/>
      </c>
      <c r="CM52" s="182">
        <f t="shared" si="77"/>
        <v>0</v>
      </c>
      <c r="CN52" s="111">
        <f t="shared" si="77"/>
        <v>0</v>
      </c>
      <c r="CO52" s="178">
        <f t="shared" si="77"/>
        <v>44378</v>
      </c>
      <c r="CP52" s="179">
        <f t="shared" si="77"/>
        <v>0</v>
      </c>
      <c r="CQ52" s="180">
        <f t="shared" si="77"/>
        <v>0</v>
      </c>
      <c r="CR52" s="180">
        <f t="shared" si="77"/>
        <v>0</v>
      </c>
      <c r="CS52" s="180">
        <f t="shared" si="77"/>
        <v>0</v>
      </c>
      <c r="CT52" s="180">
        <f t="shared" si="78"/>
        <v>0</v>
      </c>
      <c r="CU52" s="180">
        <f t="shared" si="78"/>
        <v>0</v>
      </c>
      <c r="CV52" s="181" t="str">
        <f t="shared" si="78"/>
        <v/>
      </c>
      <c r="CW52" s="182">
        <f t="shared" si="78"/>
        <v>0</v>
      </c>
      <c r="CX52" s="104">
        <f t="shared" si="2"/>
        <v>0</v>
      </c>
      <c r="CY52" s="255">
        <f t="shared" si="2"/>
        <v>44378</v>
      </c>
      <c r="CZ52" s="167">
        <f t="shared" si="2"/>
        <v>62.189756657601627</v>
      </c>
      <c r="DA52" s="168">
        <f t="shared" si="2"/>
        <v>3.6371226989114818</v>
      </c>
      <c r="DB52" s="168">
        <f t="shared" si="2"/>
        <v>2.3740678934910586</v>
      </c>
      <c r="DC52" s="168">
        <f t="shared" si="2"/>
        <v>10.495921430351418</v>
      </c>
      <c r="DD52" s="168">
        <f t="shared" si="2"/>
        <v>19.338224555003752</v>
      </c>
      <c r="DE52" s="168">
        <f t="shared" si="2"/>
        <v>6.0111905924025404</v>
      </c>
      <c r="DF52" s="169">
        <f t="shared" si="2"/>
        <v>0.65273241790868641</v>
      </c>
      <c r="DG52" s="170">
        <f t="shared" si="2"/>
        <v>756826.6</v>
      </c>
      <c r="DH52" s="104">
        <f t="shared" si="65"/>
        <v>0</v>
      </c>
      <c r="DI52" s="255">
        <f t="shared" si="65"/>
        <v>44378</v>
      </c>
      <c r="DJ52" s="167">
        <f t="shared" si="64"/>
        <v>61.739520448042533</v>
      </c>
      <c r="DK52" s="168">
        <f t="shared" si="64"/>
        <v>4.500191821705215</v>
      </c>
      <c r="DL52" s="168">
        <f t="shared" si="64"/>
        <v>2.5033469520662464</v>
      </c>
      <c r="DM52" s="168">
        <f t="shared" si="64"/>
        <v>5.8384303571347616</v>
      </c>
      <c r="DN52" s="168">
        <f t="shared" si="64"/>
        <v>35.508927888678585</v>
      </c>
      <c r="DO52" s="168">
        <f t="shared" si="64"/>
        <v>7.0035387737714618</v>
      </c>
      <c r="DP52" s="169">
        <f t="shared" si="64"/>
        <v>0.55627561029558004</v>
      </c>
      <c r="DQ52" s="170">
        <f t="shared" si="64"/>
        <v>1301197.8999999999</v>
      </c>
    </row>
    <row r="53" spans="1:121" ht="19" customHeight="1" x14ac:dyDescent="0.35">
      <c r="A53" s="166">
        <f>BSP!A53</f>
        <v>44409</v>
      </c>
      <c r="B53" s="167">
        <f>IFERROR((BSP!B53*BSP!I53+BSL!B53*BSL!I53+DSP!B53*DSP!I53+RSP!B53*RSP!I53+ISP!B53*ISP!I53)/(BSP!I53+BSL!I53+DSP!I53+RSP!I53+ISP!I53),)</f>
        <v>62.53</v>
      </c>
      <c r="C53" s="168">
        <f>IFERROR((BSP!C53*BSP!I53+BSL!C53*BSL!I53+DSP!C53*DSP!I53+RSP!C53*RSP!I53+ISP!C53*ISP!I53)/(BSP!I53+BSL!I53+DSP!I53+RSP!I53+ISP!I53),)</f>
        <v>2.99</v>
      </c>
      <c r="D53" s="168">
        <f>IFERROR((BSP!D53*BSP!I53+BSL!D53*BSL!I53+DSP!D53*DSP!I53+RSP!D53*RSP!I53+ISP!D53*ISP!I53)/(BSP!I53+BSL!I53+DSP!I53+RSP!I53+ISP!I53),)</f>
        <v>2.79</v>
      </c>
      <c r="E53" s="168">
        <f>IFERROR((BSP!E53*BSP!I53+BSL!E53*BSL!I53+DSP!E53*DSP!I53+RSP!E53*RSP!I53+ISP!E53*ISP!I53)/(IF(BSP!F53&gt;0,BSP!I53,0)+IF(BSL!F53&gt;0,BSL!I53,0)+IF(DSP!F53&gt;0,DSP!I53,0)+IF(RSP!F53&gt;0,RSP!I53,0)+IF(ISP!F53&gt;0,ISP!I53,0)),)</f>
        <v>7.5</v>
      </c>
      <c r="F53" s="168">
        <f>IFERROR((BSP!F53*BSP!I53+BSL!F53*BSL!I53+DSP!F53*DSP!I53+RSP!F53*RSP!I53+ISP!F53*ISP!I53)/(IF(BSP!F53&gt;0,BSP!I53,0)+IF(BSL!F53&gt;0,BSL!I53,0)+IF(DSP!F53&gt;0,DSP!I53,0)+IF(RSP!F53&gt;0,RSP!I53,0)+IF(ISP!F53&gt;0,ISP!I53,0)),)</f>
        <v>16.3</v>
      </c>
      <c r="G53" s="168">
        <f t="shared" si="68"/>
        <v>5.78</v>
      </c>
      <c r="H53" s="169">
        <f t="shared" si="69"/>
        <v>0.93311036789297652</v>
      </c>
      <c r="I53" s="170">
        <f>(BSP!I53+BSL!I53+DSP!I53+RSP!I53+ISP!I53)</f>
        <v>29374</v>
      </c>
      <c r="J53" s="171"/>
      <c r="K53" s="166">
        <f>BSP!K53</f>
        <v>44409</v>
      </c>
      <c r="L53" s="167">
        <f>IFERROR((BSP!L53*BSP!S53+BSL!L53*BSL!S53+DSP!L53*DSP!S53+RSP!L53*RSP!S53+ISP!L53*ISP!S53)/(BSP!S53+BSL!S53+DSP!S53+RSP!S53+ISP!S53),)</f>
        <v>62.43</v>
      </c>
      <c r="M53" s="168">
        <f>IFERROR((BSP!M53*BSP!S53+BSL!M53*BSL!S53+DSP!M53*DSP!S53+RSP!M53*RSP!S53+ISP!M53*ISP!S53)/(BSP!S53+BSL!S53+DSP!S53+RSP!S53+ISP!S53),)</f>
        <v>3.01</v>
      </c>
      <c r="N53" s="168">
        <f>IFERROR((BSP!N53*BSP!S53+BSL!N53*BSL!S53+DSP!N53*DSP!S53+RSP!N53*RSP!S53+ISP!N53*ISP!S53)/(BSP!S53+BSL!S53+DSP!S53+RSP!S53+ISP!S53),)</f>
        <v>2.5400000000000005</v>
      </c>
      <c r="O53" s="168">
        <f>IFERROR((BSP!O53*BSP!S53+BSL!O53*BSL!S53+DSP!O53*DSP!S53+RSP!O53*RSP!S53+ISP!O53*ISP!S53)/(IF(BSP!P53&gt;0,BSP!S53,0)+IF(BSL!P53&gt;0,BSL!S53,0)+IF(DSP!P53&gt;0,DSP!S53,0)+IF(RSP!P53&gt;0,RSP!S53,0)+IF(ISP!P53&gt;0,ISP!S53,0)),)</f>
        <v>0</v>
      </c>
      <c r="P53" s="168">
        <f>IFERROR((BSP!P53*BSP!S53+BSL!P53*BSL!S53+DSP!P53*DSP!S53+RSP!P53*RSP!S53+ISP!P53*ISP!S53)/(IF(BSP!P53&gt;0,BSP!S53,0)+IF(BSL!P53&gt;0,BSL!S53,0)+IF(DSP!P53&gt;0,DSP!S53,0)+IF(RSP!P53&gt;0,RSP!S53,0)+IF(ISP!P53&gt;0,ISP!S53,0)),)</f>
        <v>0</v>
      </c>
      <c r="Q53" s="168">
        <f t="shared" si="70"/>
        <v>5.5500000000000007</v>
      </c>
      <c r="R53" s="169">
        <f t="shared" si="71"/>
        <v>0.84385382059800684</v>
      </c>
      <c r="S53" s="170">
        <f>(BSP!S53+BSL!S53+DSP!S53+RSP!S53+ISP!S53)</f>
        <v>103429</v>
      </c>
      <c r="U53" s="166">
        <f>BSP!U53</f>
        <v>44409</v>
      </c>
      <c r="V53" s="167">
        <f>IFERROR((BSP!V53*BSP!AC53+BSL!V53*BSL!AC53+DSP!V53*DSP!AC53+RSP!V53*RSP!AC53+ISP!V53*ISP!AC53)/(BSP!AC53+BSL!AC53+DSP!AC53+RSP!AC53+ISP!AC53),)</f>
        <v>0</v>
      </c>
      <c r="W53" s="168">
        <f>IFERROR((BSP!W53*BSP!AC53+BSL!W53*BSL!AC53+DSP!W53*DSP!AC53+RSP!W53*RSP!AC53+ISP!W53*ISP!AC53)/(BSP!AC53+BSL!AC53+DSP!AC53+RSP!AC53+ISP!AC53),)</f>
        <v>0</v>
      </c>
      <c r="X53" s="168">
        <f>IFERROR((BSP!X53*BSP!AC53+BSL!X53*BSL!AC53+DSP!X53*DSP!AC53+RSP!X53*RSP!AC53+ISP!X53*ISP!AC53)/(BSP!AC53+BSL!AC53+DSP!AC53+RSP!AC53+ISP!AC53),)</f>
        <v>0</v>
      </c>
      <c r="Y53" s="168">
        <f>IFERROR((BSP!Y53*BSP!AC53+BSL!Y53*BSL!AC53+DSP!Y53*DSP!AC53+RSP!Y53*RSP!AC53+ISP!Y53*ISP!AC53)/(IF(BSP!Z53&gt;0,BSP!AC53,0)+IF(BSL!Z53&gt;0,BSL!AC53,0)+IF(DSP!Z53&gt;0,DSP!AC53,0)+IF(RSP!Z53&gt;0,RSP!AC53,0)+IF(ISP!Z53&gt;0,ISP!AC53,0)),)</f>
        <v>0</v>
      </c>
      <c r="Z53" s="168">
        <f>IFERROR((BSP!Z53*BSP!AC53+BSL!Z53*BSL!AC53+DSP!Z53*DSP!AC53+RSP!Z53*RSP!AC53+ISP!Z53*ISP!AC53)/(IF(BSP!Z53&gt;0,BSP!AC53,0)+IF(BSL!Z53&gt;0,BSL!AC53,0)+IF(DSP!Z53&gt;0,DSP!AC53,0)+IF(RSP!Z53&gt;0,RSP!AC53,0)+IF(ISP!Z53&gt;0,ISP!AC53,0)),)</f>
        <v>0</v>
      </c>
      <c r="AA53" s="168">
        <f t="shared" si="72"/>
        <v>0</v>
      </c>
      <c r="AB53" s="169" t="str">
        <f t="shared" si="73"/>
        <v/>
      </c>
      <c r="AC53" s="170">
        <f>(BSP!AC53+BSL!AC53+DSP!AC53+RSP!AC53+ISP!AC53)</f>
        <v>0</v>
      </c>
      <c r="AD53" s="171"/>
      <c r="AE53" s="166">
        <f>BSP!AE53</f>
        <v>44409</v>
      </c>
      <c r="AF53" s="167">
        <f>IFERROR((BSP!AF53*BSP!AM53+BSL!AF53*BSL!AM53+DSP!AF53*DSP!AM53+RSP!AF53*RSP!AM53+ISP!AF53*ISP!AM53)/(BSP!AM53+BSL!AM53+DSP!AM53+RSP!AM53+ISP!AM53),)</f>
        <v>0</v>
      </c>
      <c r="AG53" s="168">
        <f>IFERROR((BSP!AG53*BSP!AM53+BSL!AG53*BSL!AM53+DSP!AG53*DSP!AM53+RSP!AG53*RSP!AM53+ISP!AG53*ISP!AM53)/(BSP!AM53+BSL!AM53+DSP!AM53+RSP!AM53+ISP!AM53),)</f>
        <v>0</v>
      </c>
      <c r="AH53" s="168">
        <f>IFERROR((BSP!AH53*BSP!AM53+BSL!AH53*BSL!AM53+DSP!AH53*DSP!AM53+RSP!AH53*RSP!AM53+ISP!AH53*ISP!AM53)/(BSP!AM53+BSL!AM53+DSP!AM53+RSP!AM53+ISP!AM53),)</f>
        <v>0</v>
      </c>
      <c r="AI53" s="168">
        <f>IFERROR((BSP!AI53*BSP!AM53+BSL!AI53*BSL!AM53+DSP!AI53*DSP!AM53+RSP!AI53*RSP!AM53+ISP!AI53*ISP!AM53)/(IF(BSP!AJ53&gt;0,BSP!AM53,0)+IF(BSL!AJ53&gt;0,BSL!AM53,0)+IF(DSP!AJ53&gt;0,DSP!AM53,0)+IF(RSP!AJ53&gt;0,RSP!AM53,0)+IF(ISP!AJ53&gt;0,ISP!AM53,0)),)</f>
        <v>0</v>
      </c>
      <c r="AJ53" s="168">
        <f>IFERROR((BSP!AJ53*BSP!AM53+BSL!AJ53*BSL!AM53+DSP!AJ53*DSP!AM53+RSP!AJ53*RSP!AM53+ISP!AJ53*ISP!AM53)/(IF(BSP!AJ53&gt;0,BSP!AM53,0)+IF(BSL!AJ53&gt;0,BSL!AM53,0)+IF(DSP!AJ53&gt;0,DSP!AM53,0)+IF(RSP!AJ53&gt;0,RSP!AM53,0)+IF(ISP!AJ53&gt;0,ISP!AM53,0)),)</f>
        <v>0</v>
      </c>
      <c r="AK53" s="168">
        <f t="shared" si="74"/>
        <v>0</v>
      </c>
      <c r="AL53" s="169" t="str">
        <f t="shared" si="75"/>
        <v/>
      </c>
      <c r="AM53" s="170">
        <f>(BSP!AM53+BSL!AM53+DSP!AM53+RSP!AM53+ISP!AM53)</f>
        <v>0</v>
      </c>
      <c r="AO53" s="172">
        <f t="shared" si="76"/>
        <v>44409</v>
      </c>
      <c r="AP53" s="167">
        <f>IFERROR((BSP!AP53*BSP!AW53+BSL!AP53*BSL!AW53+DSP!AP53*DSP!AW53+RSP!AP53*RSP!AW53+ISP!AP53*ISP!AW53)/(BSP!AW53+BSL!AW53+DSP!AW53+RSP!AW53+ISP!AW53),)</f>
        <v>61.886427685225478</v>
      </c>
      <c r="AQ53" s="168">
        <f>IFERROR((BSP!AQ53*BSP!AW53+BSL!AQ53*BSL!AW53+DSP!AQ53*DSP!AW53+RSP!AQ53*RSP!AW53+ISP!AQ53*ISP!AW53)/(BSP!AW53+BSL!AW53+DSP!AW53+RSP!AW53+ISP!AW53),)</f>
        <v>4.1065349556883399</v>
      </c>
      <c r="AR53" s="168">
        <f>IFERROR((BSP!AR53*BSP!AW53+BSL!AR53*BSL!AW53+DSP!AR53*DSP!AW53+RSP!AR53*RSP!AW53+ISP!AR53*ISP!AW53)/(BSP!AW53+BSL!AW53+DSP!AW53+RSP!AW53+ISP!AW53),)</f>
        <v>2.2155639107845233</v>
      </c>
      <c r="AS53" s="168">
        <f>IFERROR((BSP!AS53*BSP!AW53+BSL!AS53*BSL!AW53+DSP!AS53*DSP!AW53+RSP!AS53*RSP!AW53+ISP!AS53*ISP!AW53)/(BSP!AW53+BSL!AW53+DSP!AW53+RSP!AW53+ISP!AW53),)</f>
        <v>11.829466028956677</v>
      </c>
      <c r="AT53" s="168">
        <f>IFERROR((BSP!AT53*BSP!AW53+BSL!AT53*BSL!AW53+DSP!AT53*DSP!AW53+RSP!AT53*RSP!AW53+ISP!AT53*ISP!AW53)/(BSP!AW53+BSL!AW53+DSP!AW53+RSP!AW53+ISP!AW53),)</f>
        <v>20.018273317753216</v>
      </c>
      <c r="AU53" s="168">
        <f t="shared" si="66"/>
        <v>6.3220988664728637</v>
      </c>
      <c r="AV53" s="169">
        <f t="shared" si="79"/>
        <v>0.53952150284646705</v>
      </c>
      <c r="AW53" s="170">
        <f>(BSP!AW53+BSL!AW53+DSP!AW53+RSP!AW53+ISP!AW53)</f>
        <v>759258.4</v>
      </c>
      <c r="AY53" s="172">
        <f t="shared" si="80"/>
        <v>44409</v>
      </c>
      <c r="AZ53" s="167">
        <f>IFERROR((BSP!AZ53*BSP!BG53+BSL!AZ53*BSL!BG53+DSP!AZ53*DSP!BG53+RSP!AZ53*RSP!BG53+ISP!AZ53*ISP!BG53)/(BSP!BG53+BSL!BG53+DSP!BG53+RSP!BG53+ISP!BG53),)</f>
        <v>61.568616540267179</v>
      </c>
      <c r="BA53" s="168">
        <f>IFERROR((BSP!BA53*BSP!BG53+BSL!BA53*BSL!BG53+DSP!BA53*DSP!BG53+RSP!BA53*RSP!BG53+ISP!BA53*ISP!BG53)/(BSP!BG53+BSL!BG53+DSP!BG53+RSP!BG53+ISP!BG53),)</f>
        <v>4.6869774265404303</v>
      </c>
      <c r="BB53" s="168">
        <f>IFERROR((BSP!BB53*BSP!BG53+BSL!BB53*BSL!BG53+DSP!BB53*DSP!BG53+RSP!BB53*RSP!BG53+ISP!BB53*ISP!BG53)/(BSP!BG53+BSL!BG53+DSP!BG53+RSP!BG53+ISP!BG53),)</f>
        <v>2.4864320218400207</v>
      </c>
      <c r="BC53" s="168">
        <f>IFERROR((BSP!BC53*BSP!BG53+BSL!BC53*BSL!BG53+DSP!BC53*DSP!BG53+RSP!BC53*RSP!BG53+ISP!BC53*ISP!BG53)/(BSP!BG53+BSL!BG53+DSP!BG53+RSP!BG53+ISP!BG53),)</f>
        <v>5.2550185919545029</v>
      </c>
      <c r="BD53" s="168">
        <f>IFERROR((BSP!BD53*BSP!BG53+BSL!BD53*BSL!BG53+DSP!BD53*DSP!BG53+RSP!BD53*RSP!BG53+ISP!BD53*ISP!BG53)/(BSP!BG53+BSL!BG53+DSP!BG53+RSP!BG53+ISP!BG53),)</f>
        <v>32.708001075994979</v>
      </c>
      <c r="BE53" s="168">
        <f t="shared" si="67"/>
        <v>7.1734094483804505</v>
      </c>
      <c r="BF53" s="169">
        <f t="shared" si="81"/>
        <v>0.5304979724801695</v>
      </c>
      <c r="BG53" s="170">
        <f>(BSP!BG53+BSL!BG53+DSP!BG53+RSP!BG53+ISP!BG53)</f>
        <v>1359485.9</v>
      </c>
      <c r="CD53" s="104">
        <f t="shared" si="77"/>
        <v>0</v>
      </c>
      <c r="CE53" s="178">
        <f t="shared" si="77"/>
        <v>44409</v>
      </c>
      <c r="CF53" s="179">
        <f t="shared" si="77"/>
        <v>0</v>
      </c>
      <c r="CG53" s="180">
        <f t="shared" si="77"/>
        <v>0</v>
      </c>
      <c r="CH53" s="180">
        <f t="shared" si="77"/>
        <v>0</v>
      </c>
      <c r="CI53" s="180">
        <f t="shared" si="77"/>
        <v>0</v>
      </c>
      <c r="CJ53" s="180">
        <f t="shared" si="77"/>
        <v>0</v>
      </c>
      <c r="CK53" s="180">
        <f t="shared" si="77"/>
        <v>0</v>
      </c>
      <c r="CL53" s="181" t="str">
        <f t="shared" si="77"/>
        <v/>
      </c>
      <c r="CM53" s="182">
        <f t="shared" si="77"/>
        <v>0</v>
      </c>
      <c r="CN53" s="111">
        <f t="shared" si="77"/>
        <v>0</v>
      </c>
      <c r="CO53" s="178">
        <f t="shared" si="77"/>
        <v>44409</v>
      </c>
      <c r="CP53" s="179">
        <f t="shared" si="77"/>
        <v>0</v>
      </c>
      <c r="CQ53" s="180">
        <f t="shared" si="77"/>
        <v>0</v>
      </c>
      <c r="CR53" s="180">
        <f t="shared" si="77"/>
        <v>0</v>
      </c>
      <c r="CS53" s="180">
        <f t="shared" si="77"/>
        <v>0</v>
      </c>
      <c r="CT53" s="180">
        <f t="shared" si="78"/>
        <v>0</v>
      </c>
      <c r="CU53" s="180">
        <f t="shared" si="78"/>
        <v>0</v>
      </c>
      <c r="CV53" s="181" t="str">
        <f t="shared" si="78"/>
        <v/>
      </c>
      <c r="CW53" s="182">
        <f t="shared" si="78"/>
        <v>0</v>
      </c>
      <c r="CX53" s="104">
        <f t="shared" si="2"/>
        <v>0</v>
      </c>
      <c r="CY53" s="255">
        <f t="shared" si="2"/>
        <v>44409</v>
      </c>
      <c r="CZ53" s="167">
        <f t="shared" si="2"/>
        <v>61.886427685225478</v>
      </c>
      <c r="DA53" s="168">
        <f t="shared" si="2"/>
        <v>4.1065349556883399</v>
      </c>
      <c r="DB53" s="168">
        <f t="shared" si="2"/>
        <v>2.2155639107845233</v>
      </c>
      <c r="DC53" s="168">
        <f t="shared" si="2"/>
        <v>11.829466028956677</v>
      </c>
      <c r="DD53" s="168">
        <f t="shared" si="2"/>
        <v>20.018273317753216</v>
      </c>
      <c r="DE53" s="168">
        <f t="shared" si="2"/>
        <v>6.3220988664728637</v>
      </c>
      <c r="DF53" s="169">
        <f t="shared" si="2"/>
        <v>0.53952150284646705</v>
      </c>
      <c r="DG53" s="170">
        <f t="shared" si="2"/>
        <v>759258.4</v>
      </c>
      <c r="DH53" s="104">
        <f t="shared" si="65"/>
        <v>0</v>
      </c>
      <c r="DI53" s="255">
        <f t="shared" si="65"/>
        <v>44409</v>
      </c>
      <c r="DJ53" s="167">
        <f t="shared" si="64"/>
        <v>61.568616540267179</v>
      </c>
      <c r="DK53" s="168">
        <f t="shared" si="64"/>
        <v>4.6869774265404303</v>
      </c>
      <c r="DL53" s="168">
        <f t="shared" si="64"/>
        <v>2.4864320218400207</v>
      </c>
      <c r="DM53" s="168">
        <f t="shared" si="64"/>
        <v>5.2550185919545029</v>
      </c>
      <c r="DN53" s="168">
        <f t="shared" si="64"/>
        <v>32.708001075994979</v>
      </c>
      <c r="DO53" s="168">
        <f t="shared" si="64"/>
        <v>7.1734094483804505</v>
      </c>
      <c r="DP53" s="169">
        <f t="shared" si="64"/>
        <v>0.5304979724801695</v>
      </c>
      <c r="DQ53" s="170">
        <f t="shared" si="64"/>
        <v>1359485.9</v>
      </c>
    </row>
    <row r="54" spans="1:121" ht="19" customHeight="1" x14ac:dyDescent="0.35">
      <c r="A54" s="166">
        <f>BSP!A54</f>
        <v>44440</v>
      </c>
      <c r="B54" s="167">
        <f>IFERROR((BSP!B54*BSP!I54+BSL!B54*BSL!I54+DSP!B54*DSP!I54+RSP!B54*RSP!I54+ISP!B54*ISP!I54)/(BSP!I54+BSL!I54+DSP!I54+RSP!I54+ISP!I54),)</f>
        <v>62.69</v>
      </c>
      <c r="C54" s="168">
        <f>IFERROR((BSP!C54*BSP!I54+BSL!C54*BSL!I54+DSP!C54*DSP!I54+RSP!C54*RSP!I54+ISP!C54*ISP!I54)/(BSP!I54+BSL!I54+DSP!I54+RSP!I54+ISP!I54),)</f>
        <v>3.07</v>
      </c>
      <c r="D54" s="168">
        <f>IFERROR((BSP!D54*BSP!I54+BSL!D54*BSL!I54+DSP!D54*DSP!I54+RSP!D54*RSP!I54+ISP!D54*ISP!I54)/(BSP!I54+BSL!I54+DSP!I54+RSP!I54+ISP!I54),)</f>
        <v>2.37</v>
      </c>
      <c r="E54" s="168">
        <f>IFERROR((BSP!E54*BSP!I54+BSL!E54*BSL!I54+DSP!E54*DSP!I54+RSP!E54*RSP!I54+ISP!E54*ISP!I54)/(IF(BSP!F54&gt;0,BSP!I54,0)+IF(BSL!F54&gt;0,BSL!I54,0)+IF(DSP!F54&gt;0,DSP!I54,0)+IF(RSP!F54&gt;0,RSP!I54,0)+IF(ISP!F54&gt;0,ISP!I54,0)),)</f>
        <v>5.6700000000000008</v>
      </c>
      <c r="F54" s="168">
        <f>IFERROR((BSP!F54*BSP!I54+BSL!F54*BSL!I54+DSP!F54*DSP!I54+RSP!F54*RSP!I54+ISP!F54*ISP!I54)/(IF(BSP!F54&gt;0,BSP!I54,0)+IF(BSL!F54&gt;0,BSL!I54,0)+IF(DSP!F54&gt;0,DSP!I54,0)+IF(RSP!F54&gt;0,RSP!I54,0)+IF(ISP!F54&gt;0,ISP!I54,0)),)</f>
        <v>16.829999999999998</v>
      </c>
      <c r="G54" s="168">
        <f t="shared" si="68"/>
        <v>5.4399999999999995</v>
      </c>
      <c r="H54" s="169">
        <f t="shared" si="69"/>
        <v>0.77198697068403921</v>
      </c>
      <c r="I54" s="170">
        <f>(BSP!I54+BSL!I54+DSP!I54+RSP!I54+ISP!I54)</f>
        <v>27310</v>
      </c>
      <c r="J54" s="171"/>
      <c r="K54" s="166">
        <f>BSP!K54</f>
        <v>44440</v>
      </c>
      <c r="L54" s="167">
        <f>IFERROR((BSP!L54*BSP!S54+BSL!L54*BSL!S54+DSP!L54*DSP!S54+RSP!L54*RSP!S54+ISP!L54*ISP!S54)/(BSP!S54+BSL!S54+DSP!S54+RSP!S54+ISP!S54),)</f>
        <v>62.59</v>
      </c>
      <c r="M54" s="168">
        <f>IFERROR((BSP!M54*BSP!S54+BSL!M54*BSL!S54+DSP!M54*DSP!S54+RSP!M54*RSP!S54+ISP!M54*ISP!S54)/(BSP!S54+BSL!S54+DSP!S54+RSP!S54+ISP!S54),)</f>
        <v>2.8700000000000006</v>
      </c>
      <c r="N54" s="168">
        <f>IFERROR((BSP!N54*BSP!S54+BSL!N54*BSL!S54+DSP!N54*DSP!S54+RSP!N54*RSP!S54+ISP!N54*ISP!S54)/(BSP!S54+BSL!S54+DSP!S54+RSP!S54+ISP!S54),)</f>
        <v>2.5</v>
      </c>
      <c r="O54" s="168">
        <f>IFERROR((BSP!O54*BSP!S54+BSL!O54*BSL!S54+DSP!O54*DSP!S54+RSP!O54*RSP!S54+ISP!O54*ISP!S54)/(IF(BSP!P54&gt;0,BSP!S54,0)+IF(BSL!P54&gt;0,BSL!S54,0)+IF(DSP!P54&gt;0,DSP!S54,0)+IF(RSP!P54&gt;0,RSP!S54,0)+IF(ISP!P54&gt;0,ISP!S54,0)),)</f>
        <v>0</v>
      </c>
      <c r="P54" s="168">
        <f>IFERROR((BSP!P54*BSP!S54+BSL!P54*BSL!S54+DSP!P54*DSP!S54+RSP!P54*RSP!S54+ISP!P54*ISP!S54)/(IF(BSP!P54&gt;0,BSP!S54,0)+IF(BSL!P54&gt;0,BSL!S54,0)+IF(DSP!P54&gt;0,DSP!S54,0)+IF(RSP!P54&gt;0,RSP!S54,0)+IF(ISP!P54&gt;0,ISP!S54,0)),)</f>
        <v>0</v>
      </c>
      <c r="Q54" s="168">
        <f t="shared" si="70"/>
        <v>5.370000000000001</v>
      </c>
      <c r="R54" s="169">
        <f t="shared" si="71"/>
        <v>0.87108013937282214</v>
      </c>
      <c r="S54" s="170">
        <f>(BSP!S54+BSL!S54+DSP!S54+RSP!S54+ISP!S54)</f>
        <v>95655</v>
      </c>
      <c r="U54" s="166">
        <f>BSP!U54</f>
        <v>44440</v>
      </c>
      <c r="V54" s="167">
        <f>IFERROR((BSP!V54*BSP!AC54+BSL!V54*BSL!AC54+DSP!V54*DSP!AC54+RSP!V54*RSP!AC54+ISP!V54*ISP!AC54)/(BSP!AC54+BSL!AC54+DSP!AC54+RSP!AC54+ISP!AC54),)</f>
        <v>0</v>
      </c>
      <c r="W54" s="168">
        <f>IFERROR((BSP!W54*BSP!AC54+BSL!W54*BSL!AC54+DSP!W54*DSP!AC54+RSP!W54*RSP!AC54+ISP!W54*ISP!AC54)/(BSP!AC54+BSL!AC54+DSP!AC54+RSP!AC54+ISP!AC54),)</f>
        <v>0</v>
      </c>
      <c r="X54" s="168">
        <f>IFERROR((BSP!X54*BSP!AC54+BSL!X54*BSL!AC54+DSP!X54*DSP!AC54+RSP!X54*RSP!AC54+ISP!X54*ISP!AC54)/(BSP!AC54+BSL!AC54+DSP!AC54+RSP!AC54+ISP!AC54),)</f>
        <v>0</v>
      </c>
      <c r="Y54" s="168">
        <f>IFERROR((BSP!Y54*BSP!AC54+BSL!Y54*BSL!AC54+DSP!Y54*DSP!AC54+RSP!Y54*RSP!AC54+ISP!Y54*ISP!AC54)/(IF(BSP!Z54&gt;0,BSP!AC54,0)+IF(BSL!Z54&gt;0,BSL!AC54,0)+IF(DSP!Z54&gt;0,DSP!AC54,0)+IF(RSP!Z54&gt;0,RSP!AC54,0)+IF(ISP!Z54&gt;0,ISP!AC54,0)),)</f>
        <v>0</v>
      </c>
      <c r="Z54" s="168">
        <f>IFERROR((BSP!Z54*BSP!AC54+BSL!Z54*BSL!AC54+DSP!Z54*DSP!AC54+RSP!Z54*RSP!AC54+ISP!Z54*ISP!AC54)/(IF(BSP!Z54&gt;0,BSP!AC54,0)+IF(BSL!Z54&gt;0,BSL!AC54,0)+IF(DSP!Z54&gt;0,DSP!AC54,0)+IF(RSP!Z54&gt;0,RSP!AC54,0)+IF(ISP!Z54&gt;0,ISP!AC54,0)),)</f>
        <v>0</v>
      </c>
      <c r="AA54" s="168">
        <f t="shared" si="72"/>
        <v>0</v>
      </c>
      <c r="AB54" s="169" t="str">
        <f t="shared" si="73"/>
        <v/>
      </c>
      <c r="AC54" s="170">
        <f>(BSP!AC54+BSL!AC54+DSP!AC54+RSP!AC54+ISP!AC54)</f>
        <v>0</v>
      </c>
      <c r="AD54" s="171"/>
      <c r="AE54" s="166">
        <f>BSP!AE54</f>
        <v>44440</v>
      </c>
      <c r="AF54" s="167">
        <f>IFERROR((BSP!AF54*BSP!AM54+BSL!AF54*BSL!AM54+DSP!AF54*DSP!AM54+RSP!AF54*RSP!AM54+ISP!AF54*ISP!AM54)/(BSP!AM54+BSL!AM54+DSP!AM54+RSP!AM54+ISP!AM54),)</f>
        <v>0</v>
      </c>
      <c r="AG54" s="168">
        <f>IFERROR((BSP!AG54*BSP!AM54+BSL!AG54*BSL!AM54+DSP!AG54*DSP!AM54+RSP!AG54*RSP!AM54+ISP!AG54*ISP!AM54)/(BSP!AM54+BSL!AM54+DSP!AM54+RSP!AM54+ISP!AM54),)</f>
        <v>0</v>
      </c>
      <c r="AH54" s="168">
        <f>IFERROR((BSP!AH54*BSP!AM54+BSL!AH54*BSL!AM54+DSP!AH54*DSP!AM54+RSP!AH54*RSP!AM54+ISP!AH54*ISP!AM54)/(BSP!AM54+BSL!AM54+DSP!AM54+RSP!AM54+ISP!AM54),)</f>
        <v>0</v>
      </c>
      <c r="AI54" s="168">
        <f>IFERROR((BSP!AI54*BSP!AM54+BSL!AI54*BSL!AM54+DSP!AI54*DSP!AM54+RSP!AI54*RSP!AM54+ISP!AI54*ISP!AM54)/(IF(BSP!AJ54&gt;0,BSP!AM54,0)+IF(BSL!AJ54&gt;0,BSL!AM54,0)+IF(DSP!AJ54&gt;0,DSP!AM54,0)+IF(RSP!AJ54&gt;0,RSP!AM54,0)+IF(ISP!AJ54&gt;0,ISP!AM54,0)),)</f>
        <v>0</v>
      </c>
      <c r="AJ54" s="168">
        <f>IFERROR((BSP!AJ54*BSP!AM54+BSL!AJ54*BSL!AM54+DSP!AJ54*DSP!AM54+RSP!AJ54*RSP!AM54+ISP!AJ54*ISP!AM54)/(IF(BSP!AJ54&gt;0,BSP!AM54,0)+IF(BSL!AJ54&gt;0,BSL!AM54,0)+IF(DSP!AJ54&gt;0,DSP!AM54,0)+IF(RSP!AJ54&gt;0,RSP!AM54,0)+IF(ISP!AJ54&gt;0,ISP!AM54,0)),)</f>
        <v>0</v>
      </c>
      <c r="AK54" s="168">
        <f t="shared" si="74"/>
        <v>0</v>
      </c>
      <c r="AL54" s="169" t="str">
        <f t="shared" si="75"/>
        <v/>
      </c>
      <c r="AM54" s="170">
        <f>(BSP!AM54+BSL!AM54+DSP!AM54+RSP!AM54+ISP!AM54)</f>
        <v>0</v>
      </c>
      <c r="AO54" s="172">
        <f t="shared" si="76"/>
        <v>44440</v>
      </c>
      <c r="AP54" s="167">
        <f>IFERROR((BSP!AP54*BSP!AW54+BSL!AP54*BSL!AW54+DSP!AP54*DSP!AW54+RSP!AP54*RSP!AW54+ISP!AP54*ISP!AW54)/(BSP!AW54+BSL!AW54+DSP!AW54+RSP!AW54+ISP!AW54),)</f>
        <v>61.75230798635836</v>
      </c>
      <c r="AQ54" s="168">
        <f>IFERROR((BSP!AQ54*BSP!AW54+BSL!AQ54*BSL!AW54+DSP!AQ54*DSP!AW54+RSP!AQ54*RSP!AW54+ISP!AQ54*ISP!AW54)/(BSP!AW54+BSL!AW54+DSP!AW54+RSP!AW54+ISP!AW54),)</f>
        <v>4.2742510062586669</v>
      </c>
      <c r="AR54" s="168">
        <f>IFERROR((BSP!AR54*BSP!AW54+BSL!AR54*BSL!AW54+DSP!AR54*DSP!AW54+RSP!AR54*RSP!AW54+ISP!AR54*ISP!AW54)/(BSP!AW54+BSL!AW54+DSP!AW54+RSP!AW54+ISP!AW54),)</f>
        <v>2.2333794850653974</v>
      </c>
      <c r="AS54" s="168">
        <f>IFERROR((BSP!AS54*BSP!AW54+BSL!AS54*BSL!AW54+DSP!AS54*DSP!AW54+RSP!AS54*RSP!AW54+ISP!AS54*ISP!AW54)/(BSP!AW54+BSL!AW54+DSP!AW54+RSP!AW54+ISP!AW54),)</f>
        <v>12.481415388074804</v>
      </c>
      <c r="AT54" s="168">
        <f>IFERROR((BSP!AT54*BSP!AW54+BSL!AT54*BSL!AW54+DSP!AT54*DSP!AW54+RSP!AT54*RSP!AW54+ISP!AT54*ISP!AW54)/(BSP!AW54+BSL!AW54+DSP!AW54+RSP!AW54+ISP!AW54),)</f>
        <v>18.704597399093053</v>
      </c>
      <c r="AU54" s="168">
        <f t="shared" si="66"/>
        <v>6.5076304913240648</v>
      </c>
      <c r="AV54" s="169">
        <f t="shared" si="79"/>
        <v>0.52251949681830145</v>
      </c>
      <c r="AW54" s="170">
        <f>(BSP!AW54+BSL!AW54+DSP!AW54+RSP!AW54+ISP!AW54)</f>
        <v>667075</v>
      </c>
      <c r="AY54" s="172">
        <f t="shared" si="80"/>
        <v>44440</v>
      </c>
      <c r="AZ54" s="167">
        <f>IFERROR((BSP!AZ54*BSP!BG54+BSL!AZ54*BSL!BG54+DSP!AZ54*DSP!BG54+RSP!AZ54*RSP!BG54+ISP!AZ54*ISP!BG54)/(BSP!BG54+BSL!BG54+DSP!BG54+RSP!BG54+ISP!BG54),)</f>
        <v>61.36723371474686</v>
      </c>
      <c r="BA54" s="168">
        <f>IFERROR((BSP!BA54*BSP!BG54+BSL!BA54*BSL!BG54+DSP!BA54*DSP!BG54+RSP!BA54*RSP!BG54+ISP!BA54*ISP!BG54)/(BSP!BG54+BSL!BG54+DSP!BG54+RSP!BG54+ISP!BG54),)</f>
        <v>5.1048845780191252</v>
      </c>
      <c r="BB54" s="168">
        <f>IFERROR((BSP!BB54*BSP!BG54+BSL!BB54*BSL!BG54+DSP!BB54*DSP!BG54+RSP!BB54*RSP!BG54+ISP!BB54*ISP!BG54)/(BSP!BG54+BSL!BG54+DSP!BG54+RSP!BG54+ISP!BG54),)</f>
        <v>2.3594603134759558</v>
      </c>
      <c r="BC54" s="168">
        <f>IFERROR((BSP!BC54*BSP!BG54+BSL!BC54*BSL!BG54+DSP!BC54*DSP!BG54+RSP!BC54*RSP!BG54+ISP!BC54*ISP!BG54)/(BSP!BG54+BSL!BG54+DSP!BG54+RSP!BG54+ISP!BG54),)</f>
        <v>6.1914589228288364</v>
      </c>
      <c r="BD54" s="168">
        <f>IFERROR((BSP!BD54*BSP!BG54+BSL!BD54*BSL!BG54+DSP!BD54*DSP!BG54+RSP!BD54*RSP!BG54+ISP!BD54*ISP!BG54)/(BSP!BG54+BSL!BG54+DSP!BG54+RSP!BG54+ISP!BG54),)</f>
        <v>33.235967864129904</v>
      </c>
      <c r="BE54" s="168">
        <f t="shared" si="67"/>
        <v>7.464344891495081</v>
      </c>
      <c r="BF54" s="169">
        <f t="shared" si="81"/>
        <v>0.46219660355014519</v>
      </c>
      <c r="BG54" s="170">
        <f>(BSP!BG54+BSL!BG54+DSP!BG54+RSP!BG54+ISP!BG54)</f>
        <v>1271638.2</v>
      </c>
      <c r="CD54" s="104">
        <f t="shared" si="77"/>
        <v>0</v>
      </c>
      <c r="CE54" s="178">
        <f t="shared" si="77"/>
        <v>44440</v>
      </c>
      <c r="CF54" s="179">
        <f t="shared" si="77"/>
        <v>0</v>
      </c>
      <c r="CG54" s="180">
        <f t="shared" si="77"/>
        <v>0</v>
      </c>
      <c r="CH54" s="180">
        <f t="shared" si="77"/>
        <v>0</v>
      </c>
      <c r="CI54" s="180">
        <f t="shared" si="77"/>
        <v>0</v>
      </c>
      <c r="CJ54" s="180">
        <f t="shared" si="77"/>
        <v>0</v>
      </c>
      <c r="CK54" s="180">
        <f t="shared" si="77"/>
        <v>0</v>
      </c>
      <c r="CL54" s="181" t="str">
        <f t="shared" si="77"/>
        <v/>
      </c>
      <c r="CM54" s="182">
        <f t="shared" si="77"/>
        <v>0</v>
      </c>
      <c r="CN54" s="111">
        <f t="shared" si="77"/>
        <v>0</v>
      </c>
      <c r="CO54" s="178">
        <f t="shared" si="77"/>
        <v>44440</v>
      </c>
      <c r="CP54" s="179">
        <f t="shared" si="77"/>
        <v>0</v>
      </c>
      <c r="CQ54" s="180">
        <f t="shared" si="77"/>
        <v>0</v>
      </c>
      <c r="CR54" s="180">
        <f t="shared" si="77"/>
        <v>0</v>
      </c>
      <c r="CS54" s="180">
        <f t="shared" si="77"/>
        <v>0</v>
      </c>
      <c r="CT54" s="180">
        <f t="shared" si="78"/>
        <v>0</v>
      </c>
      <c r="CU54" s="180">
        <f t="shared" si="78"/>
        <v>0</v>
      </c>
      <c r="CV54" s="181" t="str">
        <f t="shared" si="78"/>
        <v/>
      </c>
      <c r="CW54" s="182">
        <f t="shared" si="78"/>
        <v>0</v>
      </c>
      <c r="CX54" s="104">
        <f t="shared" si="2"/>
        <v>0</v>
      </c>
      <c r="CY54" s="255">
        <f t="shared" si="2"/>
        <v>44440</v>
      </c>
      <c r="CZ54" s="167">
        <f t="shared" si="2"/>
        <v>61.75230798635836</v>
      </c>
      <c r="DA54" s="168">
        <f t="shared" si="2"/>
        <v>4.2742510062586669</v>
      </c>
      <c r="DB54" s="168">
        <f t="shared" si="2"/>
        <v>2.2333794850653974</v>
      </c>
      <c r="DC54" s="168">
        <f t="shared" si="2"/>
        <v>12.481415388074804</v>
      </c>
      <c r="DD54" s="168">
        <f t="shared" si="2"/>
        <v>18.704597399093053</v>
      </c>
      <c r="DE54" s="168">
        <f t="shared" si="2"/>
        <v>6.5076304913240648</v>
      </c>
      <c r="DF54" s="169">
        <f t="shared" si="2"/>
        <v>0.52251949681830145</v>
      </c>
      <c r="DG54" s="170">
        <f t="shared" si="2"/>
        <v>667075</v>
      </c>
      <c r="DH54" s="104">
        <f t="shared" si="65"/>
        <v>0</v>
      </c>
      <c r="DI54" s="255">
        <f t="shared" si="65"/>
        <v>44440</v>
      </c>
      <c r="DJ54" s="167">
        <f t="shared" si="64"/>
        <v>61.36723371474686</v>
      </c>
      <c r="DK54" s="168">
        <f t="shared" si="64"/>
        <v>5.1048845780191252</v>
      </c>
      <c r="DL54" s="168">
        <f t="shared" si="64"/>
        <v>2.3594603134759558</v>
      </c>
      <c r="DM54" s="168">
        <f t="shared" si="64"/>
        <v>6.1914589228288364</v>
      </c>
      <c r="DN54" s="168">
        <f t="shared" si="64"/>
        <v>33.235967864129904</v>
      </c>
      <c r="DO54" s="168">
        <f t="shared" si="64"/>
        <v>7.464344891495081</v>
      </c>
      <c r="DP54" s="169">
        <f t="shared" si="64"/>
        <v>0.46219660355014519</v>
      </c>
      <c r="DQ54" s="170">
        <f t="shared" si="64"/>
        <v>1271638.2</v>
      </c>
    </row>
    <row r="55" spans="1:121" ht="19" customHeight="1" x14ac:dyDescent="0.35">
      <c r="A55" s="166">
        <f>BSP!A55</f>
        <v>44470</v>
      </c>
      <c r="B55" s="167">
        <f>IFERROR((BSP!B55*BSP!I55+BSL!B55*BSL!I55+DSP!B55*DSP!I55+RSP!B55*RSP!I55+ISP!B55*ISP!I55)/(BSP!I55+BSL!I55+DSP!I55+RSP!I55+ISP!I55),)</f>
        <v>62.800000000000004</v>
      </c>
      <c r="C55" s="168">
        <f>IFERROR((BSP!C55*BSP!I55+BSL!C55*BSL!I55+DSP!C55*DSP!I55+RSP!C55*RSP!I55+ISP!C55*ISP!I55)/(BSP!I55+BSL!I55+DSP!I55+RSP!I55+ISP!I55),)</f>
        <v>2.85</v>
      </c>
      <c r="D55" s="168">
        <f>IFERROR((BSP!D55*BSP!I55+BSL!D55*BSL!I55+DSP!D55*DSP!I55+RSP!D55*RSP!I55+ISP!D55*ISP!I55)/(BSP!I55+BSL!I55+DSP!I55+RSP!I55+ISP!I55),)</f>
        <v>2.35</v>
      </c>
      <c r="E55" s="168">
        <f>IFERROR((BSP!E55*BSP!I55+BSL!E55*BSL!I55+DSP!E55*DSP!I55+RSP!E55*RSP!I55+ISP!E55*ISP!I55)/(IF(BSP!F55&gt;0,BSP!I55,0)+IF(BSL!F55&gt;0,BSL!I55,0)+IF(DSP!F55&gt;0,DSP!I55,0)+IF(RSP!F55&gt;0,RSP!I55,0)+IF(ISP!F55&gt;0,ISP!I55,0)),)</f>
        <v>4</v>
      </c>
      <c r="F55" s="168">
        <f>IFERROR((BSP!F55*BSP!I55+BSL!F55*BSL!I55+DSP!F55*DSP!I55+RSP!F55*RSP!I55+ISP!F55*ISP!I55)/(IF(BSP!F55&gt;0,BSP!I55,0)+IF(BSL!F55&gt;0,BSL!I55,0)+IF(DSP!F55&gt;0,DSP!I55,0)+IF(RSP!F55&gt;0,RSP!I55,0)+IF(ISP!F55&gt;0,ISP!I55,0)),)</f>
        <v>16.5</v>
      </c>
      <c r="G55" s="168">
        <f t="shared" si="68"/>
        <v>5.2</v>
      </c>
      <c r="H55" s="169">
        <f t="shared" si="69"/>
        <v>0.82456140350877194</v>
      </c>
      <c r="I55" s="170">
        <f>(BSP!I55+BSL!I55+DSP!I55+RSP!I55+ISP!I55)</f>
        <v>15062.8</v>
      </c>
      <c r="J55" s="119"/>
      <c r="K55" s="166">
        <f>BSP!K55</f>
        <v>44470</v>
      </c>
      <c r="L55" s="167">
        <f>IFERROR((BSP!L55*BSP!S55+BSL!L55*BSL!S55+DSP!L55*DSP!S55+RSP!L55*RSP!S55+ISP!L55*ISP!S55)/(BSP!S55+BSL!S55+DSP!S55+RSP!S55+ISP!S55),)</f>
        <v>62.49</v>
      </c>
      <c r="M55" s="168">
        <f>IFERROR((BSP!M55*BSP!S55+BSL!M55*BSL!S55+DSP!M55*DSP!S55+RSP!M55*RSP!S55+ISP!M55*ISP!S55)/(BSP!S55+BSL!S55+DSP!S55+RSP!S55+ISP!S55),)</f>
        <v>2.94</v>
      </c>
      <c r="N55" s="168">
        <f>IFERROR((BSP!N55*BSP!S55+BSL!N55*BSL!S55+DSP!N55*DSP!S55+RSP!N55*RSP!S55+ISP!N55*ISP!S55)/(BSP!S55+BSL!S55+DSP!S55+RSP!S55+ISP!S55),)</f>
        <v>2.54</v>
      </c>
      <c r="O55" s="168">
        <f>IFERROR((BSP!O55*BSP!S55+BSL!O55*BSL!S55+DSP!O55*DSP!S55+RSP!O55*RSP!S55+ISP!O55*ISP!S55)/(IF(BSP!P55&gt;0,BSP!S55,0)+IF(BSL!P55&gt;0,BSL!S55,0)+IF(DSP!P55&gt;0,DSP!S55,0)+IF(RSP!P55&gt;0,RSP!S55,0)+IF(ISP!P55&gt;0,ISP!S55,0)),)</f>
        <v>8</v>
      </c>
      <c r="P55" s="168">
        <f>IFERROR((BSP!P55*BSP!S55+BSL!P55*BSL!S55+DSP!P55*DSP!S55+RSP!P55*RSP!S55+ISP!P55*ISP!S55)/(IF(BSP!P55&gt;0,BSP!S55,0)+IF(BSL!P55&gt;0,BSL!S55,0)+IF(DSP!P55&gt;0,DSP!S55,0)+IF(RSP!P55&gt;0,RSP!S55,0)+IF(ISP!P55&gt;0,ISP!S55,0)),)</f>
        <v>17</v>
      </c>
      <c r="Q55" s="168">
        <f t="shared" si="70"/>
        <v>5.48</v>
      </c>
      <c r="R55" s="169">
        <f t="shared" si="71"/>
        <v>0.86394557823129259</v>
      </c>
      <c r="S55" s="170">
        <f>(BSP!S55+BSL!S55+DSP!S55+RSP!S55+ISP!S55)</f>
        <v>121213.8</v>
      </c>
      <c r="U55" s="166">
        <f>BSP!U55</f>
        <v>44470</v>
      </c>
      <c r="V55" s="167">
        <f>IFERROR((BSP!V55*BSP!AC55+BSL!V55*BSL!AC55+DSP!V55*DSP!AC55+RSP!V55*RSP!AC55+ISP!V55*ISP!AC55)/(BSP!AC55+BSL!AC55+DSP!AC55+RSP!AC55+ISP!AC55),)</f>
        <v>63.32</v>
      </c>
      <c r="W55" s="168">
        <f>IFERROR((BSP!W55*BSP!AC55+BSL!W55*BSL!AC55+DSP!W55*DSP!AC55+RSP!W55*RSP!AC55+ISP!W55*ISP!AC55)/(BSP!AC55+BSL!AC55+DSP!AC55+RSP!AC55+ISP!AC55),)</f>
        <v>2.8</v>
      </c>
      <c r="X55" s="168">
        <f>IFERROR((BSP!X55*BSP!AC55+BSL!X55*BSL!AC55+DSP!X55*DSP!AC55+RSP!X55*RSP!AC55+ISP!X55*ISP!AC55)/(BSP!AC55+BSL!AC55+DSP!AC55+RSP!AC55+ISP!AC55),)</f>
        <v>1.8</v>
      </c>
      <c r="Y55" s="168">
        <f>IFERROR((BSP!Y55*BSP!AC55+BSL!Y55*BSL!AC55+DSP!Y55*DSP!AC55+RSP!Y55*RSP!AC55+ISP!Y55*ISP!AC55)/(IF(BSP!Z55&gt;0,BSP!AC55,0)+IF(BSL!Z55&gt;0,BSL!AC55,0)+IF(DSP!Z55&gt;0,DSP!AC55,0)+IF(RSP!Z55&gt;0,RSP!AC55,0)+IF(ISP!Z55&gt;0,ISP!AC55,0)),)</f>
        <v>7.6</v>
      </c>
      <c r="Z55" s="168">
        <f>IFERROR((BSP!Z55*BSP!AC55+BSL!Z55*BSL!AC55+DSP!Z55*DSP!AC55+RSP!Z55*RSP!AC55+ISP!Z55*ISP!AC55)/(IF(BSP!Z55&gt;0,BSP!AC55,0)+IF(BSL!Z55&gt;0,BSL!AC55,0)+IF(DSP!Z55&gt;0,DSP!AC55,0)+IF(RSP!Z55&gt;0,RSP!AC55,0)+IF(ISP!Z55&gt;0,ISP!AC55,0)),)</f>
        <v>10.1</v>
      </c>
      <c r="AA55" s="168">
        <f t="shared" si="72"/>
        <v>4.5999999999999996</v>
      </c>
      <c r="AB55" s="169">
        <f t="shared" si="73"/>
        <v>0.6428571428571429</v>
      </c>
      <c r="AC55" s="170">
        <f>(BSP!AC55+BSL!AC55+DSP!AC55+RSP!AC55+ISP!AC55)</f>
        <v>3404.2</v>
      </c>
      <c r="AD55" s="119"/>
      <c r="AE55" s="166">
        <f>BSP!AE55</f>
        <v>44470</v>
      </c>
      <c r="AF55" s="167">
        <f>IFERROR((BSP!AF55*BSP!AM55+BSL!AF55*BSL!AM55+DSP!AF55*DSP!AM55+RSP!AF55*RSP!AM55+ISP!AF55*ISP!AM55)/(BSP!AM55+BSL!AM55+DSP!AM55+RSP!AM55+ISP!AM55),)</f>
        <v>0</v>
      </c>
      <c r="AG55" s="168">
        <f>IFERROR((BSP!AG55*BSP!AM55+BSL!AG55*BSL!AM55+DSP!AG55*DSP!AM55+RSP!AG55*RSP!AM55+ISP!AG55*ISP!AM55)/(BSP!AM55+BSL!AM55+DSP!AM55+RSP!AM55+ISP!AM55),)</f>
        <v>0</v>
      </c>
      <c r="AH55" s="168">
        <f>IFERROR((BSP!AH55*BSP!AM55+BSL!AH55*BSL!AM55+DSP!AH55*DSP!AM55+RSP!AH55*RSP!AM55+ISP!AH55*ISP!AM55)/(BSP!AM55+BSL!AM55+DSP!AM55+RSP!AM55+ISP!AM55),)</f>
        <v>0</v>
      </c>
      <c r="AI55" s="168">
        <f>IFERROR((BSP!AI55*BSP!AM55+BSL!AI55*BSL!AM55+DSP!AI55*DSP!AM55+RSP!AI55*RSP!AM55+ISP!AI55*ISP!AM55)/(IF(BSP!AJ55&gt;0,BSP!AM55,0)+IF(BSL!AJ55&gt;0,BSL!AM55,0)+IF(DSP!AJ55&gt;0,DSP!AM55,0)+IF(RSP!AJ55&gt;0,RSP!AM55,0)+IF(ISP!AJ55&gt;0,ISP!AM55,0)),)</f>
        <v>0</v>
      </c>
      <c r="AJ55" s="168">
        <f>IFERROR((BSP!AJ55*BSP!AM55+BSL!AJ55*BSL!AM55+DSP!AJ55*DSP!AM55+RSP!AJ55*RSP!AM55+ISP!AJ55*ISP!AM55)/(IF(BSP!AJ55&gt;0,BSP!AM55,0)+IF(BSL!AJ55&gt;0,BSL!AM55,0)+IF(DSP!AJ55&gt;0,DSP!AM55,0)+IF(RSP!AJ55&gt;0,RSP!AM55,0)+IF(ISP!AJ55&gt;0,ISP!AM55,0)),)</f>
        <v>0</v>
      </c>
      <c r="AK55" s="168">
        <f t="shared" si="74"/>
        <v>0</v>
      </c>
      <c r="AL55" s="169" t="str">
        <f t="shared" si="75"/>
        <v/>
      </c>
      <c r="AM55" s="170">
        <f>(BSP!AM55+BSL!AM55+DSP!AM55+RSP!AM55+ISP!AM55)</f>
        <v>0</v>
      </c>
      <c r="AO55" s="172">
        <f t="shared" si="76"/>
        <v>44470</v>
      </c>
      <c r="AP55" s="167">
        <f>IFERROR((BSP!AP55*BSP!AW55+BSL!AP55*BSL!AW55+DSP!AP55*DSP!AW55+RSP!AP55*RSP!AW55+ISP!AP55*ISP!AW55)/(BSP!AW55+BSL!AW55+DSP!AW55+RSP!AW55+ISP!AW55),)</f>
        <v>61.253454841675733</v>
      </c>
      <c r="AQ55" s="168">
        <f>IFERROR((BSP!AQ55*BSP!AW55+BSL!AQ55*BSL!AW55+DSP!AQ55*DSP!AW55+RSP!AQ55*RSP!AW55+ISP!AQ55*ISP!AW55)/(BSP!AW55+BSL!AW55+DSP!AW55+RSP!AW55+ISP!AW55),)</f>
        <v>5.1049478003241315</v>
      </c>
      <c r="AR55" s="168">
        <f>IFERROR((BSP!AR55*BSP!AW55+BSL!AR55*BSL!AW55+DSP!AR55*DSP!AW55+RSP!AR55*RSP!AW55+ISP!AR55*ISP!AW55)/(BSP!AW55+BSL!AW55+DSP!AW55+RSP!AW55+ISP!AW55),)</f>
        <v>2.2326491333871208</v>
      </c>
      <c r="AS55" s="168">
        <f>IFERROR((BSP!AS55*BSP!AW55+BSL!AS55*BSL!AW55+DSP!AS55*DSP!AW55+RSP!AS55*RSP!AW55+ISP!AS55*ISP!AW55)/(BSP!AW55+BSL!AW55+DSP!AW55+RSP!AW55+ISP!AW55),)</f>
        <v>17.536743855249913</v>
      </c>
      <c r="AT55" s="168">
        <f>IFERROR((BSP!AT55*BSP!AW55+BSL!AT55*BSL!AW55+DSP!AT55*DSP!AW55+RSP!AT55*RSP!AW55+ISP!AT55*ISP!AW55)/(BSP!AW55+BSL!AW55+DSP!AW55+RSP!AW55+ISP!AW55),)</f>
        <v>17.795901741042449</v>
      </c>
      <c r="AU55" s="168">
        <f t="shared" si="66"/>
        <v>7.3375969337112519</v>
      </c>
      <c r="AV55" s="169">
        <f t="shared" si="79"/>
        <v>0.43735004170764719</v>
      </c>
      <c r="AW55" s="170">
        <f>(BSP!AW55+BSL!AW55+DSP!AW55+RSP!AW55+ISP!AW55)</f>
        <v>689294.51</v>
      </c>
      <c r="AY55" s="172">
        <f t="shared" si="80"/>
        <v>44470</v>
      </c>
      <c r="AZ55" s="167">
        <f>IFERROR((BSP!AZ55*BSP!BG55+BSL!AZ55*BSL!BG55+DSP!AZ55*DSP!BG55+RSP!AZ55*RSP!BG55+ISP!AZ55*ISP!BG55)/(BSP!BG55+BSL!BG55+DSP!BG55+RSP!BG55+ISP!BG55),)</f>
        <v>61.139426944963247</v>
      </c>
      <c r="BA55" s="168">
        <f>IFERROR((BSP!BA55*BSP!BG55+BSL!BA55*BSL!BG55+DSP!BA55*DSP!BG55+RSP!BA55*RSP!BG55+ISP!BA55*ISP!BG55)/(BSP!BG55+BSL!BG55+DSP!BG55+RSP!BG55+ISP!BG55),)</f>
        <v>5.2696263485878667</v>
      </c>
      <c r="BB55" s="168">
        <f>IFERROR((BSP!BB55*BSP!BG55+BSL!BB55*BSL!BG55+DSP!BB55*DSP!BG55+RSP!BB55*RSP!BG55+ISP!BB55*ISP!BG55)/(BSP!BG55+BSL!BG55+DSP!BG55+RSP!BG55+ISP!BG55),)</f>
        <v>2.5112062065003768</v>
      </c>
      <c r="BC55" s="168">
        <f>IFERROR((BSP!BC55*BSP!BG55+BSL!BC55*BSL!BG55+DSP!BC55*DSP!BG55+RSP!BC55*RSP!BG55+ISP!BC55*ISP!BG55)/(BSP!BG55+BSL!BG55+DSP!BG55+RSP!BG55+ISP!BG55),)</f>
        <v>5.8595840318478087</v>
      </c>
      <c r="BD55" s="168">
        <f>IFERROR((BSP!BD55*BSP!BG55+BSL!BD55*BSL!BG55+DSP!BD55*DSP!BG55+RSP!BD55*RSP!BG55+ISP!BD55*ISP!BG55)/(BSP!BG55+BSL!BG55+DSP!BG55+RSP!BG55+ISP!BG55),)</f>
        <v>30.455494647370532</v>
      </c>
      <c r="BE55" s="168">
        <f t="shared" si="67"/>
        <v>7.780832555088244</v>
      </c>
      <c r="BF55" s="169">
        <f t="shared" si="81"/>
        <v>0.47654350429861497</v>
      </c>
      <c r="BG55" s="170">
        <f>(BSP!BG55+BSL!BG55+DSP!BG55+RSP!BG55+ISP!BG55)</f>
        <v>1475959.6300000001</v>
      </c>
      <c r="CD55" s="104">
        <f t="shared" si="77"/>
        <v>0</v>
      </c>
      <c r="CE55" s="178">
        <f t="shared" si="77"/>
        <v>44470</v>
      </c>
      <c r="CF55" s="179">
        <f t="shared" si="77"/>
        <v>63.32</v>
      </c>
      <c r="CG55" s="180">
        <f t="shared" si="77"/>
        <v>2.8</v>
      </c>
      <c r="CH55" s="180">
        <f t="shared" si="77"/>
        <v>1.8</v>
      </c>
      <c r="CI55" s="180">
        <f t="shared" si="77"/>
        <v>7.6</v>
      </c>
      <c r="CJ55" s="180">
        <f t="shared" si="77"/>
        <v>10.1</v>
      </c>
      <c r="CK55" s="180">
        <f t="shared" si="77"/>
        <v>4.5999999999999996</v>
      </c>
      <c r="CL55" s="181">
        <f t="shared" si="77"/>
        <v>0.6428571428571429</v>
      </c>
      <c r="CM55" s="182">
        <f t="shared" si="77"/>
        <v>3404.2</v>
      </c>
      <c r="CN55" s="109">
        <f t="shared" si="77"/>
        <v>0</v>
      </c>
      <c r="CO55" s="178">
        <f t="shared" si="77"/>
        <v>44470</v>
      </c>
      <c r="CP55" s="179">
        <f t="shared" si="77"/>
        <v>0</v>
      </c>
      <c r="CQ55" s="180">
        <f t="shared" si="77"/>
        <v>0</v>
      </c>
      <c r="CR55" s="180">
        <f t="shared" si="77"/>
        <v>0</v>
      </c>
      <c r="CS55" s="180">
        <f t="shared" si="77"/>
        <v>0</v>
      </c>
      <c r="CT55" s="180">
        <f t="shared" si="78"/>
        <v>0</v>
      </c>
      <c r="CU55" s="180">
        <f t="shared" si="78"/>
        <v>0</v>
      </c>
      <c r="CV55" s="181" t="str">
        <f t="shared" si="78"/>
        <v/>
      </c>
      <c r="CW55" s="182">
        <f t="shared" si="78"/>
        <v>0</v>
      </c>
      <c r="CX55" s="104">
        <f t="shared" si="2"/>
        <v>0</v>
      </c>
      <c r="CY55" s="255">
        <f t="shared" si="2"/>
        <v>44470</v>
      </c>
      <c r="CZ55" s="167">
        <f t="shared" si="2"/>
        <v>61.253454841675733</v>
      </c>
      <c r="DA55" s="168">
        <f t="shared" si="2"/>
        <v>5.1049478003241315</v>
      </c>
      <c r="DB55" s="168">
        <f t="shared" si="2"/>
        <v>2.2326491333871208</v>
      </c>
      <c r="DC55" s="168">
        <f t="shared" si="2"/>
        <v>17.536743855249913</v>
      </c>
      <c r="DD55" s="168">
        <f t="shared" si="2"/>
        <v>17.795901741042449</v>
      </c>
      <c r="DE55" s="168">
        <f t="shared" si="2"/>
        <v>7.3375969337112519</v>
      </c>
      <c r="DF55" s="169">
        <f t="shared" si="2"/>
        <v>0.43735004170764719</v>
      </c>
      <c r="DG55" s="170">
        <f t="shared" si="2"/>
        <v>689294.51</v>
      </c>
      <c r="DH55" s="104">
        <f t="shared" si="65"/>
        <v>0</v>
      </c>
      <c r="DI55" s="255">
        <f t="shared" si="65"/>
        <v>44470</v>
      </c>
      <c r="DJ55" s="167">
        <f t="shared" si="64"/>
        <v>61.139426944963247</v>
      </c>
      <c r="DK55" s="168">
        <f t="shared" si="64"/>
        <v>5.2696263485878667</v>
      </c>
      <c r="DL55" s="168">
        <f t="shared" si="64"/>
        <v>2.5112062065003768</v>
      </c>
      <c r="DM55" s="168">
        <f t="shared" si="64"/>
        <v>5.8595840318478087</v>
      </c>
      <c r="DN55" s="168">
        <f t="shared" si="64"/>
        <v>30.455494647370532</v>
      </c>
      <c r="DO55" s="168">
        <f t="shared" si="64"/>
        <v>7.780832555088244</v>
      </c>
      <c r="DP55" s="169">
        <f t="shared" si="64"/>
        <v>0.47654350429861497</v>
      </c>
      <c r="DQ55" s="170">
        <f t="shared" si="64"/>
        <v>1475959.6300000001</v>
      </c>
    </row>
    <row r="56" spans="1:121" ht="19" customHeight="1" x14ac:dyDescent="0.35">
      <c r="A56" s="166">
        <f>BSP!A56</f>
        <v>44501</v>
      </c>
      <c r="B56" s="167">
        <f>IFERROR((BSP!B56*BSP!I56+BSL!B56*BSL!I56+DSP!B56*DSP!I56+RSP!B56*RSP!I56+ISP!B56*ISP!I56)/(BSP!I56+BSL!I56+DSP!I56+RSP!I56+ISP!I56),)</f>
        <v>62.79</v>
      </c>
      <c r="C56" s="168">
        <f>IFERROR((BSP!C56*BSP!I56+BSL!C56*BSL!I56+DSP!C56*DSP!I56+RSP!C56*RSP!I56+ISP!C56*ISP!I56)/(BSP!I56+BSL!I56+DSP!I56+RSP!I56+ISP!I56),)</f>
        <v>2.79</v>
      </c>
      <c r="D56" s="168">
        <f>IFERROR((BSP!D56*BSP!I56+BSL!D56*BSL!I56+DSP!D56*DSP!I56+RSP!D56*RSP!I56+ISP!D56*ISP!I56)/(BSP!I56+BSL!I56+DSP!I56+RSP!I56+ISP!I56),)</f>
        <v>2.42</v>
      </c>
      <c r="E56" s="168">
        <f>IFERROR((BSP!E56*BSP!I56+BSL!E56*BSL!I56+DSP!E56*DSP!I56+RSP!E56*RSP!I56+ISP!E56*ISP!I56)/(IF(BSP!F56&gt;0,BSP!I56,0)+IF(BSL!F56&gt;0,BSL!I56,0)+IF(DSP!F56&gt;0,DSP!I56,0)+IF(RSP!F56&gt;0,RSP!I56,0)+IF(ISP!F56&gt;0,ISP!I56,0)),)</f>
        <v>5.83</v>
      </c>
      <c r="F56" s="168">
        <f>IFERROR((BSP!F56*BSP!I56+BSL!F56*BSL!I56+DSP!F56*DSP!I56+RSP!F56*RSP!I56+ISP!F56*ISP!I56)/(IF(BSP!F56&gt;0,BSP!I56,0)+IF(BSL!F56&gt;0,BSL!I56,0)+IF(DSP!F56&gt;0,DSP!I56,0)+IF(RSP!F56&gt;0,RSP!I56,0)+IF(ISP!F56&gt;0,ISP!I56,0)),)</f>
        <v>14.580000000000002</v>
      </c>
      <c r="G56" s="168">
        <f t="shared" si="68"/>
        <v>5.21</v>
      </c>
      <c r="H56" s="169">
        <f t="shared" si="69"/>
        <v>0.86738351254480284</v>
      </c>
      <c r="I56" s="170">
        <f>(BSP!I56+BSL!I56+DSP!I56+RSP!I56+ISP!I56)</f>
        <v>37197.300000000003</v>
      </c>
      <c r="J56" s="119"/>
      <c r="K56" s="166">
        <f>BSP!K56</f>
        <v>44501</v>
      </c>
      <c r="L56" s="167">
        <f>IFERROR((BSP!L56*BSP!S56+BSL!L56*BSL!S56+DSP!L56*DSP!S56+RSP!L56*RSP!S56+ISP!L56*ISP!S56)/(BSP!S56+BSL!S56+DSP!S56+RSP!S56+ISP!S56),)</f>
        <v>62.52000000000001</v>
      </c>
      <c r="M56" s="168">
        <f>IFERROR((BSP!M56*BSP!S56+BSL!M56*BSL!S56+DSP!M56*DSP!S56+RSP!M56*RSP!S56+ISP!M56*ISP!S56)/(BSP!S56+BSL!S56+DSP!S56+RSP!S56+ISP!S56),)</f>
        <v>3.09</v>
      </c>
      <c r="N56" s="168">
        <f>IFERROR((BSP!N56*BSP!S56+BSL!N56*BSL!S56+DSP!N56*DSP!S56+RSP!N56*RSP!S56+ISP!N56*ISP!S56)/(BSP!S56+BSL!S56+DSP!S56+RSP!S56+ISP!S56),)</f>
        <v>2.35</v>
      </c>
      <c r="O56" s="168">
        <f>IFERROR((BSP!O56*BSP!S56+BSL!O56*BSL!S56+DSP!O56*DSP!S56+RSP!O56*RSP!S56+ISP!O56*ISP!S56)/(IF(BSP!P56&gt;0,BSP!S56,0)+IF(BSL!P56&gt;0,BSL!S56,0)+IF(DSP!P56&gt;0,DSP!S56,0)+IF(RSP!P56&gt;0,RSP!S56,0)+IF(ISP!P56&gt;0,ISP!S56,0)),)</f>
        <v>0</v>
      </c>
      <c r="P56" s="168">
        <f>IFERROR((BSP!P56*BSP!S56+BSL!P56*BSL!S56+DSP!P56*DSP!S56+RSP!P56*RSP!S56+ISP!P56*ISP!S56)/(IF(BSP!P56&gt;0,BSP!S56,0)+IF(BSL!P56&gt;0,BSL!S56,0)+IF(DSP!P56&gt;0,DSP!S56,0)+IF(RSP!P56&gt;0,RSP!S56,0)+IF(ISP!P56&gt;0,ISP!S56,0)),)</f>
        <v>0</v>
      </c>
      <c r="Q56" s="168">
        <f t="shared" si="70"/>
        <v>5.4399999999999995</v>
      </c>
      <c r="R56" s="169">
        <f t="shared" si="71"/>
        <v>0.76051779935275088</v>
      </c>
      <c r="S56" s="170">
        <f>(BSP!S56+BSL!S56+DSP!S56+RSP!S56+ISP!S56)</f>
        <v>81590.399999999994</v>
      </c>
      <c r="U56" s="166">
        <f>BSP!U56</f>
        <v>44501</v>
      </c>
      <c r="V56" s="167">
        <f>IFERROR((BSP!V56*BSP!AC56+BSL!V56*BSL!AC56+DSP!V56*DSP!AC56+RSP!V56*RSP!AC56+ISP!V56*ISP!AC56)/(BSP!AC56+BSL!AC56+DSP!AC56+RSP!AC56+ISP!AC56),)</f>
        <v>0</v>
      </c>
      <c r="W56" s="168">
        <f>IFERROR((BSP!W56*BSP!AC56+BSL!W56*BSL!AC56+DSP!W56*DSP!AC56+RSP!W56*RSP!AC56+ISP!W56*ISP!AC56)/(BSP!AC56+BSL!AC56+DSP!AC56+RSP!AC56+ISP!AC56),)</f>
        <v>0</v>
      </c>
      <c r="X56" s="168">
        <f>IFERROR((BSP!X56*BSP!AC56+BSL!X56*BSL!AC56+DSP!X56*DSP!AC56+RSP!X56*RSP!AC56+ISP!X56*ISP!AC56)/(BSP!AC56+BSL!AC56+DSP!AC56+RSP!AC56+ISP!AC56),)</f>
        <v>0</v>
      </c>
      <c r="Y56" s="168">
        <f>IFERROR((BSP!Y56*BSP!AC56+BSL!Y56*BSL!AC56+DSP!Y56*DSP!AC56+RSP!Y56*RSP!AC56+ISP!Y56*ISP!AC56)/(IF(BSP!Z56&gt;0,BSP!AC56,0)+IF(BSL!Z56&gt;0,BSL!AC56,0)+IF(DSP!Z56&gt;0,DSP!AC56,0)+IF(RSP!Z56&gt;0,RSP!AC56,0)+IF(ISP!Z56&gt;0,ISP!AC56,0)),)</f>
        <v>0</v>
      </c>
      <c r="Z56" s="168">
        <f>IFERROR((BSP!Z56*BSP!AC56+BSL!Z56*BSL!AC56+DSP!Z56*DSP!AC56+RSP!Z56*RSP!AC56+ISP!Z56*ISP!AC56)/(IF(BSP!Z56&gt;0,BSP!AC56,0)+IF(BSL!Z56&gt;0,BSL!AC56,0)+IF(DSP!Z56&gt;0,DSP!AC56,0)+IF(RSP!Z56&gt;0,RSP!AC56,0)+IF(ISP!Z56&gt;0,ISP!AC56,0)),)</f>
        <v>0</v>
      </c>
      <c r="AA56" s="168">
        <f t="shared" si="72"/>
        <v>0</v>
      </c>
      <c r="AB56" s="169" t="str">
        <f t="shared" si="73"/>
        <v/>
      </c>
      <c r="AC56" s="170">
        <f>(BSP!AC56+BSL!AC56+DSP!AC56+RSP!AC56+ISP!AC56)</f>
        <v>0</v>
      </c>
      <c r="AD56" s="119"/>
      <c r="AE56" s="166">
        <f>BSP!AE56</f>
        <v>44501</v>
      </c>
      <c r="AF56" s="167">
        <f>IFERROR((BSP!AF56*BSP!AM56+BSL!AF56*BSL!AM56+DSP!AF56*DSP!AM56+RSP!AF56*RSP!AM56+ISP!AF56*ISP!AM56)/(BSP!AM56+BSL!AM56+DSP!AM56+RSP!AM56+ISP!AM56),)</f>
        <v>0</v>
      </c>
      <c r="AG56" s="168">
        <f>IFERROR((BSP!AG56*BSP!AM56+BSL!AG56*BSL!AM56+DSP!AG56*DSP!AM56+RSP!AG56*RSP!AM56+ISP!AG56*ISP!AM56)/(BSP!AM56+BSL!AM56+DSP!AM56+RSP!AM56+ISP!AM56),)</f>
        <v>0</v>
      </c>
      <c r="AH56" s="168">
        <f>IFERROR((BSP!AH56*BSP!AM56+BSL!AH56*BSL!AM56+DSP!AH56*DSP!AM56+RSP!AH56*RSP!AM56+ISP!AH56*ISP!AM56)/(BSP!AM56+BSL!AM56+DSP!AM56+RSP!AM56+ISP!AM56),)</f>
        <v>0</v>
      </c>
      <c r="AI56" s="168">
        <f>IFERROR((BSP!AI56*BSP!AM56+BSL!AI56*BSL!AM56+DSP!AI56*DSP!AM56+RSP!AI56*RSP!AM56+ISP!AI56*ISP!AM56)/(IF(BSP!AJ56&gt;0,BSP!AM56,0)+IF(BSL!AJ56&gt;0,BSL!AM56,0)+IF(DSP!AJ56&gt;0,DSP!AM56,0)+IF(RSP!AJ56&gt;0,RSP!AM56,0)+IF(ISP!AJ56&gt;0,ISP!AM56,0)),)</f>
        <v>0</v>
      </c>
      <c r="AJ56" s="168">
        <f>IFERROR((BSP!AJ56*BSP!AM56+BSL!AJ56*BSL!AM56+DSP!AJ56*DSP!AM56+RSP!AJ56*RSP!AM56+ISP!AJ56*ISP!AM56)/(IF(BSP!AJ56&gt;0,BSP!AM56,0)+IF(BSL!AJ56&gt;0,BSL!AM56,0)+IF(DSP!AJ56&gt;0,DSP!AM56,0)+IF(RSP!AJ56&gt;0,RSP!AM56,0)+IF(ISP!AJ56&gt;0,ISP!AM56,0)),)</f>
        <v>0</v>
      </c>
      <c r="AK56" s="168">
        <f t="shared" si="74"/>
        <v>0</v>
      </c>
      <c r="AL56" s="169" t="str">
        <f t="shared" si="75"/>
        <v/>
      </c>
      <c r="AM56" s="170">
        <f>(BSP!AM56+BSL!AM56+DSP!AM56+RSP!AM56+ISP!AM56)</f>
        <v>0</v>
      </c>
      <c r="AO56" s="172">
        <f t="shared" si="76"/>
        <v>44501</v>
      </c>
      <c r="AP56" s="167">
        <f>IFERROR((BSP!AP56*BSP!AW56+BSL!AP56*BSL!AW56+DSP!AP56*DSP!AW56+RSP!AP56*RSP!AW56+ISP!AP56*ISP!AW56)/(BSP!AW56+BSL!AW56+DSP!AW56+RSP!AW56+ISP!AW56),)</f>
        <v>61.941954483581881</v>
      </c>
      <c r="AQ56" s="168">
        <f>IFERROR((BSP!AQ56*BSP!AW56+BSL!AQ56*BSL!AW56+DSP!AQ56*DSP!AW56+RSP!AQ56*RSP!AW56+ISP!AQ56*ISP!AW56)/(BSP!AW56+BSL!AW56+DSP!AW56+RSP!AW56+ISP!AW56),)</f>
        <v>4.0035334962739171</v>
      </c>
      <c r="AR56" s="168">
        <f>IFERROR((BSP!AR56*BSP!AW56+BSL!AR56*BSL!AW56+DSP!AR56*DSP!AW56+RSP!AR56*RSP!AW56+ISP!AR56*ISP!AW56)/(BSP!AW56+BSL!AW56+DSP!AW56+RSP!AW56+ISP!AW56),)</f>
        <v>2.2974442808537163</v>
      </c>
      <c r="AS56" s="168">
        <f>IFERROR((BSP!AS56*BSP!AW56+BSL!AS56*BSL!AW56+DSP!AS56*DSP!AW56+RSP!AS56*RSP!AW56+ISP!AS56*ISP!AW56)/(BSP!AW56+BSL!AW56+DSP!AW56+RSP!AW56+ISP!AW56),)</f>
        <v>15.505897396942936</v>
      </c>
      <c r="AT56" s="168">
        <f>IFERROR((BSP!AT56*BSP!AW56+BSL!AT56*BSL!AW56+DSP!AT56*DSP!AW56+RSP!AT56*RSP!AW56+ISP!AT56*ISP!AW56)/(BSP!AW56+BSL!AW56+DSP!AW56+RSP!AW56+ISP!AW56),)</f>
        <v>18.093414181738364</v>
      </c>
      <c r="AU56" s="168">
        <f t="shared" si="66"/>
        <v>6.300977777127633</v>
      </c>
      <c r="AV56" s="169">
        <f t="shared" si="79"/>
        <v>0.5738541423449921</v>
      </c>
      <c r="AW56" s="170">
        <f>(BSP!AW56+BSL!AW56+DSP!AW56+RSP!AW56+ISP!AW56)</f>
        <v>710954.45000000019</v>
      </c>
      <c r="AY56" s="172">
        <f t="shared" si="80"/>
        <v>44501</v>
      </c>
      <c r="AZ56" s="167">
        <f>IFERROR((BSP!AZ56*BSP!BG56+BSL!AZ56*BSL!BG56+DSP!AZ56*DSP!BG56+RSP!AZ56*RSP!BG56+ISP!AZ56*ISP!BG56)/(BSP!BG56+BSL!BG56+DSP!BG56+RSP!BG56+ISP!BG56),)</f>
        <v>61.321600718557626</v>
      </c>
      <c r="BA56" s="168">
        <f>IFERROR((BSP!BA56*BSP!BG56+BSL!BA56*BSL!BG56+DSP!BA56*DSP!BG56+RSP!BA56*RSP!BG56+ISP!BA56*ISP!BG56)/(BSP!BG56+BSL!BG56+DSP!BG56+RSP!BG56+ISP!BG56),)</f>
        <v>4.8878762172764212</v>
      </c>
      <c r="BB56" s="168">
        <f>IFERROR((BSP!BB56*BSP!BG56+BSL!BB56*BSL!BG56+DSP!BB56*DSP!BG56+RSP!BB56*RSP!BG56+ISP!BB56*ISP!BG56)/(BSP!BG56+BSL!BG56+DSP!BG56+RSP!BG56+ISP!BG56),)</f>
        <v>2.6055967721468098</v>
      </c>
      <c r="BC56" s="168">
        <f>IFERROR((BSP!BC56*BSP!BG56+BSL!BC56*BSL!BG56+DSP!BC56*DSP!BG56+RSP!BC56*RSP!BG56+ISP!BC56*ISP!BG56)/(BSP!BG56+BSL!BG56+DSP!BG56+RSP!BG56+ISP!BG56),)</f>
        <v>4.5504923461243605</v>
      </c>
      <c r="BD56" s="168">
        <f>IFERROR((BSP!BD56*BSP!BG56+BSL!BD56*BSL!BG56+DSP!BD56*DSP!BG56+RSP!BD56*RSP!BG56+ISP!BD56*ISP!BG56)/(BSP!BG56+BSL!BG56+DSP!BG56+RSP!BG56+ISP!BG56),)</f>
        <v>27.003989167285606</v>
      </c>
      <c r="BE56" s="168">
        <f t="shared" si="67"/>
        <v>7.493472989423231</v>
      </c>
      <c r="BF56" s="169">
        <f t="shared" si="81"/>
        <v>0.53307339554492184</v>
      </c>
      <c r="BG56" s="170">
        <f>(BSP!BG56+BSL!BG56+DSP!BG56+RSP!BG56+ISP!BG56)</f>
        <v>1438086.47</v>
      </c>
      <c r="CD56" s="104">
        <f t="shared" si="77"/>
        <v>0</v>
      </c>
      <c r="CE56" s="178">
        <f t="shared" si="77"/>
        <v>44501</v>
      </c>
      <c r="CF56" s="179">
        <f t="shared" si="77"/>
        <v>0</v>
      </c>
      <c r="CG56" s="180">
        <f t="shared" si="77"/>
        <v>0</v>
      </c>
      <c r="CH56" s="180">
        <f t="shared" si="77"/>
        <v>0</v>
      </c>
      <c r="CI56" s="180">
        <f t="shared" si="77"/>
        <v>0</v>
      </c>
      <c r="CJ56" s="180">
        <f t="shared" si="77"/>
        <v>0</v>
      </c>
      <c r="CK56" s="180">
        <f t="shared" si="77"/>
        <v>0</v>
      </c>
      <c r="CL56" s="181" t="str">
        <f t="shared" si="77"/>
        <v/>
      </c>
      <c r="CM56" s="182">
        <f t="shared" si="77"/>
        <v>0</v>
      </c>
      <c r="CN56" s="109">
        <f t="shared" si="77"/>
        <v>0</v>
      </c>
      <c r="CO56" s="178">
        <f t="shared" si="77"/>
        <v>44501</v>
      </c>
      <c r="CP56" s="179">
        <f t="shared" si="77"/>
        <v>0</v>
      </c>
      <c r="CQ56" s="180">
        <f t="shared" si="77"/>
        <v>0</v>
      </c>
      <c r="CR56" s="180">
        <f t="shared" si="77"/>
        <v>0</v>
      </c>
      <c r="CS56" s="180">
        <f t="shared" si="77"/>
        <v>0</v>
      </c>
      <c r="CT56" s="180">
        <f t="shared" si="78"/>
        <v>0</v>
      </c>
      <c r="CU56" s="180">
        <f t="shared" si="78"/>
        <v>0</v>
      </c>
      <c r="CV56" s="181" t="str">
        <f t="shared" si="78"/>
        <v/>
      </c>
      <c r="CW56" s="182">
        <f t="shared" si="78"/>
        <v>0</v>
      </c>
      <c r="CX56" s="104">
        <f t="shared" si="2"/>
        <v>0</v>
      </c>
      <c r="CY56" s="255">
        <f t="shared" si="2"/>
        <v>44501</v>
      </c>
      <c r="CZ56" s="167">
        <f t="shared" si="2"/>
        <v>61.941954483581881</v>
      </c>
      <c r="DA56" s="168">
        <f t="shared" si="2"/>
        <v>4.0035334962739171</v>
      </c>
      <c r="DB56" s="168">
        <f t="shared" si="2"/>
        <v>2.2974442808537163</v>
      </c>
      <c r="DC56" s="168">
        <f t="shared" si="2"/>
        <v>15.505897396942936</v>
      </c>
      <c r="DD56" s="168">
        <f t="shared" si="2"/>
        <v>18.093414181738364</v>
      </c>
      <c r="DE56" s="168">
        <f t="shared" si="2"/>
        <v>6.300977777127633</v>
      </c>
      <c r="DF56" s="169">
        <f t="shared" si="2"/>
        <v>0.5738541423449921</v>
      </c>
      <c r="DG56" s="170">
        <f t="shared" si="2"/>
        <v>710954.45000000019</v>
      </c>
      <c r="DH56" s="104">
        <f t="shared" si="65"/>
        <v>0</v>
      </c>
      <c r="DI56" s="255">
        <f t="shared" si="65"/>
        <v>44501</v>
      </c>
      <c r="DJ56" s="167">
        <f t="shared" si="64"/>
        <v>61.321600718557626</v>
      </c>
      <c r="DK56" s="168">
        <f t="shared" si="64"/>
        <v>4.8878762172764212</v>
      </c>
      <c r="DL56" s="168">
        <f t="shared" si="64"/>
        <v>2.6055967721468098</v>
      </c>
      <c r="DM56" s="168">
        <f t="shared" si="64"/>
        <v>4.5504923461243605</v>
      </c>
      <c r="DN56" s="168">
        <f t="shared" si="64"/>
        <v>27.003989167285606</v>
      </c>
      <c r="DO56" s="168">
        <f t="shared" si="64"/>
        <v>7.493472989423231</v>
      </c>
      <c r="DP56" s="169">
        <f t="shared" si="64"/>
        <v>0.53307339554492184</v>
      </c>
      <c r="DQ56" s="170">
        <f t="shared" si="64"/>
        <v>1438086.47</v>
      </c>
    </row>
    <row r="57" spans="1:121" ht="19" customHeight="1" x14ac:dyDescent="0.35">
      <c r="A57" s="166">
        <f>BSP!A57</f>
        <v>44531</v>
      </c>
      <c r="B57" s="167">
        <f>IFERROR((BSP!B57*BSP!I57+BSL!B57*BSL!I57+DSP!B57*DSP!I57+RSP!B57*RSP!I57+ISP!B57*ISP!I57)/(BSP!I57+BSL!I57+DSP!I57+RSP!I57+ISP!I57),)</f>
        <v>62.439999999999991</v>
      </c>
      <c r="C57" s="168">
        <f>IFERROR((BSP!C57*BSP!I57+BSL!C57*BSL!I57+DSP!C57*DSP!I57+RSP!C57*RSP!I57+ISP!C57*ISP!I57)/(BSP!I57+BSL!I57+DSP!I57+RSP!I57+ISP!I57),)</f>
        <v>3.2400000000000007</v>
      </c>
      <c r="D57" s="168">
        <f>IFERROR((BSP!D57*BSP!I57+BSL!D57*BSL!I57+DSP!D57*DSP!I57+RSP!D57*RSP!I57+ISP!D57*ISP!I57)/(BSP!I57+BSL!I57+DSP!I57+RSP!I57+ISP!I57),)</f>
        <v>2.66</v>
      </c>
      <c r="E57" s="168">
        <f>IFERROR((BSP!E57*BSP!I57+BSL!E57*BSL!I57+DSP!E57*DSP!I57+RSP!E57*RSP!I57+ISP!E57*ISP!I57)/(IF(BSP!F57&gt;0,BSP!I57,0)+IF(BSL!F57&gt;0,BSL!I57,0)+IF(DSP!F57&gt;0,DSP!I57,0)+IF(RSP!F57&gt;0,RSP!I57,0)+IF(ISP!F57&gt;0,ISP!I57,0)),)</f>
        <v>7.67</v>
      </c>
      <c r="F57" s="168">
        <f>IFERROR((BSP!F57*BSP!I57+BSL!F57*BSL!I57+DSP!F57*DSP!I57+RSP!F57*RSP!I57+ISP!F57*ISP!I57)/(IF(BSP!F57&gt;0,BSP!I57,0)+IF(BSL!F57&gt;0,BSL!I57,0)+IF(DSP!F57&gt;0,DSP!I57,0)+IF(RSP!F57&gt;0,RSP!I57,0)+IF(ISP!F57&gt;0,ISP!I57,0)),)</f>
        <v>14.580000000000002</v>
      </c>
      <c r="G57" s="168">
        <f t="shared" si="68"/>
        <v>5.9</v>
      </c>
      <c r="H57" s="169">
        <f t="shared" si="69"/>
        <v>0.82098765432098753</v>
      </c>
      <c r="I57" s="170">
        <f>(BSP!I57+BSL!I57+DSP!I57+RSP!I57+ISP!I57)</f>
        <v>25614.400000000001</v>
      </c>
      <c r="J57" s="119"/>
      <c r="K57" s="166">
        <f>BSP!K57</f>
        <v>44531</v>
      </c>
      <c r="L57" s="167">
        <f>IFERROR((BSP!L57*BSP!S57+BSL!L57*BSL!S57+DSP!L57*DSP!S57+RSP!L57*RSP!S57+ISP!L57*ISP!S57)/(BSP!S57+BSL!S57+DSP!S57+RSP!S57+ISP!S57),)</f>
        <v>62.55</v>
      </c>
      <c r="M57" s="168">
        <f>IFERROR((BSP!M57*BSP!S57+BSL!M57*BSL!S57+DSP!M57*DSP!S57+RSP!M57*RSP!S57+ISP!M57*ISP!S57)/(BSP!S57+BSL!S57+DSP!S57+RSP!S57+ISP!S57),)</f>
        <v>3.05</v>
      </c>
      <c r="N57" s="168">
        <f>IFERROR((BSP!N57*BSP!S57+BSL!N57*BSL!S57+DSP!N57*DSP!S57+RSP!N57*RSP!S57+ISP!N57*ISP!S57)/(BSP!S57+BSL!S57+DSP!S57+RSP!S57+ISP!S57),)</f>
        <v>2.36</v>
      </c>
      <c r="O57" s="168">
        <f>IFERROR((BSP!O57*BSP!S57+BSL!O57*BSL!S57+DSP!O57*DSP!S57+RSP!O57*RSP!S57+ISP!O57*ISP!S57)/(IF(BSP!P57&gt;0,BSP!S57,0)+IF(BSL!P57&gt;0,BSL!S57,0)+IF(DSP!P57&gt;0,DSP!S57,0)+IF(RSP!P57&gt;0,RSP!S57,0)+IF(ISP!P57&gt;0,ISP!S57,0)),)</f>
        <v>0</v>
      </c>
      <c r="P57" s="168">
        <f>IFERROR((BSP!P57*BSP!S57+BSL!P57*BSL!S57+DSP!P57*DSP!S57+RSP!P57*RSP!S57+ISP!P57*ISP!S57)/(IF(BSP!P57&gt;0,BSP!S57,0)+IF(BSL!P57&gt;0,BSL!S57,0)+IF(DSP!P57&gt;0,DSP!S57,0)+IF(RSP!P57&gt;0,RSP!S57,0)+IF(ISP!P57&gt;0,ISP!S57,0)),)</f>
        <v>0</v>
      </c>
      <c r="Q57" s="168">
        <f t="shared" si="70"/>
        <v>5.41</v>
      </c>
      <c r="R57" s="169">
        <f t="shared" si="71"/>
        <v>0.77377049180327873</v>
      </c>
      <c r="S57" s="170">
        <f>(BSP!S57+BSL!S57+DSP!S57+RSP!S57+ISP!S57)</f>
        <v>29324</v>
      </c>
      <c r="U57" s="166">
        <f>BSP!U57</f>
        <v>44531</v>
      </c>
      <c r="V57" s="167">
        <f>IFERROR((BSP!V57*BSP!AC57+BSL!V57*BSL!AC57+DSP!V57*DSP!AC57+RSP!V57*RSP!AC57+ISP!V57*ISP!AC57)/(BSP!AC57+BSL!AC57+DSP!AC57+RSP!AC57+ISP!AC57),)</f>
        <v>63.2</v>
      </c>
      <c r="W57" s="168">
        <f>IFERROR((BSP!W57*BSP!AC57+BSL!W57*BSL!AC57+DSP!W57*DSP!AC57+RSP!W57*RSP!AC57+ISP!W57*ISP!AC57)/(BSP!AC57+BSL!AC57+DSP!AC57+RSP!AC57+ISP!AC57),)</f>
        <v>2.76</v>
      </c>
      <c r="X57" s="168">
        <f>IFERROR((BSP!X57*BSP!AC57+BSL!X57*BSL!AC57+DSP!X57*DSP!AC57+RSP!X57*RSP!AC57+ISP!X57*ISP!AC57)/(BSP!AC57+BSL!AC57+DSP!AC57+RSP!AC57+ISP!AC57),)</f>
        <v>2.27</v>
      </c>
      <c r="Y57" s="168">
        <f>IFERROR((BSP!Y57*BSP!AC57+BSL!Y57*BSL!AC57+DSP!Y57*DSP!AC57+RSP!Y57*RSP!AC57+ISP!Y57*ISP!AC57)/(IF(BSP!Z57&gt;0,BSP!AC57,0)+IF(BSL!Z57&gt;0,BSL!AC57,0)+IF(DSP!Z57&gt;0,DSP!AC57,0)+IF(RSP!Z57&gt;0,RSP!AC57,0)+IF(ISP!Z57&gt;0,ISP!AC57,0)),)</f>
        <v>0</v>
      </c>
      <c r="Z57" s="168">
        <f>IFERROR((BSP!Z57*BSP!AC57+BSL!Z57*BSL!AC57+DSP!Z57*DSP!AC57+RSP!Z57*RSP!AC57+ISP!Z57*ISP!AC57)/(IF(BSP!Z57&gt;0,BSP!AC57,0)+IF(BSL!Z57&gt;0,BSL!AC57,0)+IF(DSP!Z57&gt;0,DSP!AC57,0)+IF(RSP!Z57&gt;0,RSP!AC57,0)+IF(ISP!Z57&gt;0,ISP!AC57,0)),)</f>
        <v>0</v>
      </c>
      <c r="AA57" s="168">
        <f t="shared" si="72"/>
        <v>5.0299999999999994</v>
      </c>
      <c r="AB57" s="169">
        <f t="shared" si="73"/>
        <v>0.82246376811594213</v>
      </c>
      <c r="AC57" s="170">
        <f>(BSP!AC57+BSL!AC57+DSP!AC57+RSP!AC57+ISP!AC57)</f>
        <v>7206</v>
      </c>
      <c r="AD57" s="119"/>
      <c r="AE57" s="166">
        <f>BSP!AE57</f>
        <v>44531</v>
      </c>
      <c r="AF57" s="167">
        <f>IFERROR((BSP!AF57*BSP!AM57+BSL!AF57*BSL!AM57+DSP!AF57*DSP!AM57+RSP!AF57*RSP!AM57+ISP!AF57*ISP!AM57)/(BSP!AM57+BSL!AM57+DSP!AM57+RSP!AM57+ISP!AM57),)</f>
        <v>63.15</v>
      </c>
      <c r="AG57" s="168">
        <f>IFERROR((BSP!AG57*BSP!AM57+BSL!AG57*BSL!AM57+DSP!AG57*DSP!AM57+RSP!AG57*RSP!AM57+ISP!AG57*ISP!AM57)/(BSP!AM57+BSL!AM57+DSP!AM57+RSP!AM57+ISP!AM57),)</f>
        <v>2.84</v>
      </c>
      <c r="AH57" s="168">
        <f>IFERROR((BSP!AH57*BSP!AM57+BSL!AH57*BSL!AM57+DSP!AH57*DSP!AM57+RSP!AH57*RSP!AM57+ISP!AH57*ISP!AM57)/(BSP!AM57+BSL!AM57+DSP!AM57+RSP!AM57+ISP!AM57),)</f>
        <v>2.25</v>
      </c>
      <c r="AI57" s="168">
        <f>IFERROR((BSP!AI57*BSP!AM57+BSL!AI57*BSL!AM57+DSP!AI57*DSP!AM57+RSP!AI57*RSP!AM57+ISP!AI57*ISP!AM57)/(IF(BSP!AJ57&gt;0,BSP!AM57,0)+IF(BSL!AJ57&gt;0,BSL!AM57,0)+IF(DSP!AJ57&gt;0,DSP!AM57,0)+IF(RSP!AJ57&gt;0,RSP!AM57,0)+IF(ISP!AJ57&gt;0,ISP!AM57,0)),)</f>
        <v>0</v>
      </c>
      <c r="AJ57" s="168">
        <f>IFERROR((BSP!AJ57*BSP!AM57+BSL!AJ57*BSL!AM57+DSP!AJ57*DSP!AM57+RSP!AJ57*RSP!AM57+ISP!AJ57*ISP!AM57)/(IF(BSP!AJ57&gt;0,BSP!AM57,0)+IF(BSL!AJ57&gt;0,BSL!AM57,0)+IF(DSP!AJ57&gt;0,DSP!AM57,0)+IF(RSP!AJ57&gt;0,RSP!AM57,0)+IF(ISP!AJ57&gt;0,ISP!AM57,0)),)</f>
        <v>0</v>
      </c>
      <c r="AK57" s="168">
        <f t="shared" si="74"/>
        <v>5.09</v>
      </c>
      <c r="AL57" s="169">
        <f t="shared" si="75"/>
        <v>0.79225352112676062</v>
      </c>
      <c r="AM57" s="170">
        <f>(BSP!AM57+BSL!AM57+DSP!AM57+RSP!AM57+ISP!AM57)</f>
        <v>7228</v>
      </c>
      <c r="AO57" s="172">
        <f t="shared" si="76"/>
        <v>44531</v>
      </c>
      <c r="AP57" s="167">
        <f>IFERROR((BSP!AP57*BSP!AW57+BSL!AP57*BSL!AW57+DSP!AP57*DSP!AW57+RSP!AP57*RSP!AW57+ISP!AP57*ISP!AW57)/(BSP!AW57+BSL!AW57+DSP!AW57+RSP!AW57+ISP!AW57),)</f>
        <v>61.536415131679618</v>
      </c>
      <c r="AQ57" s="168">
        <f>IFERROR((BSP!AQ57*BSP!AW57+BSL!AQ57*BSL!AW57+DSP!AQ57*DSP!AW57+RSP!AQ57*RSP!AW57+ISP!AQ57*ISP!AW57)/(BSP!AW57+BSL!AW57+DSP!AW57+RSP!AW57+ISP!AW57),)</f>
        <v>4.5157645985192181</v>
      </c>
      <c r="AR57" s="168">
        <f>IFERROR((BSP!AR57*BSP!AW57+BSL!AR57*BSL!AW57+DSP!AR57*DSP!AW57+RSP!AR57*RSP!AW57+ISP!AR57*ISP!AW57)/(BSP!AW57+BSL!AW57+DSP!AW57+RSP!AW57+ISP!AW57),)</f>
        <v>2.341559804005759</v>
      </c>
      <c r="AS57" s="168">
        <f>IFERROR((BSP!AS57*BSP!AW57+BSL!AS57*BSL!AW57+DSP!AS57*DSP!AW57+RSP!AS57*RSP!AW57+ISP!AS57*ISP!AW57)/(BSP!AW57+BSL!AW57+DSP!AW57+RSP!AW57+ISP!AW57),)</f>
        <v>19.06665355917184</v>
      </c>
      <c r="AT57" s="168">
        <f>IFERROR((BSP!AT57*BSP!AW57+BSL!AT57*BSL!AW57+DSP!AT57*DSP!AW57+RSP!AT57*RSP!AW57+ISP!AT57*ISP!AW57)/(BSP!AW57+BSL!AW57+DSP!AW57+RSP!AW57+ISP!AW57),)</f>
        <v>18.004967269118374</v>
      </c>
      <c r="AU57" s="168">
        <f t="shared" si="66"/>
        <v>6.8573244025249771</v>
      </c>
      <c r="AV57" s="169">
        <f t="shared" si="79"/>
        <v>0.51853008564121983</v>
      </c>
      <c r="AW57" s="170">
        <f>(BSP!AW57+BSL!AW57+DSP!AW57+RSP!AW57+ISP!AW57)</f>
        <v>715000.6</v>
      </c>
      <c r="AY57" s="172">
        <f t="shared" si="80"/>
        <v>44531</v>
      </c>
      <c r="AZ57" s="167">
        <f>IFERROR((BSP!AZ57*BSP!BG57+BSL!AZ57*BSL!BG57+DSP!AZ57*DSP!BG57+RSP!AZ57*RSP!BG57+ISP!AZ57*ISP!BG57)/(BSP!BG57+BSL!BG57+DSP!BG57+RSP!BG57+ISP!BG57),)</f>
        <v>60.912427188988261</v>
      </c>
      <c r="BA57" s="168">
        <f>IFERROR((BSP!BA57*BSP!BG57+BSL!BA57*BSL!BG57+DSP!BA57*DSP!BG57+RSP!BA57*RSP!BG57+ISP!BA57*ISP!BG57)/(BSP!BG57+BSL!BG57+DSP!BG57+RSP!BG57+ISP!BG57),)</f>
        <v>5.5342153713872815</v>
      </c>
      <c r="BB57" s="168">
        <f>IFERROR((BSP!BB57*BSP!BG57+BSL!BB57*BSL!BG57+DSP!BB57*DSP!BG57+RSP!BB57*RSP!BG57+ISP!BB57*ISP!BG57)/(BSP!BG57+BSL!BG57+DSP!BG57+RSP!BG57+ISP!BG57),)</f>
        <v>2.5626780789737236</v>
      </c>
      <c r="BC57" s="168">
        <f>IFERROR((BSP!BC57*BSP!BG57+BSL!BC57*BSL!BG57+DSP!BC57*DSP!BG57+RSP!BC57*RSP!BG57+ISP!BC57*ISP!BG57)/(BSP!BG57+BSL!BG57+DSP!BG57+RSP!BG57+ISP!BG57),)</f>
        <v>5.0860036440223757</v>
      </c>
      <c r="BD57" s="168">
        <f>IFERROR((BSP!BD57*BSP!BG57+BSL!BD57*BSL!BG57+DSP!BD57*DSP!BG57+RSP!BD57*RSP!BG57+ISP!BD57*ISP!BG57)/(BSP!BG57+BSL!BG57+DSP!BG57+RSP!BG57+ISP!BG57),)</f>
        <v>27.521941626348248</v>
      </c>
      <c r="BE57" s="168">
        <f t="shared" si="67"/>
        <v>8.0968934503610051</v>
      </c>
      <c r="BF57" s="169">
        <f t="shared" si="81"/>
        <v>0.46306077862873773</v>
      </c>
      <c r="BG57" s="170">
        <f>(BSP!BG57+BSL!BG57+DSP!BG57+RSP!BG57+ISP!BG57)</f>
        <v>1478344.3800000001</v>
      </c>
      <c r="CD57" s="104">
        <f t="shared" si="77"/>
        <v>0</v>
      </c>
      <c r="CE57" s="178">
        <f t="shared" si="77"/>
        <v>44531</v>
      </c>
      <c r="CF57" s="179">
        <f t="shared" si="77"/>
        <v>63.2</v>
      </c>
      <c r="CG57" s="180">
        <f t="shared" si="77"/>
        <v>2.76</v>
      </c>
      <c r="CH57" s="180">
        <f t="shared" si="77"/>
        <v>2.27</v>
      </c>
      <c r="CI57" s="180">
        <f t="shared" si="77"/>
        <v>0</v>
      </c>
      <c r="CJ57" s="180">
        <f t="shared" si="77"/>
        <v>0</v>
      </c>
      <c r="CK57" s="180">
        <f t="shared" si="77"/>
        <v>5.0299999999999994</v>
      </c>
      <c r="CL57" s="181">
        <f t="shared" si="77"/>
        <v>0.82246376811594213</v>
      </c>
      <c r="CM57" s="182">
        <f t="shared" si="77"/>
        <v>7206</v>
      </c>
      <c r="CN57" s="109">
        <f t="shared" si="77"/>
        <v>0</v>
      </c>
      <c r="CO57" s="178">
        <f t="shared" si="77"/>
        <v>44531</v>
      </c>
      <c r="CP57" s="179">
        <f t="shared" si="77"/>
        <v>63.15</v>
      </c>
      <c r="CQ57" s="180">
        <f t="shared" si="77"/>
        <v>2.84</v>
      </c>
      <c r="CR57" s="180">
        <f t="shared" si="77"/>
        <v>2.25</v>
      </c>
      <c r="CS57" s="180">
        <f t="shared" si="77"/>
        <v>0</v>
      </c>
      <c r="CT57" s="180">
        <f t="shared" si="78"/>
        <v>0</v>
      </c>
      <c r="CU57" s="180">
        <f t="shared" si="78"/>
        <v>5.09</v>
      </c>
      <c r="CV57" s="181">
        <f t="shared" si="78"/>
        <v>0.79225352112676062</v>
      </c>
      <c r="CW57" s="182">
        <f t="shared" si="78"/>
        <v>7228</v>
      </c>
      <c r="CX57" s="104">
        <f t="shared" si="2"/>
        <v>0</v>
      </c>
      <c r="CY57" s="255">
        <f t="shared" si="2"/>
        <v>44531</v>
      </c>
      <c r="CZ57" s="167">
        <f t="shared" si="2"/>
        <v>61.536415131679618</v>
      </c>
      <c r="DA57" s="168">
        <f t="shared" si="2"/>
        <v>4.5157645985192181</v>
      </c>
      <c r="DB57" s="168">
        <f t="shared" si="2"/>
        <v>2.341559804005759</v>
      </c>
      <c r="DC57" s="168">
        <f t="shared" si="2"/>
        <v>19.06665355917184</v>
      </c>
      <c r="DD57" s="168">
        <f t="shared" si="2"/>
        <v>18.004967269118374</v>
      </c>
      <c r="DE57" s="168">
        <f t="shared" si="2"/>
        <v>6.8573244025249771</v>
      </c>
      <c r="DF57" s="169">
        <f t="shared" si="2"/>
        <v>0.51853008564121983</v>
      </c>
      <c r="DG57" s="170">
        <f t="shared" si="2"/>
        <v>715000.6</v>
      </c>
      <c r="DH57" s="104">
        <f t="shared" si="65"/>
        <v>0</v>
      </c>
      <c r="DI57" s="255">
        <f t="shared" si="65"/>
        <v>44531</v>
      </c>
      <c r="DJ57" s="167">
        <f t="shared" si="64"/>
        <v>60.912427188988261</v>
      </c>
      <c r="DK57" s="168">
        <f t="shared" si="64"/>
        <v>5.5342153713872815</v>
      </c>
      <c r="DL57" s="168">
        <f t="shared" si="64"/>
        <v>2.5626780789737236</v>
      </c>
      <c r="DM57" s="168">
        <f t="shared" si="64"/>
        <v>5.0860036440223757</v>
      </c>
      <c r="DN57" s="168">
        <f t="shared" si="64"/>
        <v>27.521941626348248</v>
      </c>
      <c r="DO57" s="168">
        <f t="shared" si="64"/>
        <v>8.0968934503610051</v>
      </c>
      <c r="DP57" s="169">
        <f t="shared" si="64"/>
        <v>0.46306077862873773</v>
      </c>
      <c r="DQ57" s="170">
        <f t="shared" si="64"/>
        <v>1478344.3800000001</v>
      </c>
    </row>
    <row r="58" spans="1:121" ht="19" customHeight="1" x14ac:dyDescent="0.35">
      <c r="A58" s="166">
        <f>BSP!A58</f>
        <v>44562</v>
      </c>
      <c r="B58" s="167">
        <f>IFERROR((BSP!B58*BSP!I58+BSL!B58*BSL!I58+DSP!B58*DSP!I58+RSP!B58*RSP!I58+ISP!B58*ISP!I58)/(BSP!I58+BSL!I58+DSP!I58+RSP!I58+ISP!I58),)</f>
        <v>62.85</v>
      </c>
      <c r="C58" s="168">
        <f>IFERROR((BSP!C58*BSP!I58+BSL!C58*BSL!I58+DSP!C58*DSP!I58+RSP!C58*RSP!I58+ISP!C58*ISP!I58)/(BSP!I58+BSL!I58+DSP!I58+RSP!I58+ISP!I58),)</f>
        <v>2.63</v>
      </c>
      <c r="D58" s="168">
        <f>IFERROR((BSP!D58*BSP!I58+BSL!D58*BSL!I58+DSP!D58*DSP!I58+RSP!D58*RSP!I58+ISP!D58*ISP!I58)/(BSP!I58+BSL!I58+DSP!I58+RSP!I58+ISP!I58),)</f>
        <v>2.5499999999999998</v>
      </c>
      <c r="E58" s="168">
        <f>IFERROR((BSP!E58*BSP!I58+BSL!E58*BSL!I58+DSP!E58*DSP!I58+RSP!E58*RSP!I58+ISP!E58*ISP!I58)/(IF(BSP!F58&gt;0,BSP!I58,0)+IF(BSL!F58&gt;0,BSL!I58,0)+IF(DSP!F58&gt;0,DSP!I58,0)+IF(RSP!F58&gt;0,RSP!I58,0)+IF(ISP!F58&gt;0,ISP!I58,0)),)</f>
        <v>6.3299999999999992</v>
      </c>
      <c r="F58" s="168">
        <f>IFERROR((BSP!F58*BSP!I58+BSL!F58*BSL!I58+DSP!F58*DSP!I58+RSP!F58*RSP!I58+ISP!F58*ISP!I58)/(IF(BSP!F58&gt;0,BSP!I58,0)+IF(BSL!F58&gt;0,BSL!I58,0)+IF(DSP!F58&gt;0,DSP!I58,0)+IF(RSP!F58&gt;0,RSP!I58,0)+IF(ISP!F58&gt;0,ISP!I58,0)),)</f>
        <v>13</v>
      </c>
      <c r="G58" s="168">
        <f t="shared" si="68"/>
        <v>5.18</v>
      </c>
      <c r="H58" s="169">
        <f t="shared" si="69"/>
        <v>0.96958174904942962</v>
      </c>
      <c r="I58" s="170">
        <f>(BSP!I58+BSL!I58+DSP!I58+RSP!I58+ISP!I58)</f>
        <v>22142.9</v>
      </c>
      <c r="J58" s="119"/>
      <c r="K58" s="166">
        <f>BSP!K58</f>
        <v>44562</v>
      </c>
      <c r="L58" s="167">
        <f>IFERROR((BSP!L58*BSP!S58+BSL!L58*BSL!S58+DSP!L58*DSP!S58+RSP!L58*RSP!S58+ISP!L58*ISP!S58)/(BSP!S58+BSL!S58+DSP!S58+RSP!S58+ISP!S58),)</f>
        <v>62.48</v>
      </c>
      <c r="M58" s="168">
        <f>IFERROR((BSP!M58*BSP!S58+BSL!M58*BSL!S58+DSP!M58*DSP!S58+RSP!M58*RSP!S58+ISP!M58*ISP!S58)/(BSP!S58+BSL!S58+DSP!S58+RSP!S58+ISP!S58),)</f>
        <v>3.0200000000000005</v>
      </c>
      <c r="N58" s="168">
        <f>IFERROR((BSP!N58*BSP!S58+BSL!N58*BSL!S58+DSP!N58*DSP!S58+RSP!N58*RSP!S58+ISP!N58*ISP!S58)/(BSP!S58+BSL!S58+DSP!S58+RSP!S58+ISP!S58),)</f>
        <v>2.48</v>
      </c>
      <c r="O58" s="168">
        <f>IFERROR((BSP!O58*BSP!S58+BSL!O58*BSL!S58+DSP!O58*DSP!S58+RSP!O58*RSP!S58+ISP!O58*ISP!S58)/(IF(BSP!P58&gt;0,BSP!S58,0)+IF(BSL!P58&gt;0,BSL!S58,0)+IF(DSP!P58&gt;0,DSP!S58,0)+IF(RSP!P58&gt;0,RSP!S58,0)+IF(ISP!P58&gt;0,ISP!S58,0)),)</f>
        <v>0</v>
      </c>
      <c r="P58" s="168">
        <f>IFERROR((BSP!P58*BSP!S58+BSL!P58*BSL!S58+DSP!P58*DSP!S58+RSP!P58*RSP!S58+ISP!P58*ISP!S58)/(IF(BSP!P58&gt;0,BSP!S58,0)+IF(BSL!P58&gt;0,BSL!S58,0)+IF(DSP!P58&gt;0,DSP!S58,0)+IF(RSP!P58&gt;0,RSP!S58,0)+IF(ISP!P58&gt;0,ISP!S58,0)),)</f>
        <v>0</v>
      </c>
      <c r="Q58" s="168">
        <f t="shared" si="70"/>
        <v>5.5</v>
      </c>
      <c r="R58" s="169">
        <f t="shared" si="71"/>
        <v>0.82119205298013231</v>
      </c>
      <c r="S58" s="170">
        <f>(BSP!S58+BSL!S58+DSP!S58+RSP!S58+ISP!S58)</f>
        <v>29603.599999999999</v>
      </c>
      <c r="U58" s="166">
        <f>BSP!U58</f>
        <v>44562</v>
      </c>
      <c r="V58" s="167">
        <f>IFERROR((BSP!V58*BSP!AC58+BSL!V58*BSL!AC58+DSP!V58*DSP!AC58+RSP!V58*RSP!AC58+ISP!V58*ISP!AC58)/(BSP!AC58+BSL!AC58+DSP!AC58+RSP!AC58+ISP!AC58),)</f>
        <v>63.41</v>
      </c>
      <c r="W58" s="168">
        <f>IFERROR((BSP!W58*BSP!AC58+BSL!W58*BSL!AC58+DSP!W58*DSP!AC58+RSP!W58*RSP!AC58+ISP!W58*ISP!AC58)/(BSP!AC58+BSL!AC58+DSP!AC58+RSP!AC58+ISP!AC58),)</f>
        <v>2.4300000000000002</v>
      </c>
      <c r="X58" s="168">
        <f>IFERROR((BSP!X58*BSP!AC58+BSL!X58*BSL!AC58+DSP!X58*DSP!AC58+RSP!X58*RSP!AC58+ISP!X58*ISP!AC58)/(BSP!AC58+BSL!AC58+DSP!AC58+RSP!AC58+ISP!AC58),)</f>
        <v>2.34</v>
      </c>
      <c r="Y58" s="168">
        <f>IFERROR((BSP!Y58*BSP!AC58+BSL!Y58*BSL!AC58+DSP!Y58*DSP!AC58+RSP!Y58*RSP!AC58+ISP!Y58*ISP!AC58)/(IF(BSP!Z58&gt;0,BSP!AC58,0)+IF(BSL!Z58&gt;0,BSL!AC58,0)+IF(DSP!Z58&gt;0,DSP!AC58,0)+IF(RSP!Z58&gt;0,RSP!AC58,0)+IF(ISP!Z58&gt;0,ISP!AC58,0)),)</f>
        <v>7.4</v>
      </c>
      <c r="Z58" s="168">
        <f>IFERROR((BSP!Z58*BSP!AC58+BSL!Z58*BSL!AC58+DSP!Z58*DSP!AC58+RSP!Z58*RSP!AC58+ISP!Z58*ISP!AC58)/(IF(BSP!Z58&gt;0,BSP!AC58,0)+IF(BSL!Z58&gt;0,BSL!AC58,0)+IF(DSP!Z58&gt;0,DSP!AC58,0)+IF(RSP!Z58&gt;0,RSP!AC58,0)+IF(ISP!Z58&gt;0,ISP!AC58,0)),)</f>
        <v>11.5</v>
      </c>
      <c r="AA58" s="168">
        <f t="shared" si="72"/>
        <v>4.7699999999999996</v>
      </c>
      <c r="AB58" s="169">
        <f t="shared" si="73"/>
        <v>0.9629629629629628</v>
      </c>
      <c r="AC58" s="170">
        <f>(BSP!AC58+BSL!AC58+DSP!AC58+RSP!AC58+ISP!AC58)</f>
        <v>3604</v>
      </c>
      <c r="AD58" s="119"/>
      <c r="AE58" s="166">
        <f>BSP!AE58</f>
        <v>44562</v>
      </c>
      <c r="AF58" s="167">
        <f>IFERROR((BSP!AF58*BSP!AM58+BSL!AF58*BSL!AM58+DSP!AF58*DSP!AM58+RSP!AF58*RSP!AM58+ISP!AF58*ISP!AM58)/(BSP!AM58+BSL!AM58+DSP!AM58+RSP!AM58+ISP!AM58),)</f>
        <v>63.05</v>
      </c>
      <c r="AG58" s="168">
        <f>IFERROR((BSP!AG58*BSP!AM58+BSL!AG58*BSL!AM58+DSP!AG58*DSP!AM58+RSP!AG58*RSP!AM58+ISP!AG58*ISP!AM58)/(BSP!AM58+BSL!AM58+DSP!AM58+RSP!AM58+ISP!AM58),)</f>
        <v>2.87</v>
      </c>
      <c r="AH58" s="168">
        <f>IFERROR((BSP!AH58*BSP!AM58+BSL!AH58*BSL!AM58+DSP!AH58*DSP!AM58+RSP!AH58*RSP!AM58+ISP!AH58*ISP!AM58)/(BSP!AM58+BSL!AM58+DSP!AM58+RSP!AM58+ISP!AM58),)</f>
        <v>2.36</v>
      </c>
      <c r="AI58" s="168">
        <f>IFERROR((BSP!AI58*BSP!AM58+BSL!AI58*BSL!AM58+DSP!AI58*DSP!AM58+RSP!AI58*RSP!AM58+ISP!AI58*ISP!AM58)/(IF(BSP!AJ58&gt;0,BSP!AM58,0)+IF(BSL!AJ58&gt;0,BSL!AM58,0)+IF(DSP!AJ58&gt;0,DSP!AM58,0)+IF(RSP!AJ58&gt;0,RSP!AM58,0)+IF(ISP!AJ58&gt;0,ISP!AM58,0)),)</f>
        <v>3.45</v>
      </c>
      <c r="AJ58" s="168">
        <f>IFERROR((BSP!AJ58*BSP!AM58+BSL!AJ58*BSL!AM58+DSP!AJ58*DSP!AM58+RSP!AJ58*RSP!AM58+ISP!AJ58*ISP!AM58)/(IF(BSP!AJ58&gt;0,BSP!AM58,0)+IF(BSL!AJ58&gt;0,BSL!AM58,0)+IF(DSP!AJ58&gt;0,DSP!AM58,0)+IF(RSP!AJ58&gt;0,RSP!AM58,0)+IF(ISP!AJ58&gt;0,ISP!AM58,0)),)</f>
        <v>32.35</v>
      </c>
      <c r="AK58" s="168">
        <f t="shared" si="74"/>
        <v>5.23</v>
      </c>
      <c r="AL58" s="169">
        <f t="shared" si="75"/>
        <v>0.82229965156794416</v>
      </c>
      <c r="AM58" s="170">
        <f>(BSP!AM58+BSL!AM58+DSP!AM58+RSP!AM58+ISP!AM58)</f>
        <v>3743.3</v>
      </c>
      <c r="AO58" s="172">
        <f t="shared" si="76"/>
        <v>44562</v>
      </c>
      <c r="AP58" s="167">
        <f>IFERROR((BSP!AP58*BSP!AW58+BSL!AP58*BSL!AW58+DSP!AP58*DSP!AW58+RSP!AP58*RSP!AW58+ISP!AP58*ISP!AW58)/(BSP!AW58+BSL!AW58+DSP!AW58+RSP!AW58+ISP!AW58),)</f>
        <v>61.758270807124894</v>
      </c>
      <c r="AQ58" s="168">
        <f>IFERROR((BSP!AQ58*BSP!AW58+BSL!AQ58*BSL!AW58+DSP!AQ58*DSP!AW58+RSP!AQ58*RSP!AW58+ISP!AQ58*ISP!AW58)/(BSP!AW58+BSL!AW58+DSP!AW58+RSP!AW58+ISP!AW58),)</f>
        <v>4.0315277686285462</v>
      </c>
      <c r="AR58" s="168">
        <f>IFERROR((BSP!AR58*BSP!AW58+BSL!AR58*BSL!AW58+DSP!AR58*DSP!AW58+RSP!AR58*RSP!AW58+ISP!AR58*ISP!AW58)/(BSP!AW58+BSL!AW58+DSP!AW58+RSP!AW58+ISP!AW58),)</f>
        <v>2.5123079163625315</v>
      </c>
      <c r="AS58" s="168">
        <f>IFERROR((BSP!AS58*BSP!AW58+BSL!AS58*BSL!AW58+DSP!AS58*DSP!AW58+RSP!AS58*RSP!AW58+ISP!AS58*ISP!AW58)/(BSP!AW58+BSL!AW58+DSP!AW58+RSP!AW58+ISP!AW58),)</f>
        <v>14.89830149153325</v>
      </c>
      <c r="AT58" s="168">
        <f>IFERROR((BSP!AT58*BSP!AW58+BSL!AT58*BSL!AW58+DSP!AT58*DSP!AW58+RSP!AT58*RSP!AW58+ISP!AT58*ISP!AW58)/(BSP!AW58+BSL!AW58+DSP!AW58+RSP!AW58+ISP!AW58),)</f>
        <v>19.418587026266913</v>
      </c>
      <c r="AU58" s="168">
        <f t="shared" si="66"/>
        <v>6.5438356849910777</v>
      </c>
      <c r="AV58" s="169">
        <f t="shared" si="79"/>
        <v>0.6231652268185105</v>
      </c>
      <c r="AW58" s="170">
        <f>(BSP!AW58+BSL!AW58+DSP!AW58+RSP!AW58+ISP!AW58)</f>
        <v>701030.29999999993</v>
      </c>
      <c r="AY58" s="172">
        <f t="shared" si="80"/>
        <v>44562</v>
      </c>
      <c r="AZ58" s="167">
        <f>IFERROR((BSP!AZ58*BSP!BG58+BSL!AZ58*BSL!BG58+DSP!AZ58*DSP!BG58+RSP!AZ58*RSP!BG58+ISP!AZ58*ISP!BG58)/(BSP!BG58+BSL!BG58+DSP!BG58+RSP!BG58+ISP!BG58),)</f>
        <v>61.356633076397891</v>
      </c>
      <c r="BA58" s="168">
        <f>IFERROR((BSP!BA58*BSP!BG58+BSL!BA58*BSL!BG58+DSP!BA58*DSP!BG58+RSP!BA58*RSP!BG58+ISP!BA58*ISP!BG58)/(BSP!BG58+BSL!BG58+DSP!BG58+RSP!BG58+ISP!BG58),)</f>
        <v>4.9181066582272228</v>
      </c>
      <c r="BB58" s="168">
        <f>IFERROR((BSP!BB58*BSP!BG58+BSL!BB58*BSL!BG58+DSP!BB58*DSP!BG58+RSP!BB58*RSP!BG58+ISP!BB58*ISP!BG58)/(BSP!BG58+BSL!BG58+DSP!BG58+RSP!BG58+ISP!BG58),)</f>
        <v>2.5891245754591758</v>
      </c>
      <c r="BC58" s="168">
        <f>IFERROR((BSP!BC58*BSP!BG58+BSL!BC58*BSL!BG58+DSP!BC58*DSP!BG58+RSP!BC58*RSP!BG58+ISP!BC58*ISP!BG58)/(BSP!BG58+BSL!BG58+DSP!BG58+RSP!BG58+ISP!BG58),)</f>
        <v>4.5335728127812303</v>
      </c>
      <c r="BD58" s="168">
        <f>IFERROR((BSP!BD58*BSP!BG58+BSL!BD58*BSL!BG58+DSP!BD58*DSP!BG58+RSP!BD58*RSP!BG58+ISP!BD58*ISP!BG58)/(BSP!BG58+BSL!BG58+DSP!BG58+RSP!BG58+ISP!BG58),)</f>
        <v>29.720684950129161</v>
      </c>
      <c r="BE58" s="168">
        <f t="shared" si="67"/>
        <v>7.5072312336863991</v>
      </c>
      <c r="BF58" s="169">
        <f t="shared" si="81"/>
        <v>0.52644742283658608</v>
      </c>
      <c r="BG58" s="170">
        <f>(BSP!BG58+BSL!BG58+DSP!BG58+RSP!BG58+ISP!BG58)</f>
        <v>1442370.12</v>
      </c>
      <c r="CD58" s="104">
        <f t="shared" si="77"/>
        <v>0</v>
      </c>
      <c r="CE58" s="178">
        <f t="shared" si="77"/>
        <v>44562</v>
      </c>
      <c r="CF58" s="179">
        <f t="shared" si="77"/>
        <v>63.41</v>
      </c>
      <c r="CG58" s="180">
        <f t="shared" si="77"/>
        <v>2.4300000000000002</v>
      </c>
      <c r="CH58" s="180">
        <f t="shared" si="77"/>
        <v>2.34</v>
      </c>
      <c r="CI58" s="180">
        <f t="shared" si="77"/>
        <v>7.4</v>
      </c>
      <c r="CJ58" s="180">
        <f t="shared" si="77"/>
        <v>11.5</v>
      </c>
      <c r="CK58" s="180">
        <f t="shared" si="77"/>
        <v>4.7699999999999996</v>
      </c>
      <c r="CL58" s="181">
        <f t="shared" si="77"/>
        <v>0.9629629629629628</v>
      </c>
      <c r="CM58" s="182">
        <f t="shared" si="77"/>
        <v>3604</v>
      </c>
      <c r="CN58" s="109">
        <f t="shared" si="77"/>
        <v>0</v>
      </c>
      <c r="CO58" s="178">
        <f t="shared" si="77"/>
        <v>44562</v>
      </c>
      <c r="CP58" s="179">
        <f t="shared" si="77"/>
        <v>63.05</v>
      </c>
      <c r="CQ58" s="180">
        <f t="shared" si="77"/>
        <v>2.87</v>
      </c>
      <c r="CR58" s="180">
        <f t="shared" si="77"/>
        <v>2.36</v>
      </c>
      <c r="CS58" s="180">
        <f t="shared" si="77"/>
        <v>3.45</v>
      </c>
      <c r="CT58" s="180">
        <f t="shared" si="78"/>
        <v>32.35</v>
      </c>
      <c r="CU58" s="180">
        <f t="shared" si="78"/>
        <v>5.23</v>
      </c>
      <c r="CV58" s="181">
        <f t="shared" si="78"/>
        <v>0.82229965156794416</v>
      </c>
      <c r="CW58" s="182">
        <f t="shared" si="78"/>
        <v>3743.3</v>
      </c>
      <c r="CX58" s="104">
        <f t="shared" si="2"/>
        <v>0</v>
      </c>
      <c r="CY58" s="255">
        <f t="shared" si="2"/>
        <v>44562</v>
      </c>
      <c r="CZ58" s="167">
        <f t="shared" ref="CZ58:DG61" si="82">AP58</f>
        <v>61.758270807124894</v>
      </c>
      <c r="DA58" s="168">
        <f t="shared" si="82"/>
        <v>4.0315277686285462</v>
      </c>
      <c r="DB58" s="168">
        <f t="shared" si="82"/>
        <v>2.5123079163625315</v>
      </c>
      <c r="DC58" s="168">
        <f t="shared" si="82"/>
        <v>14.89830149153325</v>
      </c>
      <c r="DD58" s="168">
        <f t="shared" si="82"/>
        <v>19.418587026266913</v>
      </c>
      <c r="DE58" s="168">
        <f t="shared" si="82"/>
        <v>6.5438356849910777</v>
      </c>
      <c r="DF58" s="169">
        <f t="shared" si="82"/>
        <v>0.6231652268185105</v>
      </c>
      <c r="DG58" s="170">
        <f t="shared" si="82"/>
        <v>701030.29999999993</v>
      </c>
      <c r="DH58" s="104">
        <f t="shared" si="65"/>
        <v>0</v>
      </c>
      <c r="DI58" s="255">
        <f t="shared" si="65"/>
        <v>44562</v>
      </c>
      <c r="DJ58" s="167">
        <f t="shared" si="64"/>
        <v>61.356633076397891</v>
      </c>
      <c r="DK58" s="168">
        <f t="shared" si="64"/>
        <v>4.9181066582272228</v>
      </c>
      <c r="DL58" s="168">
        <f t="shared" si="64"/>
        <v>2.5891245754591758</v>
      </c>
      <c r="DM58" s="168">
        <f t="shared" si="64"/>
        <v>4.5335728127812303</v>
      </c>
      <c r="DN58" s="168">
        <f t="shared" si="64"/>
        <v>29.720684950129161</v>
      </c>
      <c r="DO58" s="168">
        <f t="shared" si="64"/>
        <v>7.5072312336863991</v>
      </c>
      <c r="DP58" s="169">
        <f t="shared" si="64"/>
        <v>0.52644742283658608</v>
      </c>
      <c r="DQ58" s="170">
        <f t="shared" si="64"/>
        <v>1442370.12</v>
      </c>
    </row>
    <row r="59" spans="1:121" ht="19" customHeight="1" x14ac:dyDescent="0.35">
      <c r="A59" s="166">
        <f>BSP!A59</f>
        <v>44593</v>
      </c>
      <c r="B59" s="167">
        <f>IFERROR((BSP!B59*BSP!I59+BSL!B59*BSL!I59+DSP!B59*DSP!I59+RSP!B59*RSP!I59+ISP!B59*ISP!I59)/(BSP!I59+BSL!I59+DSP!I59+RSP!I59+ISP!I59),)</f>
        <v>62.78</v>
      </c>
      <c r="C59" s="168">
        <f>IFERROR((BSP!C59*BSP!I59+BSL!C59*BSL!I59+DSP!C59*DSP!I59+RSP!C59*RSP!I59+ISP!C59*ISP!I59)/(BSP!I59+BSL!I59+DSP!I59+RSP!I59+ISP!I59),)</f>
        <v>2.8</v>
      </c>
      <c r="D59" s="168">
        <f>IFERROR((BSP!D59*BSP!I59+BSL!D59*BSL!I59+DSP!D59*DSP!I59+RSP!D59*RSP!I59+ISP!D59*ISP!I59)/(BSP!I59+BSL!I59+DSP!I59+RSP!I59+ISP!I59),)</f>
        <v>2.54</v>
      </c>
      <c r="E59" s="168">
        <f>IFERROR((BSP!E59*BSP!I59+BSL!E59*BSL!I59+DSP!E59*DSP!I59+RSP!E59*RSP!I59+ISP!E59*ISP!I59)/(IF(BSP!F59&gt;0,BSP!I59,0)+IF(BSL!F59&gt;0,BSL!I59,0)+IF(DSP!F59&gt;0,DSP!I59,0)+IF(RSP!F59&gt;0,RSP!I59,0)+IF(ISP!F59&gt;0,ISP!I59,0)),)</f>
        <v>5.25</v>
      </c>
      <c r="F59" s="168">
        <f>IFERROR((BSP!F59*BSP!I59+BSL!F59*BSL!I59+DSP!F59*DSP!I59+RSP!F59*RSP!I59+ISP!F59*ISP!I59)/(IF(BSP!F59&gt;0,BSP!I59,0)+IF(BSL!F59&gt;0,BSL!I59,0)+IF(DSP!F59&gt;0,DSP!I59,0)+IF(RSP!F59&gt;0,RSP!I59,0)+IF(ISP!F59&gt;0,ISP!I59,0)),)</f>
        <v>13.63</v>
      </c>
      <c r="G59" s="168">
        <f t="shared" si="68"/>
        <v>5.34</v>
      </c>
      <c r="H59" s="169">
        <f t="shared" si="69"/>
        <v>0.90714285714285725</v>
      </c>
      <c r="I59" s="170">
        <f>(BSP!I59+BSL!I59+DSP!I59+RSP!I59+ISP!I59)</f>
        <v>29782.6</v>
      </c>
      <c r="J59" s="119"/>
      <c r="K59" s="166">
        <f>BSP!K59</f>
        <v>44593</v>
      </c>
      <c r="L59" s="167">
        <f>IFERROR((BSP!L59*BSP!S59+BSL!L59*BSL!S59+DSP!L59*DSP!S59+RSP!L59*RSP!S59+ISP!L59*ISP!S59)/(BSP!S59+BSL!S59+DSP!S59+RSP!S59+ISP!S59),)</f>
        <v>62.5</v>
      </c>
      <c r="M59" s="168">
        <f>IFERROR((BSP!M59*BSP!S59+BSL!M59*BSL!S59+DSP!M59*DSP!S59+RSP!M59*RSP!S59+ISP!M59*ISP!S59)/(BSP!S59+BSL!S59+DSP!S59+RSP!S59+ISP!S59),)</f>
        <v>2.87</v>
      </c>
      <c r="N59" s="168">
        <f>IFERROR((BSP!N59*BSP!S59+BSL!N59*BSL!S59+DSP!N59*DSP!S59+RSP!N59*RSP!S59+ISP!N59*ISP!S59)/(BSP!S59+BSL!S59+DSP!S59+RSP!S59+ISP!S59),)</f>
        <v>2.54</v>
      </c>
      <c r="O59" s="168">
        <f>IFERROR((BSP!O59*BSP!S59+BSL!O59*BSL!S59+DSP!O59*DSP!S59+RSP!O59*RSP!S59+ISP!O59*ISP!S59)/(IF(BSP!P59&gt;0,BSP!S59,0)+IF(BSL!P59&gt;0,BSL!S59,0)+IF(DSP!P59&gt;0,DSP!S59,0)+IF(RSP!P59&gt;0,RSP!S59,0)+IF(ISP!P59&gt;0,ISP!S59,0)),)</f>
        <v>5</v>
      </c>
      <c r="P59" s="168">
        <f>IFERROR((BSP!P59*BSP!S59+BSL!P59*BSL!S59+DSP!P59*DSP!S59+RSP!P59*RSP!S59+ISP!P59*ISP!S59)/(IF(BSP!P59&gt;0,BSP!S59,0)+IF(BSL!P59&gt;0,BSL!S59,0)+IF(DSP!P59&gt;0,DSP!S59,0)+IF(RSP!P59&gt;0,RSP!S59,0)+IF(ISP!P59&gt;0,ISP!S59,0)),)</f>
        <v>36.71</v>
      </c>
      <c r="Q59" s="168">
        <f t="shared" si="70"/>
        <v>5.41</v>
      </c>
      <c r="R59" s="169">
        <f t="shared" si="71"/>
        <v>0.8850174216027874</v>
      </c>
      <c r="S59" s="170">
        <f>(BSP!S59+BSL!S59+DSP!S59+RSP!S59+ISP!S59)</f>
        <v>37044.1</v>
      </c>
      <c r="U59" s="166">
        <f>BSP!U59</f>
        <v>44593</v>
      </c>
      <c r="V59" s="167">
        <f>IFERROR((BSP!V59*BSP!AC59+BSL!V59*BSL!AC59+DSP!V59*DSP!AC59+RSP!V59*RSP!AC59+ISP!V59*ISP!AC59)/(BSP!AC59+BSL!AC59+DSP!AC59+RSP!AC59+ISP!AC59),)</f>
        <v>0</v>
      </c>
      <c r="W59" s="168">
        <f>IFERROR((BSP!W59*BSP!AC59+BSL!W59*BSL!AC59+DSP!W59*DSP!AC59+RSP!W59*RSP!AC59+ISP!W59*ISP!AC59)/(BSP!AC59+BSL!AC59+DSP!AC59+RSP!AC59+ISP!AC59),)</f>
        <v>0</v>
      </c>
      <c r="X59" s="168">
        <f>IFERROR((BSP!X59*BSP!AC59+BSL!X59*BSL!AC59+DSP!X59*DSP!AC59+RSP!X59*RSP!AC59+ISP!X59*ISP!AC59)/(BSP!AC59+BSL!AC59+DSP!AC59+RSP!AC59+ISP!AC59),)</f>
        <v>0</v>
      </c>
      <c r="Y59" s="168">
        <f>IFERROR((BSP!Y59*BSP!AC59+BSL!Y59*BSL!AC59+DSP!Y59*DSP!AC59+RSP!Y59*RSP!AC59+ISP!Y59*ISP!AC59)/(IF(BSP!Z59&gt;0,BSP!AC59,0)+IF(BSL!Z59&gt;0,BSL!AC59,0)+IF(DSP!Z59&gt;0,DSP!AC59,0)+IF(RSP!Z59&gt;0,RSP!AC59,0)+IF(ISP!Z59&gt;0,ISP!AC59,0)),)</f>
        <v>0</v>
      </c>
      <c r="Z59" s="168">
        <f>IFERROR((BSP!Z59*BSP!AC59+BSL!Z59*BSL!AC59+DSP!Z59*DSP!AC59+RSP!Z59*RSP!AC59+ISP!Z59*ISP!AC59)/(IF(BSP!Z59&gt;0,BSP!AC59,0)+IF(BSL!Z59&gt;0,BSL!AC59,0)+IF(DSP!Z59&gt;0,DSP!AC59,0)+IF(RSP!Z59&gt;0,RSP!AC59,0)+IF(ISP!Z59&gt;0,ISP!AC59,0)),)</f>
        <v>0</v>
      </c>
      <c r="AA59" s="168">
        <f t="shared" si="72"/>
        <v>0</v>
      </c>
      <c r="AB59" s="169" t="str">
        <f t="shared" si="73"/>
        <v/>
      </c>
      <c r="AC59" s="170">
        <f>(BSP!AC59+BSL!AC59+DSP!AC59+RSP!AC59+ISP!AC59)</f>
        <v>0</v>
      </c>
      <c r="AD59" s="119"/>
      <c r="AE59" s="166">
        <f>BSP!AE59</f>
        <v>44593</v>
      </c>
      <c r="AF59" s="167">
        <f>IFERROR((BSP!AF59*BSP!AM59+BSL!AF59*BSL!AM59+DSP!AF59*DSP!AM59+RSP!AF59*RSP!AM59+ISP!AF59*ISP!AM59)/(BSP!AM59+BSL!AM59+DSP!AM59+RSP!AM59+ISP!AM59),)</f>
        <v>0</v>
      </c>
      <c r="AG59" s="168">
        <f>IFERROR((BSP!AG59*BSP!AM59+BSL!AG59*BSL!AM59+DSP!AG59*DSP!AM59+RSP!AG59*RSP!AM59+ISP!AG59*ISP!AM59)/(BSP!AM59+BSL!AM59+DSP!AM59+RSP!AM59+ISP!AM59),)</f>
        <v>0</v>
      </c>
      <c r="AH59" s="168">
        <f>IFERROR((BSP!AH59*BSP!AM59+BSL!AH59*BSL!AM59+DSP!AH59*DSP!AM59+RSP!AH59*RSP!AM59+ISP!AH59*ISP!AM59)/(BSP!AM59+BSL!AM59+DSP!AM59+RSP!AM59+ISP!AM59),)</f>
        <v>0</v>
      </c>
      <c r="AI59" s="168">
        <f>IFERROR((BSP!AI59*BSP!AM59+BSL!AI59*BSL!AM59+DSP!AI59*DSP!AM59+RSP!AI59*RSP!AM59+ISP!AI59*ISP!AM59)/(IF(BSP!AJ59&gt;0,BSP!AM59,0)+IF(BSL!AJ59&gt;0,BSL!AM59,0)+IF(DSP!AJ59&gt;0,DSP!AM59,0)+IF(RSP!AJ59&gt;0,RSP!AM59,0)+IF(ISP!AJ59&gt;0,ISP!AM59,0)),)</f>
        <v>0</v>
      </c>
      <c r="AJ59" s="168">
        <f>IFERROR((BSP!AJ59*BSP!AM59+BSL!AJ59*BSL!AM59+DSP!AJ59*DSP!AM59+RSP!AJ59*RSP!AM59+ISP!AJ59*ISP!AM59)/(IF(BSP!AJ59&gt;0,BSP!AM59,0)+IF(BSL!AJ59&gt;0,BSL!AM59,0)+IF(DSP!AJ59&gt;0,DSP!AM59,0)+IF(RSP!AJ59&gt;0,RSP!AM59,0)+IF(ISP!AJ59&gt;0,ISP!AM59,0)),)</f>
        <v>0</v>
      </c>
      <c r="AK59" s="168">
        <f t="shared" si="74"/>
        <v>0</v>
      </c>
      <c r="AL59" s="169" t="str">
        <f t="shared" si="75"/>
        <v/>
      </c>
      <c r="AM59" s="170">
        <f>(BSP!AM59+BSL!AM59+DSP!AM59+RSP!AM59+ISP!AM59)</f>
        <v>0</v>
      </c>
      <c r="AO59" s="172">
        <f t="shared" si="76"/>
        <v>44593</v>
      </c>
      <c r="AP59" s="167">
        <f>IFERROR((BSP!AP59*BSP!AW59+BSL!AP59*BSL!AW59+DSP!AP59*DSP!AW59+RSP!AP59*RSP!AW59+ISP!AP59*ISP!AW59)/(BSP!AW59+BSL!AW59+DSP!AW59+RSP!AW59+ISP!AW59),)</f>
        <v>61.916610872295848</v>
      </c>
      <c r="AQ59" s="168">
        <f>IFERROR((BSP!AQ59*BSP!AW59+BSL!AQ59*BSL!AW59+DSP!AQ59*DSP!AW59+RSP!AQ59*RSP!AW59+ISP!AQ59*ISP!AW59)/(BSP!AW59+BSL!AW59+DSP!AW59+RSP!AW59+ISP!AW59),)</f>
        <v>3.6899387337579928</v>
      </c>
      <c r="AR59" s="168">
        <f>IFERROR((BSP!AR59*BSP!AW59+BSL!AR59*BSL!AW59+DSP!AR59*DSP!AW59+RSP!AR59*RSP!AW59+ISP!AR59*ISP!AW59)/(BSP!AW59+BSL!AW59+DSP!AW59+RSP!AW59+ISP!AW59),)</f>
        <v>2.6217558682004127</v>
      </c>
      <c r="AS59" s="168">
        <f>IFERROR((BSP!AS59*BSP!AW59+BSL!AS59*BSL!AW59+DSP!AS59*DSP!AW59+RSP!AS59*RSP!AW59+ISP!AS59*ISP!AW59)/(BSP!AW59+BSL!AW59+DSP!AW59+RSP!AW59+ISP!AW59),)</f>
        <v>11.815645530273658</v>
      </c>
      <c r="AT59" s="168">
        <f>IFERROR((BSP!AT59*BSP!AW59+BSL!AT59*BSL!AW59+DSP!AT59*DSP!AW59+RSP!AT59*RSP!AW59+ISP!AT59*ISP!AW59)/(BSP!AW59+BSL!AW59+DSP!AW59+RSP!AW59+ISP!AW59),)</f>
        <v>20.840087622501297</v>
      </c>
      <c r="AU59" s="168">
        <f t="shared" si="66"/>
        <v>6.3116946019584059</v>
      </c>
      <c r="AV59" s="169">
        <f t="shared" si="79"/>
        <v>0.71051474221370159</v>
      </c>
      <c r="AW59" s="170">
        <f>(BSP!AW59+BSL!AW59+DSP!AW59+RSP!AW59+ISP!AW59)</f>
        <v>675740.80999999994</v>
      </c>
      <c r="AY59" s="172">
        <f t="shared" si="80"/>
        <v>44593</v>
      </c>
      <c r="AZ59" s="167">
        <f>IFERROR((BSP!AZ59*BSP!BG59+BSL!AZ59*BSL!BG59+DSP!AZ59*DSP!BG59+RSP!AZ59*RSP!BG59+ISP!AZ59*ISP!BG59)/(BSP!BG59+BSL!BG59+DSP!BG59+RSP!BG59+ISP!BG59),)</f>
        <v>61.52778345193606</v>
      </c>
      <c r="BA59" s="168">
        <f>IFERROR((BSP!BA59*BSP!BG59+BSL!BA59*BSL!BG59+DSP!BA59*DSP!BG59+RSP!BA59*RSP!BG59+ISP!BA59*ISP!BG59)/(BSP!BG59+BSL!BG59+DSP!BG59+RSP!BG59+ISP!BG59),)</f>
        <v>4.6320533424247516</v>
      </c>
      <c r="BB59" s="168">
        <f>IFERROR((BSP!BB59*BSP!BG59+BSL!BB59*BSL!BG59+DSP!BB59*DSP!BG59+RSP!BB59*RSP!BG59+ISP!BB59*ISP!BG59)/(BSP!BG59+BSL!BG59+DSP!BG59+RSP!BG59+ISP!BG59),)</f>
        <v>2.6523370728968958</v>
      </c>
      <c r="BC59" s="168">
        <f>IFERROR((BSP!BC59*BSP!BG59+BSL!BC59*BSL!BG59+DSP!BC59*DSP!BG59+RSP!BC59*RSP!BG59+ISP!BC59*ISP!BG59)/(BSP!BG59+BSL!BG59+DSP!BG59+RSP!BG59+ISP!BG59),)</f>
        <v>6.4677324967512373</v>
      </c>
      <c r="BD59" s="168">
        <f>IFERROR((BSP!BD59*BSP!BG59+BSL!BD59*BSL!BG59+DSP!BD59*DSP!BG59+RSP!BD59*RSP!BG59+ISP!BD59*ISP!BG59)/(BSP!BG59+BSL!BG59+DSP!BG59+RSP!BG59+ISP!BG59),)</f>
        <v>41.877553139320369</v>
      </c>
      <c r="BE59" s="168">
        <f t="shared" si="67"/>
        <v>7.2843904153216474</v>
      </c>
      <c r="BF59" s="169">
        <f t="shared" si="81"/>
        <v>0.5726050364326053</v>
      </c>
      <c r="BG59" s="170">
        <f>(BSP!BG59+BSL!BG59+DSP!BG59+RSP!BG59+ISP!BG59)</f>
        <v>1211692.2</v>
      </c>
      <c r="CD59" s="104">
        <f t="shared" si="77"/>
        <v>0</v>
      </c>
      <c r="CE59" s="178">
        <f t="shared" si="77"/>
        <v>44593</v>
      </c>
      <c r="CF59" s="179">
        <f t="shared" si="77"/>
        <v>0</v>
      </c>
      <c r="CG59" s="180">
        <f t="shared" si="77"/>
        <v>0</v>
      </c>
      <c r="CH59" s="180">
        <f t="shared" si="77"/>
        <v>0</v>
      </c>
      <c r="CI59" s="180">
        <f t="shared" si="77"/>
        <v>0</v>
      </c>
      <c r="CJ59" s="180">
        <f t="shared" si="77"/>
        <v>0</v>
      </c>
      <c r="CK59" s="180">
        <f t="shared" si="77"/>
        <v>0</v>
      </c>
      <c r="CL59" s="181" t="str">
        <f t="shared" si="77"/>
        <v/>
      </c>
      <c r="CM59" s="182">
        <f t="shared" si="77"/>
        <v>0</v>
      </c>
      <c r="CN59" s="109">
        <f t="shared" si="77"/>
        <v>0</v>
      </c>
      <c r="CO59" s="178">
        <f t="shared" si="77"/>
        <v>44593</v>
      </c>
      <c r="CP59" s="179">
        <f t="shared" si="77"/>
        <v>0</v>
      </c>
      <c r="CQ59" s="180">
        <f t="shared" si="77"/>
        <v>0</v>
      </c>
      <c r="CR59" s="180">
        <f t="shared" si="77"/>
        <v>0</v>
      </c>
      <c r="CS59" s="180">
        <f t="shared" si="77"/>
        <v>0</v>
      </c>
      <c r="CT59" s="180">
        <f t="shared" si="78"/>
        <v>0</v>
      </c>
      <c r="CU59" s="180">
        <f t="shared" si="78"/>
        <v>0</v>
      </c>
      <c r="CV59" s="181" t="str">
        <f t="shared" si="78"/>
        <v/>
      </c>
      <c r="CW59" s="182">
        <f t="shared" si="78"/>
        <v>0</v>
      </c>
      <c r="CX59" s="104">
        <f t="shared" si="78"/>
        <v>0</v>
      </c>
      <c r="CY59" s="255">
        <f t="shared" si="78"/>
        <v>44593</v>
      </c>
      <c r="CZ59" s="167">
        <f t="shared" si="82"/>
        <v>61.916610872295848</v>
      </c>
      <c r="DA59" s="168">
        <f t="shared" si="82"/>
        <v>3.6899387337579928</v>
      </c>
      <c r="DB59" s="168">
        <f t="shared" si="82"/>
        <v>2.6217558682004127</v>
      </c>
      <c r="DC59" s="168">
        <f t="shared" si="82"/>
        <v>11.815645530273658</v>
      </c>
      <c r="DD59" s="168">
        <f t="shared" si="82"/>
        <v>20.840087622501297</v>
      </c>
      <c r="DE59" s="168">
        <f t="shared" si="82"/>
        <v>6.3116946019584059</v>
      </c>
      <c r="DF59" s="169">
        <f t="shared" si="82"/>
        <v>0.71051474221370159</v>
      </c>
      <c r="DG59" s="170">
        <f t="shared" si="82"/>
        <v>675740.80999999994</v>
      </c>
      <c r="DH59" s="104">
        <f t="shared" si="65"/>
        <v>0</v>
      </c>
      <c r="DI59" s="255">
        <f t="shared" si="65"/>
        <v>44593</v>
      </c>
      <c r="DJ59" s="167">
        <f t="shared" si="64"/>
        <v>61.52778345193606</v>
      </c>
      <c r="DK59" s="168">
        <f t="shared" si="64"/>
        <v>4.6320533424247516</v>
      </c>
      <c r="DL59" s="168">
        <f t="shared" si="64"/>
        <v>2.6523370728968958</v>
      </c>
      <c r="DM59" s="168">
        <f t="shared" si="64"/>
        <v>6.4677324967512373</v>
      </c>
      <c r="DN59" s="168">
        <f t="shared" si="64"/>
        <v>41.877553139320369</v>
      </c>
      <c r="DO59" s="168">
        <f t="shared" si="64"/>
        <v>7.2843904153216474</v>
      </c>
      <c r="DP59" s="169">
        <f t="shared" si="64"/>
        <v>0.5726050364326053</v>
      </c>
      <c r="DQ59" s="170">
        <f t="shared" si="64"/>
        <v>1211692.2</v>
      </c>
    </row>
    <row r="60" spans="1:121" ht="19" customHeight="1" thickBot="1" x14ac:dyDescent="0.4">
      <c r="A60" s="166">
        <f>BSP!A60</f>
        <v>44621</v>
      </c>
      <c r="B60" s="183">
        <f>IFERROR((BSP!B60*BSP!I60+BSL!B60*BSL!I60+DSP!B60*DSP!I60+RSP!B60*RSP!I60+ISP!B60*ISP!I60)/(BSP!I60+BSL!I60+DSP!I60+RSP!I60+ISP!I60),)</f>
        <v>62.7</v>
      </c>
      <c r="C60" s="184">
        <f>IFERROR((BSP!C60*BSP!I60+BSL!C60*BSL!I60+DSP!C60*DSP!I60+RSP!C60*RSP!I60+ISP!C60*ISP!I60)/(BSP!I60+BSL!I60+DSP!I60+RSP!I60+ISP!I60),)</f>
        <v>2.62</v>
      </c>
      <c r="D60" s="184">
        <f>IFERROR((BSP!D60*BSP!I60+BSL!D60*BSL!I60+DSP!D60*DSP!I60+RSP!D60*RSP!I60+ISP!D60*ISP!I60)/(BSP!I60+BSL!I60+DSP!I60+RSP!I60+ISP!I60),)</f>
        <v>2.71</v>
      </c>
      <c r="E60" s="168">
        <f>IFERROR((BSP!E60*BSP!I60+BSL!E60*BSL!I60+DSP!E60*DSP!I60+RSP!E60*RSP!I60+ISP!E60*ISP!I60)/(IF(BSP!F60&gt;0,BSP!I60,0)+IF(BSL!F60&gt;0,BSL!I60,0)+IF(DSP!F60&gt;0,DSP!I60,0)+IF(RSP!F60&gt;0,RSP!I60,0)+IF(ISP!F60&gt;0,ISP!I60,0)),)</f>
        <v>7.669999999999999</v>
      </c>
      <c r="F60" s="168">
        <f>IFERROR((BSP!F60*BSP!I60+BSL!F60*BSL!I60+DSP!F60*DSP!I60+RSP!F60*RSP!I60+ISP!F60*ISP!I60)/(IF(BSP!F60&gt;0,BSP!I60,0)+IF(BSL!F60&gt;0,BSL!I60,0)+IF(DSP!F60&gt;0,DSP!I60,0)+IF(RSP!F60&gt;0,RSP!I60,0)+IF(ISP!F60&gt;0,ISP!I60,0)),)</f>
        <v>15.75</v>
      </c>
      <c r="G60" s="168">
        <f t="shared" si="68"/>
        <v>5.33</v>
      </c>
      <c r="H60" s="169">
        <f t="shared" si="69"/>
        <v>1.0343511450381679</v>
      </c>
      <c r="I60" s="170">
        <f>(BSP!I60+BSL!I60+DSP!I60+RSP!I60+ISP!I60)</f>
        <v>40347.9</v>
      </c>
      <c r="J60" s="119"/>
      <c r="K60" s="166">
        <f>BSP!K60</f>
        <v>44621</v>
      </c>
      <c r="L60" s="183">
        <f>IFERROR((BSP!L60*BSP!S60+BSL!L60*BSL!S60+DSP!L60*DSP!S60+RSP!L60*RSP!S60+ISP!L60*ISP!S60)/(BSP!S60+BSL!S60+DSP!S60+RSP!S60+ISP!S60),)</f>
        <v>62.290000000000006</v>
      </c>
      <c r="M60" s="184">
        <f>IFERROR((BSP!M60*BSP!S60+BSL!M60*BSL!S60+DSP!M60*DSP!S60+RSP!M60*RSP!S60+ISP!M60*ISP!S60)/(BSP!S60+BSL!S60+DSP!S60+RSP!S60+ISP!S60),)</f>
        <v>2.65</v>
      </c>
      <c r="N60" s="184">
        <f>IFERROR((BSP!N60*BSP!S60+BSL!N60*BSL!S60+DSP!N60*DSP!S60+RSP!N60*RSP!S60+ISP!N60*ISP!S60)/(BSP!S60+BSL!S60+DSP!S60+RSP!S60+ISP!S60),)</f>
        <v>3.06</v>
      </c>
      <c r="O60" s="168">
        <f>IFERROR((BSP!O60*BSP!S60+BSL!O60*BSL!S60+DSP!O60*DSP!S60+RSP!O60*RSP!S60+ISP!O60*ISP!S60)/(IF(BSP!P60&gt;0,BSP!S60,0)+IF(BSL!P60&gt;0,BSL!S60,0)+IF(DSP!P60&gt;0,DSP!S60,0)+IF(RSP!P60&gt;0,RSP!S60,0)+IF(ISP!P60&gt;0,ISP!S60,0)),)</f>
        <v>3.6</v>
      </c>
      <c r="P60" s="168">
        <f>IFERROR((BSP!P60*BSP!S60+BSL!P60*BSL!S60+DSP!P60*DSP!S60+RSP!P60*RSP!S60+ISP!P60*ISP!S60)/(IF(BSP!P60&gt;0,BSP!S60,0)+IF(BSL!P60&gt;0,BSL!S60,0)+IF(DSP!P60&gt;0,DSP!S60,0)+IF(RSP!P60&gt;0,RSP!S60,0)+IF(ISP!P60&gt;0,ISP!S60,0)),)</f>
        <v>38.200000000000003</v>
      </c>
      <c r="Q60" s="168">
        <f t="shared" si="70"/>
        <v>5.71</v>
      </c>
      <c r="R60" s="169">
        <f t="shared" si="71"/>
        <v>1.1547169811320754</v>
      </c>
      <c r="S60" s="170">
        <f>(BSP!S60+BSL!S60+DSP!S60+RSP!S60+ISP!S60)</f>
        <v>44209.7</v>
      </c>
      <c r="U60" s="166">
        <f>BSP!U60</f>
        <v>44621</v>
      </c>
      <c r="V60" s="183">
        <f>IFERROR((BSP!V60*BSP!AC60+BSL!V60*BSL!AC60+DSP!V60*DSP!AC60+RSP!V60*RSP!AC60+ISP!V60*ISP!AC60)/(BSP!AC60+BSL!AC60+DSP!AC60+RSP!AC60+ISP!AC60),)</f>
        <v>0</v>
      </c>
      <c r="W60" s="184">
        <f>IFERROR((BSP!W60*BSP!AC60+BSL!W60*BSL!AC60+DSP!W60*DSP!AC60+RSP!W60*RSP!AC60+ISP!W60*ISP!AC60)/(BSP!AC60+BSL!AC60+DSP!AC60+RSP!AC60+ISP!AC60),)</f>
        <v>0</v>
      </c>
      <c r="X60" s="184">
        <f>IFERROR((BSP!X60*BSP!AC60+BSL!X60*BSL!AC60+DSP!X60*DSP!AC60+RSP!X60*RSP!AC60+ISP!X60*ISP!AC60)/(BSP!AC60+BSL!AC60+DSP!AC60+RSP!AC60+ISP!AC60),)</f>
        <v>0</v>
      </c>
      <c r="Y60" s="168">
        <f>IFERROR((BSP!Y60*BSP!AC60+BSL!Y60*BSL!AC60+DSP!Y60*DSP!AC60+RSP!Y60*RSP!AC60+ISP!Y60*ISP!AC60)/(IF(BSP!Z60&gt;0,BSP!AC60,0)+IF(BSL!Z60&gt;0,BSL!AC60,0)+IF(DSP!Z60&gt;0,DSP!AC60,0)+IF(RSP!Z60&gt;0,RSP!AC60,0)+IF(ISP!Z60&gt;0,ISP!AC60,0)),)</f>
        <v>0</v>
      </c>
      <c r="Z60" s="168">
        <f>IFERROR((BSP!Z60*BSP!AC60+BSL!Z60*BSL!AC60+DSP!Z60*DSP!AC60+RSP!Z60*RSP!AC60+ISP!Z60*ISP!AC60)/(IF(BSP!Z60&gt;0,BSP!AC60,0)+IF(BSL!Z60&gt;0,BSL!AC60,0)+IF(DSP!Z60&gt;0,DSP!AC60,0)+IF(RSP!Z60&gt;0,RSP!AC60,0)+IF(ISP!Z60&gt;0,ISP!AC60,0)),)</f>
        <v>0</v>
      </c>
      <c r="AA60" s="168">
        <f t="shared" si="72"/>
        <v>0</v>
      </c>
      <c r="AB60" s="169" t="str">
        <f t="shared" si="73"/>
        <v/>
      </c>
      <c r="AC60" s="170">
        <f>(BSP!AC60+BSL!AC60+DSP!AC60+RSP!AC60+ISP!AC60)</f>
        <v>0</v>
      </c>
      <c r="AD60" s="119"/>
      <c r="AE60" s="166">
        <f>BSP!AE60</f>
        <v>44621</v>
      </c>
      <c r="AF60" s="183">
        <f>IFERROR((BSP!AF60*BSP!AM60+BSL!AF60*BSL!AM60+DSP!AF60*DSP!AM60+RSP!AF60*RSP!AM60+ISP!AF60*ISP!AM60)/(BSP!AM60+BSL!AM60+DSP!AM60+RSP!AM60+ISP!AM60),)</f>
        <v>0</v>
      </c>
      <c r="AG60" s="184">
        <f>IFERROR((BSP!AG60*BSP!AM60+BSL!AG60*BSL!AM60+DSP!AG60*DSP!AM60+RSP!AG60*RSP!AM60+ISP!AG60*ISP!AM60)/(BSP!AM60+BSL!AM60+DSP!AM60+RSP!AM60+ISP!AM60),)</f>
        <v>0</v>
      </c>
      <c r="AH60" s="184">
        <f>IFERROR((BSP!AH60*BSP!AM60+BSL!AH60*BSL!AM60+DSP!AH60*DSP!AM60+RSP!AH60*RSP!AM60+ISP!AH60*ISP!AM60)/(BSP!AM60+BSL!AM60+DSP!AM60+RSP!AM60+ISP!AM60),)</f>
        <v>0</v>
      </c>
      <c r="AI60" s="168">
        <f>IFERROR((BSP!AI60*BSP!AM60+BSL!AI60*BSL!AM60+DSP!AI60*DSP!AM60+RSP!AI60*RSP!AM60+ISP!AI60*ISP!AM60)/(IF(BSP!AJ60&gt;0,BSP!AM60,0)+IF(BSL!AJ60&gt;0,BSL!AM60,0)+IF(DSP!AJ60&gt;0,DSP!AM60,0)+IF(RSP!AJ60&gt;0,RSP!AM60,0)+IF(ISP!AJ60&gt;0,ISP!AM60,0)),)</f>
        <v>0</v>
      </c>
      <c r="AJ60" s="168">
        <f>IFERROR((BSP!AJ60*BSP!AM60+BSL!AJ60*BSL!AM60+DSP!AJ60*DSP!AM60+RSP!AJ60*RSP!AM60+ISP!AJ60*ISP!AM60)/(IF(BSP!AJ60&gt;0,BSP!AM60,0)+IF(BSL!AJ60&gt;0,BSL!AM60,0)+IF(DSP!AJ60&gt;0,DSP!AM60,0)+IF(RSP!AJ60&gt;0,RSP!AM60,0)+IF(ISP!AJ60&gt;0,ISP!AM60,0)),)</f>
        <v>0</v>
      </c>
      <c r="AK60" s="168">
        <f t="shared" si="74"/>
        <v>0</v>
      </c>
      <c r="AL60" s="169" t="str">
        <f t="shared" si="75"/>
        <v/>
      </c>
      <c r="AM60" s="170">
        <f>(BSP!AM60+BSL!AM60+DSP!AM60+RSP!AM60+ISP!AM60)</f>
        <v>0</v>
      </c>
      <c r="AO60" s="185">
        <f t="shared" si="76"/>
        <v>44621</v>
      </c>
      <c r="AP60" s="183">
        <f>IFERROR((BSP!AP60*BSP!AW60+BSL!AP60*BSL!AW60+DSP!AP60*DSP!AW60+RSP!AP60*RSP!AW60+ISP!AP60*ISP!AW60)/(BSP!AW60+BSL!AW60+DSP!AW60+RSP!AW60+ISP!AW60),)</f>
        <v>61.921940790600878</v>
      </c>
      <c r="AQ60" s="184">
        <f>IFERROR((BSP!AQ60*BSP!AW60+BSL!AQ60*BSL!AW60+DSP!AQ60*DSP!AW60+RSP!AQ60*RSP!AW60+ISP!AQ60*ISP!AW60)/(BSP!AW60+BSL!AW60+DSP!AW60+RSP!AW60+ISP!AW60),)</f>
        <v>3.9433215251555978</v>
      </c>
      <c r="AR60" s="184">
        <f>IFERROR((BSP!AR60*BSP!AW60+BSL!AR60*BSL!AW60+DSP!AR60*DSP!AW60+RSP!AR60*RSP!AW60+ISP!AR60*ISP!AW60)/(BSP!AW60+BSL!AW60+DSP!AW60+RSP!AW60+ISP!AW60),)</f>
        <v>2.5099767398795563</v>
      </c>
      <c r="AS60" s="184">
        <f>IFERROR((BSP!AS60*BSP!AW60+BSL!AS60*BSL!AW60+DSP!AS60*DSP!AW60+RSP!AS60*RSP!AW60+ISP!AS60*ISP!AW60)/(BSP!AW60+BSL!AW60+DSP!AW60+RSP!AW60+ISP!AW60),)</f>
        <v>13.048377958112596</v>
      </c>
      <c r="AT60" s="184">
        <f>IFERROR((BSP!AT60*BSP!AW60+BSL!AT60*BSL!AW60+DSP!AT60*DSP!AW60+RSP!AT60*RSP!AW60+ISP!AT60*ISP!AW60)/(BSP!AW60+BSL!AW60+DSP!AW60+RSP!AW60+ISP!AW60),)</f>
        <v>21.107067126049518</v>
      </c>
      <c r="AU60" s="168">
        <f t="shared" si="66"/>
        <v>6.453298265035154</v>
      </c>
      <c r="AV60" s="169">
        <f t="shared" si="79"/>
        <v>0.63651333624906892</v>
      </c>
      <c r="AW60" s="170">
        <f>(BSP!AW60+BSL!AW60+DSP!AW60+RSP!AW60+ISP!AW60)</f>
        <v>771307.2699999999</v>
      </c>
      <c r="AY60" s="185">
        <f t="shared" si="80"/>
        <v>44621</v>
      </c>
      <c r="AZ60" s="183">
        <f>IFERROR((BSP!AZ60*BSP!BG60+BSL!AZ60*BSL!BG60+DSP!AZ60*DSP!BG60+RSP!AZ60*RSP!BG60+ISP!AZ60*ISP!BG60)/(BSP!BG60+BSL!BG60+DSP!BG60+RSP!BG60+ISP!BG60),)</f>
        <v>61.430396441396489</v>
      </c>
      <c r="BA60" s="184">
        <f>IFERROR((BSP!BA60*BSP!BG60+BSL!BA60*BSL!BG60+DSP!BA60*DSP!BG60+RSP!BA60*RSP!BG60+ISP!BA60*ISP!BG60)/(BSP!BG60+BSL!BG60+DSP!BG60+RSP!BG60+ISP!BG60),)</f>
        <v>4.6910531412589975</v>
      </c>
      <c r="BB60" s="184">
        <f>IFERROR((BSP!BB60*BSP!BG60+BSL!BB60*BSL!BG60+DSP!BB60*DSP!BG60+RSP!BB60*RSP!BG60+ISP!BB60*ISP!BG60)/(BSP!BG60+BSL!BG60+DSP!BG60+RSP!BG60+ISP!BG60),)</f>
        <v>2.8223826843218278</v>
      </c>
      <c r="BC60" s="184">
        <f>IFERROR((BSP!BC60*BSP!BG60+BSL!BC60*BSL!BG60+DSP!BC60*DSP!BG60+RSP!BC60*RSP!BG60+ISP!BC60*ISP!BG60)/(BSP!BG60+BSL!BG60+DSP!BG60+RSP!BG60+ISP!BG60),)</f>
        <v>6.0888840445912855</v>
      </c>
      <c r="BD60" s="184">
        <f>IFERROR((BSP!BD60*BSP!BG60+BSL!BD60*BSL!BG60+DSP!BD60*DSP!BG60+RSP!BD60*RSP!BG60+ISP!BD60*ISP!BG60)/(BSP!BG60+BSL!BG60+DSP!BG60+RSP!BG60+ISP!BG60),)</f>
        <v>42.886063885052273</v>
      </c>
      <c r="BE60" s="168">
        <f t="shared" si="67"/>
        <v>7.5134358255808253</v>
      </c>
      <c r="BF60" s="169">
        <f t="shared" si="81"/>
        <v>0.60165225149514068</v>
      </c>
      <c r="BG60" s="170">
        <f>(BSP!BG60+BSL!BG60+DSP!BG60+RSP!BG60+ISP!BG60)</f>
        <v>1383468.54</v>
      </c>
      <c r="CD60" s="104">
        <f t="shared" si="77"/>
        <v>0</v>
      </c>
      <c r="CE60" s="186">
        <f t="shared" si="77"/>
        <v>44621</v>
      </c>
      <c r="CF60" s="187">
        <f t="shared" si="77"/>
        <v>0</v>
      </c>
      <c r="CG60" s="188">
        <f t="shared" si="77"/>
        <v>0</v>
      </c>
      <c r="CH60" s="188">
        <f t="shared" si="77"/>
        <v>0</v>
      </c>
      <c r="CI60" s="188">
        <f t="shared" si="77"/>
        <v>0</v>
      </c>
      <c r="CJ60" s="188">
        <f t="shared" si="77"/>
        <v>0</v>
      </c>
      <c r="CK60" s="188">
        <f t="shared" si="77"/>
        <v>0</v>
      </c>
      <c r="CL60" s="189" t="str">
        <f t="shared" si="77"/>
        <v/>
      </c>
      <c r="CM60" s="190">
        <f t="shared" si="77"/>
        <v>0</v>
      </c>
      <c r="CN60" s="109">
        <f t="shared" si="77"/>
        <v>0</v>
      </c>
      <c r="CO60" s="186">
        <f t="shared" si="77"/>
        <v>44621</v>
      </c>
      <c r="CP60" s="187">
        <f t="shared" si="77"/>
        <v>0</v>
      </c>
      <c r="CQ60" s="188">
        <f t="shared" si="77"/>
        <v>0</v>
      </c>
      <c r="CR60" s="188">
        <f t="shared" si="77"/>
        <v>0</v>
      </c>
      <c r="CS60" s="188">
        <f t="shared" si="77"/>
        <v>0</v>
      </c>
      <c r="CT60" s="188">
        <f t="shared" si="78"/>
        <v>0</v>
      </c>
      <c r="CU60" s="188">
        <f t="shared" si="78"/>
        <v>0</v>
      </c>
      <c r="CV60" s="189" t="str">
        <f t="shared" si="78"/>
        <v/>
      </c>
      <c r="CW60" s="190">
        <f t="shared" si="78"/>
        <v>0</v>
      </c>
      <c r="CX60" s="104">
        <f t="shared" si="78"/>
        <v>0</v>
      </c>
      <c r="CY60" s="256">
        <f t="shared" si="78"/>
        <v>44621</v>
      </c>
      <c r="CZ60" s="183">
        <f t="shared" si="82"/>
        <v>61.921940790600878</v>
      </c>
      <c r="DA60" s="184">
        <f t="shared" si="82"/>
        <v>3.9433215251555978</v>
      </c>
      <c r="DB60" s="184">
        <f t="shared" si="82"/>
        <v>2.5099767398795563</v>
      </c>
      <c r="DC60" s="184">
        <f t="shared" si="82"/>
        <v>13.048377958112596</v>
      </c>
      <c r="DD60" s="184">
        <f t="shared" si="82"/>
        <v>21.107067126049518</v>
      </c>
      <c r="DE60" s="168">
        <f t="shared" si="82"/>
        <v>6.453298265035154</v>
      </c>
      <c r="DF60" s="169">
        <f t="shared" si="82"/>
        <v>0.63651333624906892</v>
      </c>
      <c r="DG60" s="170">
        <f t="shared" si="82"/>
        <v>771307.2699999999</v>
      </c>
      <c r="DH60" s="104">
        <f t="shared" si="65"/>
        <v>0</v>
      </c>
      <c r="DI60" s="256">
        <f t="shared" si="65"/>
        <v>44621</v>
      </c>
      <c r="DJ60" s="183">
        <f t="shared" si="64"/>
        <v>61.430396441396489</v>
      </c>
      <c r="DK60" s="184">
        <f t="shared" si="64"/>
        <v>4.6910531412589975</v>
      </c>
      <c r="DL60" s="184">
        <f t="shared" si="64"/>
        <v>2.8223826843218278</v>
      </c>
      <c r="DM60" s="184">
        <f t="shared" si="64"/>
        <v>6.0888840445912855</v>
      </c>
      <c r="DN60" s="184">
        <f t="shared" si="64"/>
        <v>42.886063885052273</v>
      </c>
      <c r="DO60" s="168">
        <f t="shared" si="64"/>
        <v>7.5134358255808253</v>
      </c>
      <c r="DP60" s="169">
        <f t="shared" si="64"/>
        <v>0.60165225149514068</v>
      </c>
      <c r="DQ60" s="170">
        <f t="shared" si="64"/>
        <v>1383468.54</v>
      </c>
    </row>
    <row r="61" spans="1:121" ht="29" thickBot="1" x14ac:dyDescent="0.4">
      <c r="A61" s="191" t="str">
        <f>BSP!A61</f>
        <v>CUMML</v>
      </c>
      <c r="B61" s="192">
        <f>+SUMPRODUCT(B49:B60,I49:I60)/I61</f>
        <v>62.717026171198036</v>
      </c>
      <c r="C61" s="192">
        <f>+SUMPRODUCT(C49:C60,I49:I60)/I61</f>
        <v>2.7787975462570631</v>
      </c>
      <c r="D61" s="192">
        <f>+SUMPRODUCT(D49:D60,I49:I60)/I61</f>
        <v>2.6161062292692026</v>
      </c>
      <c r="E61" s="192">
        <f>+SUMPRODUCT(E49:E60,I49:I60)/SUMIF(E49:E60,"&gt;0",I49:I60)</f>
        <v>7.1081562330525383</v>
      </c>
      <c r="F61" s="192">
        <f>+SUMPRODUCT(F49:F60,I49:I60)/SUMIF(F49:F60,"&gt;0",I49:I60)</f>
        <v>15.678566412392408</v>
      </c>
      <c r="G61" s="193">
        <f t="shared" si="68"/>
        <v>5.3949037755262657</v>
      </c>
      <c r="H61" s="194">
        <f t="shared" si="69"/>
        <v>0.94145261960267679</v>
      </c>
      <c r="I61" s="195">
        <f>SUM(I49:I60)</f>
        <v>411012.9</v>
      </c>
      <c r="J61" s="119"/>
      <c r="K61" s="191" t="str">
        <f>BSP!K61</f>
        <v>CUMML</v>
      </c>
      <c r="L61" s="192">
        <f>+SUMPRODUCT(L49:L60,S49:S60)/S61</f>
        <v>62.434267224880877</v>
      </c>
      <c r="M61" s="192">
        <f>+SUMPRODUCT(M49:M60,S49:S60)/S61</f>
        <v>3.0018154196136808</v>
      </c>
      <c r="N61" s="192">
        <f>+SUMPRODUCT(N49:N60,S49:S60)/S61</f>
        <v>2.5811701179263089</v>
      </c>
      <c r="O61" s="192">
        <f>+SUMPRODUCT(O49:O60,S49:S60)/SUMIF(O49:O60,"&gt;0",S49:S60)</f>
        <v>5.9124298771385728</v>
      </c>
      <c r="P61" s="192">
        <f>+SUMPRODUCT(P49:P60,S49:S60)/SUMIF(P49:P60,"&gt;0",S49:S60)</f>
        <v>32.982671208460161</v>
      </c>
      <c r="Q61" s="193">
        <f t="shared" si="70"/>
        <v>5.5829855375399902</v>
      </c>
      <c r="R61" s="194">
        <f t="shared" si="71"/>
        <v>0.85986969787052836</v>
      </c>
      <c r="S61" s="195">
        <f>SUM(S49:S60)</f>
        <v>903428.6</v>
      </c>
      <c r="U61" s="191" t="str">
        <f>BSP!U61</f>
        <v>CUMML</v>
      </c>
      <c r="V61" s="192">
        <f>+SUMPRODUCT(V49:V60,AC49:AC60)/AC61</f>
        <v>63.340601899767712</v>
      </c>
      <c r="W61" s="192">
        <f>+SUMPRODUCT(W49:W60,AC49:AC60)/AC61</f>
        <v>2.577892200832586</v>
      </c>
      <c r="X61" s="192">
        <f>+SUMPRODUCT(X49:X60,AC49:AC60)/AC61</f>
        <v>2.2198837369764712</v>
      </c>
      <c r="Y61" s="192">
        <f>+SUMPRODUCT(Y49:Y60,AC49:AC60)/SUMIF(Y49:Y60,"&gt;0",AC49:AC60)</f>
        <v>7.949866556430675</v>
      </c>
      <c r="Z61" s="192">
        <f>+SUMPRODUCT(Z49:Z60,AC49:AC60)/SUMIF(Z49:Z60,"&gt;0",AC49:AC60)</f>
        <v>10.138610881452793</v>
      </c>
      <c r="AA61" s="193">
        <f t="shared" si="72"/>
        <v>4.7977759378090568</v>
      </c>
      <c r="AB61" s="194">
        <f t="shared" si="73"/>
        <v>0.86112357074493329</v>
      </c>
      <c r="AC61" s="195">
        <f>SUM(AC49:AC60)</f>
        <v>34783.199999999997</v>
      </c>
      <c r="AD61" s="171"/>
      <c r="AE61" s="196" t="str">
        <f>BSP!AE61</f>
        <v>CUMML</v>
      </c>
      <c r="AF61" s="192">
        <f>+SUMPRODUCT(AF49:AF60,AM49:AM60)/AM61</f>
        <v>63.238062760320922</v>
      </c>
      <c r="AG61" s="192">
        <f>+SUMPRODUCT(AG49:AG60,AM49:AM60)/AM61</f>
        <v>2.6403755050702933</v>
      </c>
      <c r="AH61" s="192">
        <f>+SUMPRODUCT(AH49:AH60,AM49:AM60)/AM61</f>
        <v>2.2951972963795675</v>
      </c>
      <c r="AI61" s="192">
        <f>+SUMPRODUCT(AI49:AI60,AM49:AM60)/SUMIF(AI49:AI60,"&gt;0",AM49:AM60)</f>
        <v>4.6519408917712486</v>
      </c>
      <c r="AJ61" s="192">
        <f>+SUMPRODUCT(AJ49:AJ60,AM49:AM60)/SUMIF(AJ49:AJ60,"&gt;0",AM49:AM60)</f>
        <v>34.216686568427185</v>
      </c>
      <c r="AK61" s="193">
        <f t="shared" si="74"/>
        <v>4.9355728014498608</v>
      </c>
      <c r="AL61" s="194">
        <f t="shared" si="75"/>
        <v>0.86926927324242986</v>
      </c>
      <c r="AM61" s="195">
        <f>SUM(AM49:AM60)</f>
        <v>49770.3</v>
      </c>
      <c r="AO61" s="196" t="str">
        <f>BSP!AO61</f>
        <v>CUMML</v>
      </c>
      <c r="AP61" s="192">
        <f>+SUMPRODUCT(AP49:AP60,AW49:AW60)/AW61</f>
        <v>61.869138155003711</v>
      </c>
      <c r="AQ61" s="192">
        <f>+SUMPRODUCT(AQ49:AQ60,AW49:AW60)/AW61</f>
        <v>4.0181414627257608</v>
      </c>
      <c r="AR61" s="192">
        <f>+SUMPRODUCT(AR49:AR60,AW49:AW60)/AW61</f>
        <v>2.397439336341562</v>
      </c>
      <c r="AS61" s="192">
        <f>+SUMPRODUCT(AS49:AS60,AW49:AW60)/SUMIF(AS49:AS60,"&gt;0",AW49:AW60)</f>
        <v>14.27287825179592</v>
      </c>
      <c r="AT61" s="192">
        <f>+SUMPRODUCT(AT49:AT60,AW49:AW60)/SUMIF(AT49:AT60,"&gt;0",AW49:AW60)</f>
        <v>18.692489895796918</v>
      </c>
      <c r="AU61" s="193">
        <f t="shared" si="66"/>
        <v>6.4155807990673228</v>
      </c>
      <c r="AV61" s="194">
        <f t="shared" si="79"/>
        <v>0.59665379095817761</v>
      </c>
      <c r="AW61" s="195">
        <f>SUM(AW49:AW60)</f>
        <v>8288253.8399999989</v>
      </c>
      <c r="AY61" s="196" t="str">
        <f>BSP!AY61</f>
        <v>CUMML</v>
      </c>
      <c r="AZ61" s="192">
        <f>+SUMPRODUCT(AZ49:AZ60,BG49:BG60)/BG61</f>
        <v>61.376294363374619</v>
      </c>
      <c r="BA61" s="192">
        <f>+SUMPRODUCT(BA49:BA60,BG49:BG60)/BG61</f>
        <v>4.830150041623626</v>
      </c>
      <c r="BB61" s="192">
        <f>+SUMPRODUCT(BB49:BB60,BG49:BG60)/BG61</f>
        <v>2.6163258546407522</v>
      </c>
      <c r="BC61" s="192">
        <f>+SUMPRODUCT(BC49:BC60,BG49:BG60)/SUMIF(BC49:BC60,"&gt;0",BG49:BG60)</f>
        <v>5.7199138139614618</v>
      </c>
      <c r="BD61" s="192">
        <f>+SUMPRODUCT(BD49:BD60,BG49:BG60)/SUMIF(BD49:BD60,"&gt;0",BG49:BG60)</f>
        <v>35.060665028999665</v>
      </c>
      <c r="BE61" s="193">
        <f t="shared" si="67"/>
        <v>7.4464758962643778</v>
      </c>
      <c r="BF61" s="194">
        <f t="shared" si="81"/>
        <v>0.54166554498197117</v>
      </c>
      <c r="BG61" s="195">
        <f>SUM(BG49:BG60)</f>
        <v>15828366.440000001</v>
      </c>
      <c r="CD61" s="104">
        <f t="shared" si="77"/>
        <v>0</v>
      </c>
      <c r="CE61" s="200" t="str">
        <f t="shared" si="77"/>
        <v>CUMML</v>
      </c>
      <c r="CF61" s="201">
        <f t="shared" si="77"/>
        <v>63.340601899767712</v>
      </c>
      <c r="CG61" s="202">
        <f t="shared" si="77"/>
        <v>2.577892200832586</v>
      </c>
      <c r="CH61" s="202">
        <f t="shared" si="77"/>
        <v>2.2198837369764712</v>
      </c>
      <c r="CI61" s="202">
        <f t="shared" si="77"/>
        <v>7.949866556430675</v>
      </c>
      <c r="CJ61" s="202">
        <f t="shared" si="77"/>
        <v>10.138610881452793</v>
      </c>
      <c r="CK61" s="202">
        <f t="shared" si="77"/>
        <v>4.7977759378090568</v>
      </c>
      <c r="CL61" s="203">
        <f t="shared" si="77"/>
        <v>0.86112357074493329</v>
      </c>
      <c r="CM61" s="204">
        <f t="shared" si="77"/>
        <v>34783.199999999997</v>
      </c>
      <c r="CN61" s="111">
        <f t="shared" si="77"/>
        <v>0</v>
      </c>
      <c r="CO61" s="200" t="str">
        <f t="shared" si="77"/>
        <v>CUMML</v>
      </c>
      <c r="CP61" s="201">
        <f t="shared" si="77"/>
        <v>63.238062760320922</v>
      </c>
      <c r="CQ61" s="202">
        <f t="shared" si="77"/>
        <v>2.6403755050702933</v>
      </c>
      <c r="CR61" s="202">
        <f t="shared" si="77"/>
        <v>2.2951972963795675</v>
      </c>
      <c r="CS61" s="202">
        <f t="shared" si="77"/>
        <v>4.6519408917712486</v>
      </c>
      <c r="CT61" s="202">
        <f t="shared" si="78"/>
        <v>34.216686568427185</v>
      </c>
      <c r="CU61" s="202">
        <f t="shared" si="78"/>
        <v>4.9355728014498608</v>
      </c>
      <c r="CV61" s="203">
        <f t="shared" si="78"/>
        <v>0.86926927324242986</v>
      </c>
      <c r="CW61" s="204">
        <f t="shared" si="78"/>
        <v>49770.3</v>
      </c>
      <c r="CX61" s="104">
        <f t="shared" si="78"/>
        <v>0</v>
      </c>
      <c r="CY61" s="257" t="str">
        <f t="shared" si="78"/>
        <v>CUMML</v>
      </c>
      <c r="CZ61" s="167">
        <f t="shared" si="82"/>
        <v>61.869138155003711</v>
      </c>
      <c r="DA61" s="167">
        <f t="shared" si="82"/>
        <v>4.0181414627257608</v>
      </c>
      <c r="DB61" s="167">
        <f t="shared" si="82"/>
        <v>2.397439336341562</v>
      </c>
      <c r="DC61" s="167">
        <f t="shared" si="82"/>
        <v>14.27287825179592</v>
      </c>
      <c r="DD61" s="167">
        <f t="shared" si="82"/>
        <v>18.692489895796918</v>
      </c>
      <c r="DE61" s="168">
        <f t="shared" si="82"/>
        <v>6.4155807990673228</v>
      </c>
      <c r="DF61" s="169">
        <f t="shared" si="82"/>
        <v>0.59665379095817761</v>
      </c>
      <c r="DG61" s="195">
        <f t="shared" si="82"/>
        <v>8288253.8399999989</v>
      </c>
      <c r="DH61" s="104">
        <f t="shared" si="65"/>
        <v>0</v>
      </c>
      <c r="DI61" s="257" t="str">
        <f t="shared" si="65"/>
        <v>CUMML</v>
      </c>
      <c r="DJ61" s="192">
        <f t="shared" si="64"/>
        <v>61.376294363374619</v>
      </c>
      <c r="DK61" s="192">
        <f t="shared" si="64"/>
        <v>4.830150041623626</v>
      </c>
      <c r="DL61" s="192">
        <f t="shared" si="64"/>
        <v>2.6163258546407522</v>
      </c>
      <c r="DM61" s="192">
        <f t="shared" si="64"/>
        <v>5.7199138139614618</v>
      </c>
      <c r="DN61" s="192">
        <f t="shared" si="64"/>
        <v>35.060665028999665</v>
      </c>
      <c r="DO61" s="193">
        <f t="shared" si="64"/>
        <v>7.4464758962643778</v>
      </c>
      <c r="DP61" s="194">
        <f t="shared" si="64"/>
        <v>0.54166554498197117</v>
      </c>
      <c r="DQ61" s="195">
        <f t="shared" si="64"/>
        <v>15828366.440000001</v>
      </c>
    </row>
    <row r="62" spans="1:121" ht="27" customHeight="1" x14ac:dyDescent="0.35">
      <c r="CE62" s="208"/>
      <c r="CF62" s="111"/>
      <c r="CG62" s="111"/>
      <c r="CH62" s="111"/>
      <c r="CI62" s="111"/>
      <c r="CJ62" s="111"/>
      <c r="CK62" s="111"/>
      <c r="CL62" s="111"/>
      <c r="CM62" s="111"/>
      <c r="CN62" s="111"/>
      <c r="CO62" s="208"/>
      <c r="CP62" s="111"/>
      <c r="CQ62" s="111"/>
      <c r="CR62" s="111"/>
      <c r="CS62" s="111"/>
      <c r="CT62" s="111"/>
      <c r="CU62" s="111"/>
      <c r="CV62" s="111"/>
      <c r="CW62" s="111"/>
    </row>
    <row r="63" spans="1:121" ht="27" customHeight="1" x14ac:dyDescent="0.35">
      <c r="A63" s="583"/>
      <c r="B63" s="583"/>
      <c r="C63" s="583"/>
      <c r="D63" s="583"/>
      <c r="E63" s="583"/>
      <c r="F63" s="583"/>
      <c r="G63" s="240"/>
      <c r="H63" s="224"/>
      <c r="I63" s="224"/>
      <c r="J63" s="258"/>
      <c r="K63" s="583"/>
      <c r="L63" s="583"/>
      <c r="M63" s="583"/>
      <c r="N63" s="583"/>
      <c r="O63" s="583"/>
      <c r="P63" s="583"/>
      <c r="Q63" s="224"/>
      <c r="R63" s="224"/>
      <c r="S63" s="224"/>
      <c r="T63" s="240"/>
      <c r="U63" s="223"/>
      <c r="V63" s="224"/>
      <c r="W63" s="224"/>
      <c r="X63" s="224"/>
      <c r="Y63" s="224"/>
      <c r="Z63" s="224"/>
      <c r="AA63" s="224"/>
      <c r="AB63" s="240"/>
      <c r="AD63" s="240"/>
      <c r="AE63" s="240"/>
      <c r="AF63" s="240"/>
      <c r="AG63" s="240"/>
      <c r="AH63" s="240"/>
      <c r="AI63" s="259"/>
      <c r="AJ63" s="213"/>
      <c r="AK63" s="240"/>
      <c r="AL63" s="240"/>
      <c r="AM63" s="240"/>
      <c r="AP63" s="212"/>
      <c r="AQ63" s="212"/>
      <c r="AR63" s="212"/>
      <c r="AS63" s="212"/>
      <c r="AT63" s="212"/>
      <c r="CE63" s="208"/>
      <c r="CF63" s="111"/>
      <c r="CG63" s="111"/>
      <c r="CH63" s="111"/>
      <c r="CI63" s="111"/>
      <c r="CJ63" s="111"/>
      <c r="CK63" s="111"/>
      <c r="CL63" s="111"/>
      <c r="CM63" s="111"/>
      <c r="CN63" s="111"/>
      <c r="CO63" s="208"/>
      <c r="CP63" s="111"/>
      <c r="CQ63" s="111"/>
      <c r="CR63" s="111"/>
      <c r="CS63" s="111"/>
      <c r="CT63" s="111"/>
      <c r="CU63" s="111"/>
      <c r="CV63" s="111"/>
      <c r="CW63" s="111"/>
    </row>
    <row r="64" spans="1:121" ht="27" customHeight="1" x14ac:dyDescent="0.35">
      <c r="A64" s="258"/>
      <c r="B64" s="260"/>
      <c r="C64" s="260"/>
      <c r="D64" s="258"/>
      <c r="E64" s="259"/>
      <c r="F64" s="213"/>
      <c r="G64" s="240"/>
      <c r="H64" s="261"/>
      <c r="I64" s="261"/>
      <c r="J64" s="240"/>
      <c r="K64" s="258"/>
      <c r="L64" s="260"/>
      <c r="M64" s="260"/>
      <c r="N64" s="258"/>
      <c r="O64" s="259"/>
      <c r="P64" s="213"/>
      <c r="Q64" s="261"/>
      <c r="R64" s="261"/>
      <c r="S64" s="261"/>
      <c r="T64" s="240"/>
      <c r="U64" s="258"/>
      <c r="V64" s="260"/>
      <c r="W64" s="260"/>
      <c r="X64" s="258"/>
      <c r="Y64" s="259"/>
      <c r="Z64" s="213"/>
      <c r="AA64" s="261"/>
      <c r="AB64" s="240"/>
      <c r="AD64" s="240"/>
      <c r="AE64" s="258"/>
      <c r="AF64" s="260"/>
      <c r="AG64" s="260"/>
      <c r="AH64" s="261"/>
      <c r="AI64" s="213"/>
      <c r="AJ64" s="213"/>
      <c r="AK64" s="240"/>
      <c r="AL64" s="240"/>
      <c r="AM64" s="240"/>
      <c r="CE64" s="114" t="str">
        <f t="shared" ref="CE64:CT80" si="83">AO23</f>
        <v>काल्‍टा</v>
      </c>
      <c r="CF64" s="109">
        <f t="shared" si="83"/>
        <v>0</v>
      </c>
      <c r="CG64" s="109">
        <f t="shared" si="83"/>
        <v>0</v>
      </c>
      <c r="CH64" s="107" t="str">
        <f t="shared" si="83"/>
        <v>लम्प</v>
      </c>
      <c r="CI64" s="109">
        <f t="shared" si="83"/>
        <v>0</v>
      </c>
      <c r="CJ64" s="109">
        <f t="shared" si="83"/>
        <v>0</v>
      </c>
      <c r="CK64" s="110">
        <f t="shared" si="83"/>
        <v>0</v>
      </c>
      <c r="CL64" s="110">
        <f t="shared" si="83"/>
        <v>0</v>
      </c>
      <c r="CM64" s="110">
        <f t="shared" si="83"/>
        <v>0</v>
      </c>
      <c r="CN64" s="111">
        <f t="shared" si="83"/>
        <v>0</v>
      </c>
      <c r="CO64" s="114" t="str">
        <f t="shared" si="83"/>
        <v>काल्‍टा</v>
      </c>
      <c r="CP64" s="109">
        <f t="shared" si="83"/>
        <v>0</v>
      </c>
      <c r="CQ64" s="109">
        <f t="shared" si="83"/>
        <v>0</v>
      </c>
      <c r="CR64" s="107" t="str">
        <f t="shared" si="83"/>
        <v>फाईन्स</v>
      </c>
      <c r="CS64" s="109">
        <f t="shared" si="83"/>
        <v>0</v>
      </c>
      <c r="CT64" s="109">
        <f t="shared" si="83"/>
        <v>0</v>
      </c>
      <c r="CU64" s="110">
        <f t="shared" ref="CU64:CW66" si="84">BE23</f>
        <v>0</v>
      </c>
      <c r="CV64" s="110">
        <f t="shared" si="84"/>
        <v>0</v>
      </c>
      <c r="CW64" s="110">
        <f t="shared" si="84"/>
        <v>0</v>
      </c>
    </row>
    <row r="65" spans="1:121" ht="27" customHeight="1" thickBot="1" x14ac:dyDescent="0.4">
      <c r="A65" s="213"/>
      <c r="B65" s="213"/>
      <c r="C65" s="213"/>
      <c r="D65" s="213"/>
      <c r="E65" s="213"/>
      <c r="F65" s="213"/>
      <c r="G65" s="240"/>
      <c r="H65" s="213"/>
      <c r="I65" s="213"/>
      <c r="J65" s="240"/>
      <c r="K65" s="584"/>
      <c r="L65" s="584"/>
      <c r="M65" s="584"/>
      <c r="N65" s="584"/>
      <c r="O65" s="584"/>
      <c r="P65" s="584"/>
      <c r="Q65" s="213"/>
      <c r="R65" s="213"/>
      <c r="S65" s="213"/>
      <c r="T65" s="240"/>
      <c r="U65" s="213"/>
      <c r="V65" s="213"/>
      <c r="W65" s="213"/>
      <c r="X65" s="213"/>
      <c r="Y65" s="213"/>
      <c r="Z65" s="213"/>
      <c r="AA65" s="261"/>
      <c r="AB65" s="240"/>
      <c r="AD65" s="240"/>
      <c r="AE65" s="240"/>
      <c r="AF65" s="240"/>
      <c r="AG65" s="240"/>
      <c r="AH65" s="240"/>
      <c r="AI65" s="240"/>
      <c r="AJ65" s="240"/>
      <c r="AK65" s="240"/>
      <c r="AL65" s="240"/>
      <c r="AM65" s="240"/>
      <c r="CE65" s="118">
        <f t="shared" si="83"/>
        <v>0</v>
      </c>
      <c r="CF65" s="109">
        <f t="shared" si="83"/>
        <v>0</v>
      </c>
      <c r="CG65" s="109">
        <f t="shared" si="83"/>
        <v>0</v>
      </c>
      <c r="CH65" s="109">
        <f t="shared" si="83"/>
        <v>0</v>
      </c>
      <c r="CI65" s="109">
        <f t="shared" si="83"/>
        <v>0</v>
      </c>
      <c r="CJ65" s="109">
        <f t="shared" si="83"/>
        <v>0</v>
      </c>
      <c r="CK65" s="109">
        <f t="shared" si="83"/>
        <v>0</v>
      </c>
      <c r="CL65" s="109">
        <f t="shared" si="83"/>
        <v>0</v>
      </c>
      <c r="CM65" s="109">
        <f t="shared" si="83"/>
        <v>0</v>
      </c>
      <c r="CN65" s="111">
        <f t="shared" si="83"/>
        <v>0</v>
      </c>
      <c r="CO65" s="118">
        <f t="shared" si="83"/>
        <v>0</v>
      </c>
      <c r="CP65" s="109">
        <f t="shared" si="83"/>
        <v>0</v>
      </c>
      <c r="CQ65" s="109">
        <f t="shared" si="83"/>
        <v>0</v>
      </c>
      <c r="CR65" s="109">
        <f t="shared" si="83"/>
        <v>0</v>
      </c>
      <c r="CS65" s="109">
        <f t="shared" si="83"/>
        <v>0</v>
      </c>
      <c r="CT65" s="109">
        <f t="shared" si="83"/>
        <v>0</v>
      </c>
      <c r="CU65" s="109">
        <f t="shared" si="84"/>
        <v>0</v>
      </c>
      <c r="CV65" s="109">
        <f t="shared" si="84"/>
        <v>0</v>
      </c>
      <c r="CW65" s="109">
        <f t="shared" si="84"/>
        <v>0</v>
      </c>
    </row>
    <row r="66" spans="1:121" ht="27" customHeight="1" thickBot="1" x14ac:dyDescent="0.4">
      <c r="A66" s="224"/>
      <c r="B66" s="224"/>
      <c r="C66" s="224"/>
      <c r="D66" s="224"/>
      <c r="E66" s="224"/>
      <c r="F66" s="224"/>
      <c r="G66" s="240"/>
      <c r="H66" s="240"/>
      <c r="I66" s="240"/>
      <c r="J66" s="240"/>
      <c r="K66" s="224"/>
      <c r="L66" s="224"/>
      <c r="M66" s="224"/>
      <c r="N66" s="224"/>
      <c r="O66" s="224"/>
      <c r="P66" s="224"/>
      <c r="Q66" s="213"/>
      <c r="R66" s="240"/>
      <c r="S66" s="240"/>
      <c r="T66" s="240"/>
      <c r="U66" s="224"/>
      <c r="V66" s="224"/>
      <c r="W66" s="224"/>
      <c r="X66" s="224"/>
      <c r="Y66" s="224"/>
      <c r="Z66" s="224"/>
      <c r="AA66" s="261"/>
      <c r="AB66" s="224"/>
      <c r="AD66" s="240"/>
      <c r="AE66" s="224"/>
      <c r="AF66" s="224"/>
      <c r="AG66" s="224"/>
      <c r="AH66" s="224"/>
      <c r="AI66" s="224"/>
      <c r="AJ66" s="224"/>
      <c r="AK66" s="224"/>
      <c r="AL66" s="240"/>
      <c r="AM66" s="240"/>
      <c r="CE66" s="127">
        <f t="shared" si="83"/>
        <v>0</v>
      </c>
      <c r="CF66" s="262" t="str">
        <f t="shared" si="83"/>
        <v>Fe</v>
      </c>
      <c r="CG66" s="263" t="str">
        <f t="shared" si="83"/>
        <v>SiO2</v>
      </c>
      <c r="CH66" s="263" t="str">
        <f t="shared" si="83"/>
        <v>Al2O3</v>
      </c>
      <c r="CI66" s="263" t="str">
        <f t="shared" si="83"/>
        <v>OS</v>
      </c>
      <c r="CJ66" s="263" t="str">
        <f t="shared" si="83"/>
        <v>US</v>
      </c>
      <c r="CK66" s="263" t="str">
        <f t="shared" si="83"/>
        <v>Al+Si</v>
      </c>
      <c r="CL66" s="263" t="str">
        <f t="shared" si="83"/>
        <v>Al/Si</v>
      </c>
      <c r="CM66" s="264" t="str">
        <f t="shared" si="83"/>
        <v>PLANT RCT</v>
      </c>
      <c r="CN66" s="111">
        <f t="shared" si="83"/>
        <v>0</v>
      </c>
      <c r="CO66" s="127">
        <f t="shared" si="83"/>
        <v>0</v>
      </c>
      <c r="CP66" s="262" t="str">
        <f t="shared" si="83"/>
        <v>Fe</v>
      </c>
      <c r="CQ66" s="263" t="str">
        <f t="shared" si="83"/>
        <v>SiO2</v>
      </c>
      <c r="CR66" s="263" t="str">
        <f t="shared" si="83"/>
        <v>Al2O3</v>
      </c>
      <c r="CS66" s="263" t="str">
        <f t="shared" si="83"/>
        <v>OS</v>
      </c>
      <c r="CT66" s="263" t="str">
        <f t="shared" si="83"/>
        <v>US</v>
      </c>
      <c r="CU66" s="263" t="str">
        <f t="shared" si="84"/>
        <v>Al+Si</v>
      </c>
      <c r="CV66" s="263" t="str">
        <f t="shared" si="84"/>
        <v>Al/Si</v>
      </c>
      <c r="CW66" s="264" t="str">
        <f t="shared" si="84"/>
        <v>PLANT RCT</v>
      </c>
    </row>
    <row r="67" spans="1:121" ht="27" customHeight="1" x14ac:dyDescent="0.35">
      <c r="A67" s="265"/>
      <c r="B67" s="265"/>
      <c r="C67" s="265"/>
      <c r="D67" s="265"/>
      <c r="E67" s="265"/>
      <c r="F67" s="265"/>
      <c r="G67" s="240"/>
      <c r="H67" s="240"/>
      <c r="I67" s="240"/>
      <c r="J67" s="266"/>
      <c r="K67" s="265"/>
      <c r="L67" s="265"/>
      <c r="M67" s="267"/>
      <c r="N67" s="265"/>
      <c r="O67" s="265"/>
      <c r="P67" s="265"/>
      <c r="Q67" s="213"/>
      <c r="R67" s="240"/>
      <c r="S67" s="240"/>
      <c r="T67" s="240"/>
      <c r="U67" s="265"/>
      <c r="V67" s="265"/>
      <c r="W67" s="265"/>
      <c r="X67" s="265"/>
      <c r="Y67" s="265"/>
      <c r="Z67" s="265"/>
      <c r="AA67" s="261"/>
      <c r="AB67" s="267"/>
      <c r="AD67" s="240"/>
      <c r="AE67" s="265"/>
      <c r="AF67" s="268"/>
      <c r="AG67" s="268"/>
      <c r="AH67" s="268"/>
      <c r="AI67" s="268"/>
      <c r="AJ67" s="268"/>
      <c r="AK67" s="267"/>
      <c r="AL67" s="240"/>
      <c r="AM67" s="240"/>
      <c r="CE67" s="269" t="str">
        <f t="shared" si="83"/>
        <v>Act 20-21</v>
      </c>
      <c r="CF67" s="270">
        <v>63.14</v>
      </c>
      <c r="CG67" s="271">
        <v>2.61</v>
      </c>
      <c r="CH67" s="271">
        <v>2.41</v>
      </c>
      <c r="CI67" s="271">
        <v>10.19</v>
      </c>
      <c r="CJ67" s="271">
        <v>15.82</v>
      </c>
      <c r="CK67" s="271">
        <v>5.0199999999999996</v>
      </c>
      <c r="CL67" s="271">
        <v>0.92</v>
      </c>
      <c r="CM67" s="272">
        <v>845508</v>
      </c>
      <c r="CN67" s="111">
        <f t="shared" si="83"/>
        <v>0</v>
      </c>
      <c r="CO67" s="269" t="str">
        <f t="shared" si="83"/>
        <v>Act 20-21</v>
      </c>
      <c r="CP67" s="270">
        <v>62.812496724968788</v>
      </c>
      <c r="CQ67" s="271">
        <v>2.7236805807396562</v>
      </c>
      <c r="CR67" s="271">
        <v>2.4363395280936788</v>
      </c>
      <c r="CS67" s="271">
        <v>6.5454376655189739</v>
      </c>
      <c r="CT67" s="271">
        <v>37.459299017276138</v>
      </c>
      <c r="CU67" s="271">
        <v>5.1600201088333346</v>
      </c>
      <c r="CV67" s="271">
        <v>0.89450266133338374</v>
      </c>
      <c r="CW67" s="272">
        <v>825355</v>
      </c>
    </row>
    <row r="68" spans="1:121" ht="27" customHeight="1" thickBot="1" x14ac:dyDescent="0.4">
      <c r="A68" s="273"/>
      <c r="B68" s="274"/>
      <c r="C68" s="274"/>
      <c r="D68" s="274"/>
      <c r="E68" s="274"/>
      <c r="F68" s="274"/>
      <c r="G68" s="240"/>
      <c r="H68" s="240"/>
      <c r="I68" s="240"/>
      <c r="J68" s="266"/>
      <c r="K68" s="273"/>
      <c r="L68" s="274"/>
      <c r="M68" s="274"/>
      <c r="N68" s="274"/>
      <c r="O68" s="274"/>
      <c r="P68" s="274"/>
      <c r="Q68" s="213"/>
      <c r="R68" s="240"/>
      <c r="S68" s="240"/>
      <c r="T68" s="240"/>
      <c r="U68" s="273"/>
      <c r="V68" s="275"/>
      <c r="W68" s="275"/>
      <c r="X68" s="275"/>
      <c r="Y68" s="275"/>
      <c r="Z68" s="275"/>
      <c r="AA68" s="261"/>
      <c r="AB68" s="205"/>
      <c r="AD68" s="240"/>
      <c r="AE68" s="276"/>
      <c r="AF68" s="277"/>
      <c r="AG68" s="277"/>
      <c r="AH68" s="277"/>
      <c r="AI68" s="277"/>
      <c r="AJ68" s="277"/>
      <c r="AK68" s="205"/>
      <c r="AL68" s="240"/>
      <c r="AM68" s="240"/>
      <c r="BU68" s="278"/>
      <c r="BV68" s="243"/>
      <c r="BW68" s="243"/>
      <c r="BX68" s="244"/>
      <c r="BY68" s="245"/>
      <c r="BZ68" s="103"/>
      <c r="CA68" s="246"/>
      <c r="CB68" s="246"/>
      <c r="CE68" s="279" t="str">
        <f t="shared" si="83"/>
        <v>APP 21-22</v>
      </c>
      <c r="CF68" s="280">
        <f t="shared" si="83"/>
        <v>63</v>
      </c>
      <c r="CG68" s="281">
        <f t="shared" si="83"/>
        <v>2.6</v>
      </c>
      <c r="CH68" s="281">
        <f t="shared" si="83"/>
        <v>2.2000000000000002</v>
      </c>
      <c r="CI68" s="281">
        <f t="shared" si="83"/>
        <v>5</v>
      </c>
      <c r="CJ68" s="281">
        <f t="shared" si="83"/>
        <v>5</v>
      </c>
      <c r="CK68" s="281">
        <f t="shared" si="83"/>
        <v>4.8000000000000007</v>
      </c>
      <c r="CL68" s="281">
        <f t="shared" si="83"/>
        <v>0.84615384615384615</v>
      </c>
      <c r="CM68" s="282">
        <f t="shared" si="83"/>
        <v>0</v>
      </c>
      <c r="CN68" s="165">
        <f t="shared" si="83"/>
        <v>0</v>
      </c>
      <c r="CO68" s="279" t="str">
        <f t="shared" si="83"/>
        <v>APP 21-22</v>
      </c>
      <c r="CP68" s="280">
        <f t="shared" si="83"/>
        <v>63</v>
      </c>
      <c r="CQ68" s="281">
        <f t="shared" si="83"/>
        <v>2.9</v>
      </c>
      <c r="CR68" s="281">
        <f t="shared" si="83"/>
        <v>2.5</v>
      </c>
      <c r="CS68" s="281">
        <f t="shared" si="83"/>
        <v>5</v>
      </c>
      <c r="CT68" s="281">
        <f t="shared" si="83"/>
        <v>40</v>
      </c>
      <c r="CU68" s="281">
        <f t="shared" ref="CU68:CW81" si="85">BE27</f>
        <v>5.4</v>
      </c>
      <c r="CV68" s="281">
        <f t="shared" si="85"/>
        <v>0.86206896551724144</v>
      </c>
      <c r="CW68" s="282">
        <f t="shared" si="85"/>
        <v>0</v>
      </c>
      <c r="DI68" s="278"/>
      <c r="DJ68" s="119"/>
      <c r="DK68" s="119"/>
      <c r="DL68" s="244"/>
      <c r="DM68" s="119"/>
      <c r="DN68" s="119"/>
      <c r="DO68" s="246"/>
      <c r="DP68" s="246"/>
      <c r="DQ68" s="246"/>
    </row>
    <row r="69" spans="1:121" ht="27" customHeight="1" thickBot="1" x14ac:dyDescent="0.4">
      <c r="A69" s="211"/>
      <c r="B69" s="212"/>
      <c r="C69" s="212"/>
      <c r="D69" s="212"/>
      <c r="E69" s="212"/>
      <c r="F69" s="212"/>
      <c r="G69" s="240"/>
      <c r="H69" s="240"/>
      <c r="I69" s="240"/>
      <c r="J69" s="266"/>
      <c r="K69" s="211"/>
      <c r="L69" s="212"/>
      <c r="M69" s="212"/>
      <c r="N69" s="212"/>
      <c r="O69" s="212"/>
      <c r="P69" s="212"/>
      <c r="Q69" s="213"/>
      <c r="R69" s="240"/>
      <c r="S69" s="240"/>
      <c r="T69" s="240"/>
      <c r="U69" s="211"/>
      <c r="V69" s="212"/>
      <c r="W69" s="212"/>
      <c r="X69" s="212"/>
      <c r="Y69" s="212"/>
      <c r="Z69" s="212"/>
      <c r="AA69" s="261"/>
      <c r="AB69" s="283"/>
      <c r="AD69" s="240"/>
      <c r="AE69" s="211"/>
      <c r="AF69" s="212"/>
      <c r="AG69" s="212"/>
      <c r="AH69" s="212"/>
      <c r="AI69" s="212"/>
      <c r="AJ69" s="212"/>
      <c r="AK69" s="283"/>
      <c r="AL69" s="240"/>
      <c r="AM69" s="240"/>
      <c r="BK69" s="284"/>
      <c r="BL69" s="243"/>
      <c r="BM69" s="243"/>
      <c r="BN69" s="244"/>
      <c r="BO69" s="245"/>
      <c r="BP69" s="103"/>
      <c r="BQ69" s="246"/>
      <c r="BR69" s="246"/>
      <c r="BS69" s="246"/>
      <c r="BU69" s="249"/>
      <c r="BV69" s="103"/>
      <c r="BW69" s="103"/>
      <c r="BX69" s="103"/>
      <c r="BY69" s="103"/>
      <c r="BZ69" s="103"/>
      <c r="CA69" s="103"/>
      <c r="CB69" s="103"/>
      <c r="CE69" s="285">
        <f t="shared" si="83"/>
        <v>44287</v>
      </c>
      <c r="CF69" s="286">
        <f t="shared" si="83"/>
        <v>63.245650950565782</v>
      </c>
      <c r="CG69" s="175">
        <f t="shared" si="83"/>
        <v>2.5844593154645343</v>
      </c>
      <c r="CH69" s="175">
        <f t="shared" si="83"/>
        <v>2.2924653992456325</v>
      </c>
      <c r="CI69" s="175">
        <f t="shared" si="83"/>
        <v>5.4513254742820463</v>
      </c>
      <c r="CJ69" s="175">
        <f t="shared" si="83"/>
        <v>10.190828136186489</v>
      </c>
      <c r="CK69" s="175">
        <f t="shared" si="83"/>
        <v>4.8769247147101673</v>
      </c>
      <c r="CL69" s="175">
        <f t="shared" si="83"/>
        <v>0.88701934115514669</v>
      </c>
      <c r="CM69" s="287">
        <f t="shared" si="83"/>
        <v>149873.9</v>
      </c>
      <c r="CN69" s="111">
        <f t="shared" si="83"/>
        <v>0</v>
      </c>
      <c r="CO69" s="285">
        <f t="shared" si="83"/>
        <v>44287</v>
      </c>
      <c r="CP69" s="286">
        <f t="shared" si="83"/>
        <v>62.88</v>
      </c>
      <c r="CQ69" s="175">
        <f t="shared" si="83"/>
        <v>2.69</v>
      </c>
      <c r="CR69" s="175">
        <f t="shared" si="83"/>
        <v>2.31</v>
      </c>
      <c r="CS69" s="175">
        <f t="shared" si="83"/>
        <v>4.75</v>
      </c>
      <c r="CT69" s="175">
        <f t="shared" si="83"/>
        <v>37.21</v>
      </c>
      <c r="CU69" s="175">
        <f t="shared" si="85"/>
        <v>5</v>
      </c>
      <c r="CV69" s="175">
        <f t="shared" si="85"/>
        <v>0.85873605947955389</v>
      </c>
      <c r="CW69" s="287">
        <f t="shared" si="85"/>
        <v>143043.9</v>
      </c>
      <c r="DI69" s="249"/>
      <c r="DJ69" s="103"/>
      <c r="DK69" s="103"/>
      <c r="DL69" s="103"/>
      <c r="DM69" s="103"/>
      <c r="DN69" s="103"/>
      <c r="DO69" s="103"/>
      <c r="DP69" s="103"/>
      <c r="DQ69" s="103"/>
    </row>
    <row r="70" spans="1:121" ht="27" customHeight="1" thickBot="1" x14ac:dyDescent="0.4">
      <c r="A70" s="211"/>
      <c r="B70" s="212"/>
      <c r="C70" s="212"/>
      <c r="D70" s="212"/>
      <c r="E70" s="212"/>
      <c r="F70" s="212"/>
      <c r="G70" s="240"/>
      <c r="H70" s="240"/>
      <c r="I70" s="240"/>
      <c r="J70" s="266"/>
      <c r="K70" s="211"/>
      <c r="L70" s="212"/>
      <c r="M70" s="212"/>
      <c r="N70" s="212"/>
      <c r="O70" s="212"/>
      <c r="P70" s="212"/>
      <c r="Q70" s="213"/>
      <c r="R70" s="240"/>
      <c r="S70" s="240"/>
      <c r="T70" s="240"/>
      <c r="U70" s="211"/>
      <c r="V70" s="212"/>
      <c r="W70" s="212"/>
      <c r="X70" s="212"/>
      <c r="Y70" s="212"/>
      <c r="Z70" s="212"/>
      <c r="AA70" s="261"/>
      <c r="AB70" s="212"/>
      <c r="AD70" s="240"/>
      <c r="AE70" s="211"/>
      <c r="AF70" s="212"/>
      <c r="AG70" s="212"/>
      <c r="AH70" s="212"/>
      <c r="AI70" s="212"/>
      <c r="AJ70" s="212"/>
      <c r="AK70" s="283"/>
      <c r="AL70" s="240"/>
      <c r="AM70" s="240"/>
      <c r="CE70" s="288">
        <f t="shared" si="83"/>
        <v>44317</v>
      </c>
      <c r="CF70" s="289">
        <f t="shared" si="83"/>
        <v>63.13</v>
      </c>
      <c r="CG70" s="180">
        <f t="shared" si="83"/>
        <v>2.5</v>
      </c>
      <c r="CH70" s="180">
        <f t="shared" si="83"/>
        <v>2.3199999999999998</v>
      </c>
      <c r="CI70" s="180">
        <f t="shared" si="83"/>
        <v>4.7</v>
      </c>
      <c r="CJ70" s="180">
        <f t="shared" si="83"/>
        <v>10.4</v>
      </c>
      <c r="CK70" s="180">
        <f t="shared" si="83"/>
        <v>4.82</v>
      </c>
      <c r="CL70" s="180">
        <f t="shared" si="83"/>
        <v>0.92799999999999994</v>
      </c>
      <c r="CM70" s="290">
        <f t="shared" si="83"/>
        <v>135426.5</v>
      </c>
      <c r="CN70" s="111">
        <f t="shared" si="83"/>
        <v>0</v>
      </c>
      <c r="CO70" s="288">
        <f t="shared" si="83"/>
        <v>44317</v>
      </c>
      <c r="CP70" s="289">
        <f t="shared" si="83"/>
        <v>62.91</v>
      </c>
      <c r="CQ70" s="180">
        <f t="shared" si="83"/>
        <v>2.5700000000000003</v>
      </c>
      <c r="CR70" s="180">
        <f t="shared" si="83"/>
        <v>2.38</v>
      </c>
      <c r="CS70" s="180">
        <f t="shared" si="83"/>
        <v>4.3</v>
      </c>
      <c r="CT70" s="180">
        <f t="shared" si="83"/>
        <v>37.200000000000003</v>
      </c>
      <c r="CU70" s="180">
        <f t="shared" si="85"/>
        <v>4.95</v>
      </c>
      <c r="CV70" s="180">
        <f t="shared" si="85"/>
        <v>0.92607003891050566</v>
      </c>
      <c r="CW70" s="290">
        <f t="shared" si="85"/>
        <v>114004.9</v>
      </c>
      <c r="DI70" s="248"/>
      <c r="DJ70" s="120"/>
      <c r="DK70" s="121"/>
      <c r="DL70" s="121"/>
      <c r="DM70" s="121"/>
      <c r="DN70" s="125"/>
      <c r="DO70" s="121"/>
      <c r="DP70" s="121"/>
      <c r="DQ70" s="291"/>
    </row>
    <row r="71" spans="1:121" ht="27" customHeight="1" thickBot="1" x14ac:dyDescent="0.4">
      <c r="A71" s="211"/>
      <c r="B71" s="212"/>
      <c r="C71" s="212"/>
      <c r="D71" s="212"/>
      <c r="E71" s="212"/>
      <c r="F71" s="212"/>
      <c r="G71" s="240"/>
      <c r="H71" s="240"/>
      <c r="I71" s="240"/>
      <c r="J71" s="266"/>
      <c r="K71" s="211"/>
      <c r="L71" s="212"/>
      <c r="M71" s="212"/>
      <c r="N71" s="212"/>
      <c r="O71" s="212"/>
      <c r="P71" s="212"/>
      <c r="Q71" s="213"/>
      <c r="R71" s="240"/>
      <c r="S71" s="240"/>
      <c r="T71" s="240"/>
      <c r="U71" s="211"/>
      <c r="V71" s="212"/>
      <c r="W71" s="212"/>
      <c r="X71" s="212"/>
      <c r="Y71" s="212"/>
      <c r="Z71" s="212"/>
      <c r="AA71" s="261"/>
      <c r="AB71" s="212"/>
      <c r="AD71" s="240"/>
      <c r="AE71" s="211"/>
      <c r="AF71" s="212"/>
      <c r="AG71" s="212"/>
      <c r="AH71" s="212"/>
      <c r="AI71" s="212"/>
      <c r="AJ71" s="212"/>
      <c r="AK71" s="283"/>
      <c r="AL71" s="240"/>
      <c r="AM71" s="240"/>
      <c r="CE71" s="288">
        <f t="shared" si="83"/>
        <v>44348</v>
      </c>
      <c r="CF71" s="289">
        <f t="shared" si="83"/>
        <v>63.17</v>
      </c>
      <c r="CG71" s="180">
        <f t="shared" si="83"/>
        <v>2.46</v>
      </c>
      <c r="CH71" s="180">
        <f t="shared" si="83"/>
        <v>2.2799999999999998</v>
      </c>
      <c r="CI71" s="180">
        <f t="shared" si="83"/>
        <v>5</v>
      </c>
      <c r="CJ71" s="180">
        <f t="shared" si="83"/>
        <v>11.9</v>
      </c>
      <c r="CK71" s="180">
        <f t="shared" si="83"/>
        <v>4.74</v>
      </c>
      <c r="CL71" s="180">
        <f t="shared" si="83"/>
        <v>0.92682926829268286</v>
      </c>
      <c r="CM71" s="290">
        <f t="shared" si="83"/>
        <v>55378.5</v>
      </c>
      <c r="CN71" s="111">
        <f t="shared" si="83"/>
        <v>0</v>
      </c>
      <c r="CO71" s="288">
        <f t="shared" si="83"/>
        <v>44348</v>
      </c>
      <c r="CP71" s="289">
        <f t="shared" si="83"/>
        <v>62.92</v>
      </c>
      <c r="CQ71" s="180">
        <f t="shared" si="83"/>
        <v>2.69</v>
      </c>
      <c r="CR71" s="180">
        <f t="shared" si="83"/>
        <v>2.2400000000000002</v>
      </c>
      <c r="CS71" s="180">
        <f t="shared" si="83"/>
        <v>4</v>
      </c>
      <c r="CT71" s="180">
        <f t="shared" si="83"/>
        <v>37.6</v>
      </c>
      <c r="CU71" s="180">
        <f t="shared" si="85"/>
        <v>4.93</v>
      </c>
      <c r="CV71" s="180">
        <f t="shared" si="85"/>
        <v>0.83271375464684028</v>
      </c>
      <c r="CW71" s="290">
        <f t="shared" si="85"/>
        <v>40694.300000000003</v>
      </c>
      <c r="DI71" s="252"/>
      <c r="DJ71" s="139"/>
      <c r="DK71" s="134"/>
      <c r="DL71" s="134"/>
      <c r="DM71" s="134"/>
      <c r="DN71" s="134"/>
      <c r="DO71" s="134"/>
      <c r="DP71" s="134"/>
      <c r="DQ71" s="292"/>
    </row>
    <row r="72" spans="1:121" ht="27" customHeight="1" thickBot="1" x14ac:dyDescent="0.4">
      <c r="A72" s="211"/>
      <c r="B72" s="212"/>
      <c r="C72" s="212"/>
      <c r="D72" s="212"/>
      <c r="E72" s="212"/>
      <c r="F72" s="212"/>
      <c r="G72" s="240"/>
      <c r="H72" s="240"/>
      <c r="I72" s="240"/>
      <c r="J72" s="266"/>
      <c r="K72" s="211"/>
      <c r="L72" s="212"/>
      <c r="M72" s="212"/>
      <c r="N72" s="212"/>
      <c r="O72" s="212"/>
      <c r="P72" s="212"/>
      <c r="Q72" s="213"/>
      <c r="R72" s="240"/>
      <c r="S72" s="240"/>
      <c r="T72" s="240"/>
      <c r="U72" s="211"/>
      <c r="V72" s="212"/>
      <c r="W72" s="212"/>
      <c r="X72" s="212"/>
      <c r="Y72" s="212"/>
      <c r="Z72" s="212"/>
      <c r="AA72" s="261"/>
      <c r="AB72" s="212"/>
      <c r="AD72" s="240"/>
      <c r="AE72" s="211"/>
      <c r="AF72" s="212"/>
      <c r="AG72" s="212"/>
      <c r="AH72" s="212"/>
      <c r="AI72" s="212"/>
      <c r="AJ72" s="212"/>
      <c r="AK72" s="283"/>
      <c r="AL72" s="240"/>
      <c r="AM72" s="240"/>
      <c r="CE72" s="288">
        <f t="shared" si="83"/>
        <v>44378</v>
      </c>
      <c r="CF72" s="289">
        <f t="shared" si="83"/>
        <v>63.06</v>
      </c>
      <c r="CG72" s="180">
        <f t="shared" si="83"/>
        <v>2.41</v>
      </c>
      <c r="CH72" s="180">
        <f t="shared" si="83"/>
        <v>2.4700000000000002</v>
      </c>
      <c r="CI72" s="180">
        <f t="shared" si="83"/>
        <v>4.5999999999999996</v>
      </c>
      <c r="CJ72" s="180">
        <f t="shared" si="83"/>
        <v>13.1</v>
      </c>
      <c r="CK72" s="180">
        <f t="shared" si="83"/>
        <v>4.8800000000000008</v>
      </c>
      <c r="CL72" s="180">
        <f t="shared" si="83"/>
        <v>1.0248962655601659</v>
      </c>
      <c r="CM72" s="290">
        <f t="shared" si="83"/>
        <v>137310.6</v>
      </c>
      <c r="CN72" s="111">
        <f t="shared" si="83"/>
        <v>0</v>
      </c>
      <c r="CO72" s="288">
        <f t="shared" si="83"/>
        <v>44378</v>
      </c>
      <c r="CP72" s="289">
        <f t="shared" si="83"/>
        <v>62.76</v>
      </c>
      <c r="CQ72" s="180">
        <f t="shared" si="83"/>
        <v>2.72</v>
      </c>
      <c r="CR72" s="180">
        <f t="shared" si="83"/>
        <v>2.4300000000000002</v>
      </c>
      <c r="CS72" s="180">
        <f t="shared" si="83"/>
        <v>3.3000000000000003</v>
      </c>
      <c r="CT72" s="180">
        <f t="shared" si="83"/>
        <v>37</v>
      </c>
      <c r="CU72" s="180">
        <f t="shared" si="85"/>
        <v>5.15</v>
      </c>
      <c r="CV72" s="180">
        <f t="shared" si="85"/>
        <v>0.89338235294117652</v>
      </c>
      <c r="CW72" s="290">
        <f t="shared" si="85"/>
        <v>207253.9</v>
      </c>
      <c r="DI72" s="293"/>
      <c r="DJ72" s="294"/>
      <c r="DK72" s="295"/>
      <c r="DL72" s="295"/>
      <c r="DM72" s="295"/>
      <c r="DN72" s="295"/>
      <c r="DO72" s="295"/>
      <c r="DP72" s="296"/>
      <c r="DQ72" s="297"/>
    </row>
    <row r="73" spans="1:121" ht="27" customHeight="1" x14ac:dyDescent="0.35">
      <c r="A73" s="211"/>
      <c r="B73" s="212"/>
      <c r="C73" s="212"/>
      <c r="D73" s="212"/>
      <c r="E73" s="212"/>
      <c r="F73" s="212"/>
      <c r="G73" s="240"/>
      <c r="H73" s="240"/>
      <c r="I73" s="240"/>
      <c r="J73" s="240"/>
      <c r="K73" s="211"/>
      <c r="L73" s="212"/>
      <c r="M73" s="212"/>
      <c r="N73" s="212"/>
      <c r="O73" s="212"/>
      <c r="P73" s="212"/>
      <c r="Q73" s="213"/>
      <c r="R73" s="240"/>
      <c r="S73" s="240"/>
      <c r="T73" s="240"/>
      <c r="U73" s="211"/>
      <c r="V73" s="212"/>
      <c r="W73" s="212"/>
      <c r="X73" s="212"/>
      <c r="Y73" s="212"/>
      <c r="Z73" s="212"/>
      <c r="AA73" s="261"/>
      <c r="AB73" s="212"/>
      <c r="AD73" s="240"/>
      <c r="AE73" s="211"/>
      <c r="AF73" s="212"/>
      <c r="AG73" s="212"/>
      <c r="AH73" s="212"/>
      <c r="AI73" s="212"/>
      <c r="AJ73" s="212"/>
      <c r="AK73" s="283"/>
      <c r="AL73" s="240"/>
      <c r="AM73" s="240"/>
      <c r="CE73" s="288">
        <f t="shared" si="83"/>
        <v>44409</v>
      </c>
      <c r="CF73" s="289">
        <f t="shared" si="83"/>
        <v>62.94</v>
      </c>
      <c r="CG73" s="180">
        <f t="shared" si="83"/>
        <v>2.7</v>
      </c>
      <c r="CH73" s="180">
        <f t="shared" si="83"/>
        <v>2.35</v>
      </c>
      <c r="CI73" s="180">
        <f t="shared" si="83"/>
        <v>4</v>
      </c>
      <c r="CJ73" s="180">
        <f t="shared" si="83"/>
        <v>12.6</v>
      </c>
      <c r="CK73" s="180">
        <f t="shared" si="83"/>
        <v>5.0500000000000007</v>
      </c>
      <c r="CL73" s="180">
        <f t="shared" si="83"/>
        <v>0.87037037037037035</v>
      </c>
      <c r="CM73" s="290">
        <f t="shared" si="83"/>
        <v>95691.4</v>
      </c>
      <c r="CN73" s="111">
        <f t="shared" si="83"/>
        <v>0</v>
      </c>
      <c r="CO73" s="288">
        <f t="shared" si="83"/>
        <v>44409</v>
      </c>
      <c r="CP73" s="289">
        <f t="shared" si="83"/>
        <v>62.709999999999994</v>
      </c>
      <c r="CQ73" s="180">
        <f t="shared" si="83"/>
        <v>2.85</v>
      </c>
      <c r="CR73" s="180">
        <f t="shared" si="83"/>
        <v>2.35</v>
      </c>
      <c r="CS73" s="180">
        <f t="shared" si="83"/>
        <v>3.6000000000000005</v>
      </c>
      <c r="CT73" s="180">
        <f t="shared" si="83"/>
        <v>37.299999999999997</v>
      </c>
      <c r="CU73" s="180">
        <f t="shared" si="85"/>
        <v>5.2</v>
      </c>
      <c r="CV73" s="180">
        <f t="shared" si="85"/>
        <v>0.82456140350877194</v>
      </c>
      <c r="CW73" s="290">
        <f t="shared" si="85"/>
        <v>181008.9</v>
      </c>
      <c r="DI73" s="298"/>
      <c r="DJ73" s="299"/>
      <c r="DK73" s="300"/>
      <c r="DL73" s="300"/>
      <c r="DM73" s="300"/>
      <c r="DN73" s="300"/>
      <c r="DO73" s="300"/>
      <c r="DP73" s="301"/>
      <c r="DQ73" s="302"/>
    </row>
    <row r="74" spans="1:121" ht="27" customHeight="1" x14ac:dyDescent="0.35">
      <c r="A74" s="211"/>
      <c r="B74" s="212"/>
      <c r="C74" s="212"/>
      <c r="D74" s="212"/>
      <c r="E74" s="212"/>
      <c r="F74" s="212"/>
      <c r="G74" s="240"/>
      <c r="H74" s="240"/>
      <c r="I74" s="240"/>
      <c r="J74" s="240"/>
      <c r="K74" s="211"/>
      <c r="L74" s="212"/>
      <c r="M74" s="212"/>
      <c r="N74" s="212"/>
      <c r="O74" s="212"/>
      <c r="P74" s="212"/>
      <c r="Q74" s="213"/>
      <c r="R74" s="240"/>
      <c r="S74" s="240"/>
      <c r="T74" s="240"/>
      <c r="U74" s="211"/>
      <c r="V74" s="212"/>
      <c r="W74" s="212"/>
      <c r="X74" s="212"/>
      <c r="Y74" s="212"/>
      <c r="Z74" s="212"/>
      <c r="AA74" s="261"/>
      <c r="AB74" s="212"/>
      <c r="AD74" s="240"/>
      <c r="AE74" s="211"/>
      <c r="AF74" s="212"/>
      <c r="AG74" s="212"/>
      <c r="AH74" s="212"/>
      <c r="AI74" s="212"/>
      <c r="AJ74" s="212"/>
      <c r="AK74" s="283"/>
      <c r="AL74" s="240"/>
      <c r="AM74" s="240"/>
      <c r="CE74" s="288">
        <f t="shared" si="83"/>
        <v>44440</v>
      </c>
      <c r="CF74" s="289">
        <f t="shared" si="83"/>
        <v>63.17</v>
      </c>
      <c r="CG74" s="180">
        <f t="shared" si="83"/>
        <v>2.5099999999999998</v>
      </c>
      <c r="CH74" s="180">
        <f t="shared" si="83"/>
        <v>2.2200000000000002</v>
      </c>
      <c r="CI74" s="180">
        <f t="shared" si="83"/>
        <v>3.91</v>
      </c>
      <c r="CJ74" s="180">
        <f t="shared" si="83"/>
        <v>13.77</v>
      </c>
      <c r="CK74" s="180">
        <f t="shared" si="83"/>
        <v>4.7300000000000004</v>
      </c>
      <c r="CL74" s="180">
        <f t="shared" si="83"/>
        <v>0.88446215139442241</v>
      </c>
      <c r="CM74" s="290">
        <f t="shared" si="83"/>
        <v>94563</v>
      </c>
      <c r="CN74" s="111">
        <f t="shared" si="83"/>
        <v>0</v>
      </c>
      <c r="CO74" s="288">
        <f t="shared" si="83"/>
        <v>44440</v>
      </c>
      <c r="CP74" s="289">
        <f t="shared" si="83"/>
        <v>62.8</v>
      </c>
      <c r="CQ74" s="180">
        <f t="shared" si="83"/>
        <v>2.73</v>
      </c>
      <c r="CR74" s="180">
        <f t="shared" si="83"/>
        <v>2.33</v>
      </c>
      <c r="CS74" s="180">
        <f t="shared" si="83"/>
        <v>3</v>
      </c>
      <c r="CT74" s="180">
        <f t="shared" si="83"/>
        <v>37</v>
      </c>
      <c r="CU74" s="180">
        <f t="shared" si="85"/>
        <v>5.0600000000000005</v>
      </c>
      <c r="CV74" s="180">
        <f t="shared" si="85"/>
        <v>0.85347985347985356</v>
      </c>
      <c r="CW74" s="290">
        <f t="shared" si="85"/>
        <v>173397.2</v>
      </c>
      <c r="DI74" s="303"/>
      <c r="DJ74" s="304"/>
      <c r="DK74" s="168"/>
      <c r="DL74" s="168"/>
      <c r="DM74" s="168"/>
      <c r="DN74" s="168"/>
      <c r="DO74" s="168"/>
      <c r="DP74" s="169"/>
      <c r="DQ74" s="170"/>
    </row>
    <row r="75" spans="1:121" ht="27" customHeight="1" x14ac:dyDescent="0.35">
      <c r="A75" s="211"/>
      <c r="B75" s="212"/>
      <c r="C75" s="212"/>
      <c r="D75" s="212"/>
      <c r="E75" s="212"/>
      <c r="F75" s="212"/>
      <c r="G75" s="240"/>
      <c r="H75" s="240"/>
      <c r="I75" s="240"/>
      <c r="J75" s="240"/>
      <c r="K75" s="211"/>
      <c r="L75" s="212"/>
      <c r="M75" s="212"/>
      <c r="N75" s="212"/>
      <c r="O75" s="212"/>
      <c r="P75" s="212"/>
      <c r="Q75" s="213"/>
      <c r="R75" s="240"/>
      <c r="S75" s="240"/>
      <c r="T75" s="240"/>
      <c r="U75" s="211"/>
      <c r="V75" s="212"/>
      <c r="W75" s="212"/>
      <c r="X75" s="212"/>
      <c r="Y75" s="212"/>
      <c r="Z75" s="212"/>
      <c r="AA75" s="261"/>
      <c r="AB75" s="212"/>
      <c r="AD75" s="240"/>
      <c r="AE75" s="211"/>
      <c r="AF75" s="212"/>
      <c r="AG75" s="212"/>
      <c r="AH75" s="212"/>
      <c r="AI75" s="212"/>
      <c r="AJ75" s="212"/>
      <c r="AK75" s="283"/>
      <c r="AL75" s="240"/>
      <c r="AM75" s="240"/>
      <c r="CE75" s="288">
        <f t="shared" si="83"/>
        <v>44470</v>
      </c>
      <c r="CF75" s="289">
        <f t="shared" si="83"/>
        <v>63.14</v>
      </c>
      <c r="CG75" s="180">
        <f t="shared" si="83"/>
        <v>2.56</v>
      </c>
      <c r="CH75" s="180">
        <f t="shared" si="83"/>
        <v>2.21</v>
      </c>
      <c r="CI75" s="180">
        <f t="shared" si="83"/>
        <v>3.54</v>
      </c>
      <c r="CJ75" s="180">
        <f t="shared" si="83"/>
        <v>14.65</v>
      </c>
      <c r="CK75" s="180">
        <f t="shared" si="83"/>
        <v>4.7699999999999996</v>
      </c>
      <c r="CL75" s="180">
        <f t="shared" si="83"/>
        <v>0.86328125</v>
      </c>
      <c r="CM75" s="290">
        <f t="shared" si="83"/>
        <v>99961.5</v>
      </c>
      <c r="CN75" s="111">
        <f t="shared" si="83"/>
        <v>0</v>
      </c>
      <c r="CO75" s="288">
        <f t="shared" si="83"/>
        <v>44470</v>
      </c>
      <c r="CP75" s="289">
        <f t="shared" si="83"/>
        <v>62.8</v>
      </c>
      <c r="CQ75" s="180">
        <f t="shared" si="83"/>
        <v>2.73</v>
      </c>
      <c r="CR75" s="180">
        <f t="shared" si="83"/>
        <v>2.33</v>
      </c>
      <c r="CS75" s="180">
        <f t="shared" si="83"/>
        <v>0</v>
      </c>
      <c r="CT75" s="180">
        <f t="shared" si="83"/>
        <v>0</v>
      </c>
      <c r="CU75" s="180">
        <f t="shared" si="85"/>
        <v>5.0600000000000005</v>
      </c>
      <c r="CV75" s="180">
        <f t="shared" si="85"/>
        <v>0.85347985347985356</v>
      </c>
      <c r="CW75" s="290">
        <f t="shared" si="85"/>
        <v>209031.1</v>
      </c>
      <c r="DI75" s="303"/>
      <c r="DJ75" s="304"/>
      <c r="DK75" s="168"/>
      <c r="DL75" s="168"/>
      <c r="DM75" s="168"/>
      <c r="DN75" s="168"/>
      <c r="DO75" s="168"/>
      <c r="DP75" s="169"/>
      <c r="DQ75" s="170"/>
    </row>
    <row r="76" spans="1:121" ht="27" customHeight="1" x14ac:dyDescent="0.35">
      <c r="A76" s="211"/>
      <c r="B76" s="212"/>
      <c r="C76" s="212"/>
      <c r="D76" s="212"/>
      <c r="E76" s="212"/>
      <c r="F76" s="212"/>
      <c r="G76" s="240"/>
      <c r="H76" s="240"/>
      <c r="I76" s="240"/>
      <c r="J76" s="240"/>
      <c r="K76" s="211"/>
      <c r="L76" s="212"/>
      <c r="M76" s="212"/>
      <c r="N76" s="212"/>
      <c r="O76" s="212"/>
      <c r="P76" s="212"/>
      <c r="Q76" s="213"/>
      <c r="R76" s="240"/>
      <c r="S76" s="240"/>
      <c r="T76" s="240"/>
      <c r="U76" s="211"/>
      <c r="V76" s="212"/>
      <c r="W76" s="212"/>
      <c r="X76" s="212"/>
      <c r="Y76" s="212"/>
      <c r="Z76" s="212"/>
      <c r="AA76" s="261"/>
      <c r="AB76" s="212"/>
      <c r="AD76" s="240"/>
      <c r="AE76" s="211"/>
      <c r="AF76" s="212"/>
      <c r="AG76" s="212"/>
      <c r="AH76" s="212"/>
      <c r="AI76" s="212"/>
      <c r="AJ76" s="212"/>
      <c r="AK76" s="283"/>
      <c r="AL76" s="240"/>
      <c r="AM76" s="240"/>
      <c r="CE76" s="288">
        <f t="shared" si="83"/>
        <v>44501</v>
      </c>
      <c r="CF76" s="289">
        <f t="shared" si="83"/>
        <v>63.15</v>
      </c>
      <c r="CG76" s="180">
        <f t="shared" si="83"/>
        <v>2.5299999999999998</v>
      </c>
      <c r="CH76" s="180">
        <f t="shared" si="83"/>
        <v>2.19</v>
      </c>
      <c r="CI76" s="180">
        <f t="shared" si="83"/>
        <v>3.1499999999999995</v>
      </c>
      <c r="CJ76" s="180">
        <f t="shared" si="83"/>
        <v>14.63</v>
      </c>
      <c r="CK76" s="180">
        <f t="shared" si="83"/>
        <v>4.72</v>
      </c>
      <c r="CL76" s="180">
        <f t="shared" si="83"/>
        <v>0.86561264822134387</v>
      </c>
      <c r="CM76" s="290">
        <f t="shared" si="83"/>
        <v>114924.1</v>
      </c>
      <c r="CN76" s="111">
        <f t="shared" si="83"/>
        <v>0</v>
      </c>
      <c r="CO76" s="288">
        <f t="shared" si="83"/>
        <v>44501</v>
      </c>
      <c r="CP76" s="289">
        <f t="shared" si="83"/>
        <v>62.900000000000006</v>
      </c>
      <c r="CQ76" s="180">
        <f t="shared" si="83"/>
        <v>2.65</v>
      </c>
      <c r="CR76" s="180">
        <f t="shared" si="83"/>
        <v>2.2799999999999998</v>
      </c>
      <c r="CS76" s="180">
        <f t="shared" si="83"/>
        <v>0</v>
      </c>
      <c r="CT76" s="180">
        <f t="shared" si="83"/>
        <v>0</v>
      </c>
      <c r="CU76" s="180">
        <f t="shared" si="85"/>
        <v>4.93</v>
      </c>
      <c r="CV76" s="180">
        <f t="shared" si="85"/>
        <v>0.86037735849056596</v>
      </c>
      <c r="CW76" s="290">
        <f t="shared" si="85"/>
        <v>195558.2</v>
      </c>
      <c r="DI76" s="303"/>
      <c r="DJ76" s="304"/>
      <c r="DK76" s="168"/>
      <c r="DL76" s="168"/>
      <c r="DM76" s="168"/>
      <c r="DN76" s="168"/>
      <c r="DO76" s="168"/>
      <c r="DP76" s="169"/>
      <c r="DQ76" s="170"/>
    </row>
    <row r="77" spans="1:121" ht="27" customHeight="1" x14ac:dyDescent="0.35">
      <c r="A77" s="211"/>
      <c r="B77" s="212"/>
      <c r="C77" s="212"/>
      <c r="D77" s="212"/>
      <c r="E77" s="212"/>
      <c r="F77" s="212"/>
      <c r="G77" s="240"/>
      <c r="H77" s="240"/>
      <c r="I77" s="240"/>
      <c r="J77" s="240"/>
      <c r="K77" s="211"/>
      <c r="L77" s="212"/>
      <c r="M77" s="212"/>
      <c r="N77" s="212"/>
      <c r="O77" s="212"/>
      <c r="P77" s="212"/>
      <c r="Q77" s="213"/>
      <c r="R77" s="240"/>
      <c r="S77" s="240"/>
      <c r="T77" s="240"/>
      <c r="U77" s="211"/>
      <c r="V77" s="212"/>
      <c r="W77" s="212"/>
      <c r="X77" s="212"/>
      <c r="Y77" s="212"/>
      <c r="Z77" s="212"/>
      <c r="AA77" s="261"/>
      <c r="AB77" s="212"/>
      <c r="AD77" s="240"/>
      <c r="AE77" s="211"/>
      <c r="AF77" s="212"/>
      <c r="AG77" s="212"/>
      <c r="AH77" s="212"/>
      <c r="AI77" s="212"/>
      <c r="AJ77" s="212"/>
      <c r="AK77" s="283"/>
      <c r="AL77" s="240"/>
      <c r="AM77" s="240"/>
      <c r="CE77" s="288">
        <f t="shared" si="83"/>
        <v>44531</v>
      </c>
      <c r="CF77" s="289">
        <f t="shared" si="83"/>
        <v>63.2</v>
      </c>
      <c r="CG77" s="180">
        <f t="shared" si="83"/>
        <v>2.4700000000000002</v>
      </c>
      <c r="CH77" s="180">
        <f t="shared" si="83"/>
        <v>2.23</v>
      </c>
      <c r="CI77" s="180">
        <f t="shared" si="83"/>
        <v>3.21</v>
      </c>
      <c r="CJ77" s="180">
        <f t="shared" si="83"/>
        <v>14.63</v>
      </c>
      <c r="CK77" s="180">
        <f t="shared" si="83"/>
        <v>4.7</v>
      </c>
      <c r="CL77" s="180">
        <f t="shared" si="83"/>
        <v>0.90283400809716596</v>
      </c>
      <c r="CM77" s="290">
        <f t="shared" si="83"/>
        <v>128173.1</v>
      </c>
      <c r="CN77" s="111">
        <f t="shared" si="83"/>
        <v>0</v>
      </c>
      <c r="CO77" s="288">
        <f t="shared" si="83"/>
        <v>44531</v>
      </c>
      <c r="CP77" s="289">
        <f t="shared" si="83"/>
        <v>62.97</v>
      </c>
      <c r="CQ77" s="180">
        <f t="shared" si="83"/>
        <v>2.56</v>
      </c>
      <c r="CR77" s="180">
        <f t="shared" si="83"/>
        <v>2.2599999999999998</v>
      </c>
      <c r="CS77" s="180">
        <f t="shared" si="83"/>
        <v>0</v>
      </c>
      <c r="CT77" s="180">
        <f t="shared" si="83"/>
        <v>0</v>
      </c>
      <c r="CU77" s="180">
        <f t="shared" si="85"/>
        <v>4.82</v>
      </c>
      <c r="CV77" s="180">
        <f t="shared" si="85"/>
        <v>0.88281249999999989</v>
      </c>
      <c r="CW77" s="290">
        <f t="shared" si="85"/>
        <v>176815.3</v>
      </c>
      <c r="DI77" s="303"/>
      <c r="DJ77" s="304"/>
      <c r="DK77" s="168"/>
      <c r="DL77" s="168"/>
      <c r="DM77" s="168"/>
      <c r="DN77" s="168"/>
      <c r="DO77" s="168"/>
      <c r="DP77" s="169"/>
      <c r="DQ77" s="170"/>
    </row>
    <row r="78" spans="1:121" ht="27" customHeight="1" x14ac:dyDescent="0.35">
      <c r="A78" s="211"/>
      <c r="B78" s="212"/>
      <c r="C78" s="212"/>
      <c r="D78" s="212"/>
      <c r="E78" s="212"/>
      <c r="F78" s="212"/>
      <c r="G78" s="240"/>
      <c r="H78" s="240"/>
      <c r="I78" s="240"/>
      <c r="J78" s="240"/>
      <c r="K78" s="211"/>
      <c r="L78" s="212"/>
      <c r="M78" s="212"/>
      <c r="N78" s="212"/>
      <c r="O78" s="212"/>
      <c r="P78" s="212"/>
      <c r="Q78" s="213"/>
      <c r="R78" s="240"/>
      <c r="S78" s="240"/>
      <c r="T78" s="240"/>
      <c r="U78" s="211"/>
      <c r="V78" s="212"/>
      <c r="W78" s="212"/>
      <c r="X78" s="212"/>
      <c r="Y78" s="212"/>
      <c r="Z78" s="212"/>
      <c r="AA78" s="261"/>
      <c r="AB78" s="212"/>
      <c r="AD78" s="240"/>
      <c r="AE78" s="211"/>
      <c r="AF78" s="212"/>
      <c r="AG78" s="212"/>
      <c r="AH78" s="212"/>
      <c r="AI78" s="212"/>
      <c r="AJ78" s="212"/>
      <c r="AK78" s="283"/>
      <c r="AL78" s="240"/>
      <c r="AM78" s="240"/>
      <c r="CE78" s="288">
        <f t="shared" si="83"/>
        <v>44562</v>
      </c>
      <c r="CF78" s="289">
        <f t="shared" si="83"/>
        <v>63.22</v>
      </c>
      <c r="CG78" s="180">
        <f t="shared" si="83"/>
        <v>2.46</v>
      </c>
      <c r="CH78" s="180">
        <f t="shared" si="83"/>
        <v>2.2200000000000002</v>
      </c>
      <c r="CI78" s="180">
        <f t="shared" si="83"/>
        <v>3.8999999999999995</v>
      </c>
      <c r="CJ78" s="180">
        <f t="shared" si="83"/>
        <v>13.62</v>
      </c>
      <c r="CK78" s="180">
        <f t="shared" si="83"/>
        <v>4.68</v>
      </c>
      <c r="CL78" s="180">
        <f t="shared" si="83"/>
        <v>0.90243902439024404</v>
      </c>
      <c r="CM78" s="290">
        <f t="shared" si="83"/>
        <v>118652.9</v>
      </c>
      <c r="CN78" s="111">
        <f t="shared" si="83"/>
        <v>0</v>
      </c>
      <c r="CO78" s="288">
        <f t="shared" si="83"/>
        <v>44562</v>
      </c>
      <c r="CP78" s="289">
        <f t="shared" si="83"/>
        <v>62.97</v>
      </c>
      <c r="CQ78" s="180">
        <f t="shared" si="83"/>
        <v>2.5499999999999998</v>
      </c>
      <c r="CR78" s="180">
        <f t="shared" si="83"/>
        <v>2.2799999999999998</v>
      </c>
      <c r="CS78" s="180">
        <f t="shared" si="83"/>
        <v>0</v>
      </c>
      <c r="CT78" s="180">
        <f t="shared" si="83"/>
        <v>0</v>
      </c>
      <c r="CU78" s="180">
        <f t="shared" si="85"/>
        <v>4.83</v>
      </c>
      <c r="CV78" s="180">
        <f t="shared" si="85"/>
        <v>0.89411764705882346</v>
      </c>
      <c r="CW78" s="290">
        <f t="shared" si="85"/>
        <v>185442.5</v>
      </c>
      <c r="DI78" s="303"/>
      <c r="DJ78" s="304"/>
      <c r="DK78" s="168"/>
      <c r="DL78" s="168"/>
      <c r="DM78" s="168"/>
      <c r="DN78" s="168"/>
      <c r="DO78" s="168"/>
      <c r="DP78" s="169"/>
      <c r="DQ78" s="170"/>
    </row>
    <row r="79" spans="1:121" ht="27" customHeight="1" x14ac:dyDescent="0.35">
      <c r="A79" s="211"/>
      <c r="B79" s="212"/>
      <c r="C79" s="212"/>
      <c r="D79" s="212"/>
      <c r="E79" s="212"/>
      <c r="F79" s="212"/>
      <c r="G79" s="240"/>
      <c r="H79" s="240"/>
      <c r="I79" s="240"/>
      <c r="J79" s="240"/>
      <c r="K79" s="211"/>
      <c r="L79" s="212"/>
      <c r="M79" s="212"/>
      <c r="N79" s="212"/>
      <c r="O79" s="212"/>
      <c r="P79" s="212"/>
      <c r="Q79" s="213"/>
      <c r="R79" s="240"/>
      <c r="S79" s="240"/>
      <c r="T79" s="240"/>
      <c r="U79" s="211"/>
      <c r="V79" s="212"/>
      <c r="W79" s="212"/>
      <c r="X79" s="212"/>
      <c r="Y79" s="212"/>
      <c r="Z79" s="212"/>
      <c r="AA79" s="261"/>
      <c r="AB79" s="212"/>
      <c r="AD79" s="240"/>
      <c r="AE79" s="211"/>
      <c r="AF79" s="212"/>
      <c r="AG79" s="212"/>
      <c r="AH79" s="212"/>
      <c r="AI79" s="212"/>
      <c r="AJ79" s="212"/>
      <c r="AK79" s="283"/>
      <c r="AL79" s="240"/>
      <c r="AM79" s="240"/>
      <c r="CE79" s="288">
        <f t="shared" si="83"/>
        <v>44593</v>
      </c>
      <c r="CF79" s="289">
        <f t="shared" si="83"/>
        <v>63.23</v>
      </c>
      <c r="CG79" s="180">
        <f t="shared" si="83"/>
        <v>2.36</v>
      </c>
      <c r="CH79" s="180">
        <f t="shared" si="83"/>
        <v>2.31</v>
      </c>
      <c r="CI79" s="180">
        <f t="shared" si="83"/>
        <v>3.38</v>
      </c>
      <c r="CJ79" s="180">
        <f t="shared" si="83"/>
        <v>12.09</v>
      </c>
      <c r="CK79" s="180">
        <f t="shared" si="83"/>
        <v>4.67</v>
      </c>
      <c r="CL79" s="180">
        <f t="shared" si="83"/>
        <v>0.97881355932203395</v>
      </c>
      <c r="CM79" s="290">
        <f t="shared" si="83"/>
        <v>118876.2</v>
      </c>
      <c r="CN79" s="111">
        <f t="shared" si="83"/>
        <v>0</v>
      </c>
      <c r="CO79" s="288">
        <f t="shared" si="83"/>
        <v>44593</v>
      </c>
      <c r="CP79" s="289">
        <f t="shared" si="83"/>
        <v>62.93</v>
      </c>
      <c r="CQ79" s="180">
        <f t="shared" si="83"/>
        <v>2.57</v>
      </c>
      <c r="CR79" s="180">
        <f t="shared" si="83"/>
        <v>2.31</v>
      </c>
      <c r="CS79" s="180">
        <f t="shared" si="83"/>
        <v>3.61</v>
      </c>
      <c r="CT79" s="180">
        <f t="shared" si="83"/>
        <v>37.39</v>
      </c>
      <c r="CU79" s="180">
        <f t="shared" si="85"/>
        <v>4.88</v>
      </c>
      <c r="CV79" s="180">
        <f t="shared" si="85"/>
        <v>0.89883268482490275</v>
      </c>
      <c r="CW79" s="290">
        <f t="shared" si="85"/>
        <v>130194.2</v>
      </c>
      <c r="DI79" s="303"/>
      <c r="DJ79" s="304"/>
      <c r="DK79" s="168"/>
      <c r="DL79" s="168"/>
      <c r="DM79" s="168"/>
      <c r="DN79" s="168"/>
      <c r="DO79" s="168"/>
      <c r="DP79" s="169"/>
      <c r="DQ79" s="170"/>
    </row>
    <row r="80" spans="1:121" ht="27" customHeight="1" thickBot="1" x14ac:dyDescent="0.4">
      <c r="A80" s="211"/>
      <c r="B80" s="212"/>
      <c r="C80" s="212"/>
      <c r="D80" s="212"/>
      <c r="E80" s="212"/>
      <c r="F80" s="212"/>
      <c r="G80" s="240"/>
      <c r="H80" s="240"/>
      <c r="I80" s="240"/>
      <c r="J80" s="240"/>
      <c r="K80" s="211"/>
      <c r="L80" s="212"/>
      <c r="M80" s="212"/>
      <c r="N80" s="212"/>
      <c r="O80" s="212"/>
      <c r="P80" s="212"/>
      <c r="Q80" s="213"/>
      <c r="R80" s="240"/>
      <c r="S80" s="240"/>
      <c r="T80" s="240"/>
      <c r="U80" s="211"/>
      <c r="V80" s="212"/>
      <c r="W80" s="212"/>
      <c r="X80" s="212"/>
      <c r="Y80" s="212"/>
      <c r="Z80" s="212"/>
      <c r="AA80" s="261"/>
      <c r="AB80" s="212"/>
      <c r="AD80" s="240"/>
      <c r="AE80" s="211"/>
      <c r="AF80" s="212"/>
      <c r="AG80" s="212"/>
      <c r="AH80" s="212"/>
      <c r="AI80" s="212"/>
      <c r="AJ80" s="212"/>
      <c r="AK80" s="283"/>
      <c r="AL80" s="240"/>
      <c r="AM80" s="240"/>
      <c r="CE80" s="305">
        <f t="shared" si="83"/>
        <v>44621</v>
      </c>
      <c r="CF80" s="306">
        <f t="shared" si="83"/>
        <v>63.19</v>
      </c>
      <c r="CG80" s="188">
        <f t="shared" si="83"/>
        <v>2.36</v>
      </c>
      <c r="CH80" s="188">
        <f t="shared" si="83"/>
        <v>2.33</v>
      </c>
      <c r="CI80" s="188">
        <f t="shared" si="83"/>
        <v>13.37</v>
      </c>
      <c r="CJ80" s="188">
        <f t="shared" si="83"/>
        <v>13.37</v>
      </c>
      <c r="CK80" s="188">
        <f t="shared" si="83"/>
        <v>4.6899999999999995</v>
      </c>
      <c r="CL80" s="188">
        <f t="shared" si="83"/>
        <v>0.98728813559322037</v>
      </c>
      <c r="CM80" s="307">
        <f t="shared" si="83"/>
        <v>99106.6</v>
      </c>
      <c r="CN80" s="111">
        <f t="shared" si="83"/>
        <v>0</v>
      </c>
      <c r="CO80" s="305">
        <f t="shared" si="83"/>
        <v>44621</v>
      </c>
      <c r="CP80" s="306">
        <f t="shared" si="83"/>
        <v>62.909999999999989</v>
      </c>
      <c r="CQ80" s="188">
        <f t="shared" ref="CQ80:CT81" si="86">BA39</f>
        <v>2.4300000000000002</v>
      </c>
      <c r="CR80" s="188">
        <f t="shared" si="86"/>
        <v>2.41</v>
      </c>
      <c r="CS80" s="188">
        <f t="shared" si="86"/>
        <v>3.74</v>
      </c>
      <c r="CT80" s="188">
        <f t="shared" si="86"/>
        <v>36.83</v>
      </c>
      <c r="CU80" s="188">
        <f t="shared" si="85"/>
        <v>4.84</v>
      </c>
      <c r="CV80" s="188">
        <f t="shared" si="85"/>
        <v>0.99176954732510292</v>
      </c>
      <c r="CW80" s="307">
        <f t="shared" si="85"/>
        <v>86077.6</v>
      </c>
      <c r="DI80" s="303"/>
      <c r="DJ80" s="304"/>
      <c r="DK80" s="168"/>
      <c r="DL80" s="168"/>
      <c r="DM80" s="168"/>
      <c r="DN80" s="168"/>
      <c r="DO80" s="168"/>
      <c r="DP80" s="169"/>
      <c r="DQ80" s="170"/>
    </row>
    <row r="81" spans="1:121" ht="27" customHeight="1" thickBot="1" x14ac:dyDescent="0.4">
      <c r="A81" s="258"/>
      <c r="B81" s="212"/>
      <c r="C81" s="212"/>
      <c r="D81" s="212"/>
      <c r="E81" s="212"/>
      <c r="F81" s="212"/>
      <c r="G81" s="240"/>
      <c r="H81" s="240"/>
      <c r="I81" s="240"/>
      <c r="J81" s="240"/>
      <c r="K81" s="258"/>
      <c r="L81" s="212"/>
      <c r="M81" s="212"/>
      <c r="N81" s="212"/>
      <c r="O81" s="212"/>
      <c r="P81" s="212"/>
      <c r="Q81" s="240"/>
      <c r="R81" s="240"/>
      <c r="S81" s="240"/>
      <c r="T81" s="240"/>
      <c r="U81" s="258"/>
      <c r="V81" s="212"/>
      <c r="W81" s="212"/>
      <c r="X81" s="212"/>
      <c r="Y81" s="212"/>
      <c r="Z81" s="212"/>
      <c r="AA81" s="240"/>
      <c r="AB81" s="283"/>
      <c r="AD81" s="240"/>
      <c r="AE81" s="211"/>
      <c r="AF81" s="212"/>
      <c r="AG81" s="212"/>
      <c r="AH81" s="212"/>
      <c r="AI81" s="212"/>
      <c r="AJ81" s="212"/>
      <c r="AK81" s="283"/>
      <c r="AL81" s="240"/>
      <c r="AM81" s="240"/>
      <c r="CE81" s="308" t="str">
        <f t="shared" ref="CE81:CP81" si="87">AO40</f>
        <v>CUMML</v>
      </c>
      <c r="CF81" s="309">
        <f t="shared" si="87"/>
        <v>63.156945300092744</v>
      </c>
      <c r="CG81" s="202">
        <f t="shared" si="87"/>
        <v>2.4914725881741022</v>
      </c>
      <c r="CH81" s="202">
        <f t="shared" si="87"/>
        <v>2.2889412423402469</v>
      </c>
      <c r="CI81" s="202">
        <f t="shared" si="87"/>
        <v>4.7713293204889276</v>
      </c>
      <c r="CJ81" s="202">
        <f t="shared" si="87"/>
        <v>12.834905667418159</v>
      </c>
      <c r="CK81" s="202">
        <f t="shared" si="87"/>
        <v>4.7804138305143491</v>
      </c>
      <c r="CL81" s="202">
        <f t="shared" si="87"/>
        <v>0.91871018497446832</v>
      </c>
      <c r="CM81" s="310">
        <f t="shared" si="87"/>
        <v>1347938.3</v>
      </c>
      <c r="CN81" s="111">
        <f t="shared" si="87"/>
        <v>0</v>
      </c>
      <c r="CO81" s="308" t="str">
        <f t="shared" si="87"/>
        <v>CUMML</v>
      </c>
      <c r="CP81" s="309">
        <f t="shared" si="87"/>
        <v>62.860688468305923</v>
      </c>
      <c r="CQ81" s="202">
        <f t="shared" si="86"/>
        <v>2.6585332593043658</v>
      </c>
      <c r="CR81" s="202">
        <f t="shared" si="86"/>
        <v>2.3280340348717679</v>
      </c>
      <c r="CS81" s="202">
        <f t="shared" si="86"/>
        <v>3.7001417352027079</v>
      </c>
      <c r="CT81" s="202">
        <f t="shared" si="86"/>
        <v>37.15590397712171</v>
      </c>
      <c r="CU81" s="202">
        <f t="shared" si="85"/>
        <v>4.9865672941761332</v>
      </c>
      <c r="CV81" s="202">
        <f t="shared" si="85"/>
        <v>0.87568362243507281</v>
      </c>
      <c r="CW81" s="310">
        <f t="shared" si="85"/>
        <v>1842522.0000000002</v>
      </c>
      <c r="DI81" s="303"/>
      <c r="DJ81" s="304"/>
      <c r="DK81" s="168"/>
      <c r="DL81" s="168"/>
      <c r="DM81" s="168"/>
      <c r="DN81" s="168"/>
      <c r="DO81" s="168"/>
      <c r="DP81" s="169"/>
      <c r="DQ81" s="170"/>
    </row>
    <row r="82" spans="1:121" s="111" customFormat="1" ht="42" customHeight="1" x14ac:dyDescent="0.65">
      <c r="A82" s="311"/>
      <c r="B82" s="311"/>
      <c r="C82" s="311"/>
      <c r="D82" s="311"/>
      <c r="E82" s="311"/>
      <c r="F82" s="311"/>
      <c r="G82" s="311"/>
      <c r="H82" s="311"/>
      <c r="I82" s="311"/>
      <c r="J82" s="311"/>
      <c r="K82" s="311"/>
      <c r="L82" s="311"/>
      <c r="M82" s="311"/>
      <c r="N82" s="311"/>
      <c r="O82" s="311"/>
      <c r="P82" s="311"/>
      <c r="Q82" s="218"/>
      <c r="R82" s="311"/>
      <c r="S82" s="311"/>
      <c r="T82" s="311"/>
      <c r="U82" s="311"/>
      <c r="V82" s="311"/>
      <c r="W82" s="311"/>
      <c r="X82" s="311"/>
      <c r="Y82" s="311"/>
      <c r="Z82" s="311"/>
      <c r="AA82" s="312"/>
      <c r="AB82" s="311"/>
      <c r="AD82" s="311"/>
      <c r="AE82" s="311"/>
      <c r="AF82" s="311"/>
      <c r="AG82" s="311"/>
      <c r="AH82" s="311"/>
      <c r="AI82" s="311"/>
      <c r="AJ82" s="311"/>
      <c r="AK82" s="311"/>
      <c r="AL82" s="311"/>
      <c r="AM82" s="311"/>
      <c r="BI82" s="112"/>
      <c r="BK82" s="208"/>
      <c r="BU82" s="208"/>
      <c r="CE82" s="313"/>
      <c r="CF82" s="219"/>
      <c r="CG82" s="219"/>
      <c r="CH82" s="219"/>
      <c r="CI82" s="219"/>
      <c r="CJ82" s="219"/>
      <c r="CK82" s="219"/>
      <c r="CL82" s="219"/>
      <c r="CM82" s="582" t="s">
        <v>62</v>
      </c>
      <c r="CN82" s="582"/>
      <c r="CO82" s="582"/>
      <c r="CP82" s="219"/>
      <c r="CQ82" s="219"/>
      <c r="CR82" s="219"/>
      <c r="CS82" s="219"/>
      <c r="CT82" s="219"/>
      <c r="CU82" s="219"/>
      <c r="CV82" s="219"/>
      <c r="CW82" s="314"/>
      <c r="CY82" s="208"/>
      <c r="DI82" s="178"/>
      <c r="DJ82" s="179"/>
      <c r="DK82" s="180"/>
      <c r="DL82" s="180"/>
      <c r="DM82" s="180"/>
      <c r="DN82" s="180"/>
      <c r="DO82" s="180"/>
      <c r="DP82" s="181"/>
      <c r="DQ82" s="182"/>
    </row>
    <row r="83" spans="1:121" ht="27" customHeight="1" x14ac:dyDescent="0.35">
      <c r="A83" s="211"/>
      <c r="B83" s="212"/>
      <c r="C83" s="212"/>
      <c r="D83" s="212"/>
      <c r="E83" s="212"/>
      <c r="F83" s="212"/>
      <c r="G83" s="240"/>
      <c r="H83" s="240"/>
      <c r="I83" s="240"/>
      <c r="J83" s="240"/>
      <c r="K83" s="211"/>
      <c r="L83" s="212"/>
      <c r="M83" s="212"/>
      <c r="N83" s="212"/>
      <c r="O83" s="212"/>
      <c r="P83" s="212"/>
      <c r="Q83" s="213"/>
      <c r="R83" s="240"/>
      <c r="S83" s="240"/>
      <c r="T83" s="240"/>
      <c r="U83" s="211"/>
      <c r="V83" s="212"/>
      <c r="W83" s="212"/>
      <c r="X83" s="212"/>
      <c r="Y83" s="212"/>
      <c r="Z83" s="212"/>
      <c r="AA83" s="261"/>
      <c r="AB83" s="240"/>
      <c r="AD83" s="240"/>
      <c r="AE83" s="211"/>
      <c r="AF83" s="212"/>
      <c r="AG83" s="212"/>
      <c r="AH83" s="212"/>
      <c r="AI83" s="315"/>
      <c r="AJ83" s="315"/>
      <c r="AK83" s="240"/>
      <c r="AL83" s="240"/>
      <c r="AM83" s="240"/>
      <c r="CE83" s="316"/>
      <c r="CF83" s="317"/>
      <c r="CG83" s="317"/>
      <c r="CH83" s="317"/>
      <c r="CI83" s="317"/>
      <c r="CJ83" s="317"/>
      <c r="CK83" s="317"/>
      <c r="CL83" s="317"/>
      <c r="CM83" s="317"/>
      <c r="CN83" s="213"/>
      <c r="CO83" s="316"/>
      <c r="CP83" s="317"/>
      <c r="CQ83" s="317"/>
      <c r="CR83" s="317"/>
      <c r="CS83" s="317"/>
      <c r="CT83" s="317"/>
      <c r="CU83" s="317"/>
      <c r="CV83" s="317"/>
      <c r="CW83" s="317"/>
      <c r="DI83" s="303"/>
      <c r="DJ83" s="304"/>
      <c r="DK83" s="168"/>
      <c r="DL83" s="168"/>
      <c r="DM83" s="168"/>
      <c r="DN83" s="168"/>
      <c r="DO83" s="168"/>
      <c r="DP83" s="169"/>
      <c r="DQ83" s="170"/>
    </row>
    <row r="84" spans="1:121" ht="27" customHeight="1" thickBot="1" x14ac:dyDescent="0.4">
      <c r="A84" s="318"/>
      <c r="B84" s="319"/>
      <c r="C84" s="319"/>
      <c r="D84" s="319"/>
      <c r="E84" s="319"/>
      <c r="F84" s="319"/>
      <c r="G84" s="240"/>
      <c r="H84" s="240"/>
      <c r="I84" s="240"/>
      <c r="J84" s="240"/>
      <c r="K84" s="318"/>
      <c r="L84" s="319"/>
      <c r="M84" s="319"/>
      <c r="N84" s="319"/>
      <c r="O84" s="319"/>
      <c r="P84" s="319"/>
      <c r="Q84" s="213"/>
      <c r="R84" s="240"/>
      <c r="S84" s="240"/>
      <c r="T84" s="240"/>
      <c r="U84" s="318"/>
      <c r="V84" s="319"/>
      <c r="W84" s="319"/>
      <c r="X84" s="319"/>
      <c r="Y84" s="319"/>
      <c r="Z84" s="319"/>
      <c r="AA84" s="261"/>
      <c r="AB84" s="240"/>
      <c r="AD84" s="240"/>
      <c r="AE84" s="240"/>
      <c r="AF84" s="240"/>
      <c r="AG84" s="240"/>
      <c r="AH84" s="240"/>
      <c r="AI84" s="240"/>
      <c r="AJ84" s="240"/>
      <c r="AK84" s="240"/>
      <c r="AL84" s="240"/>
      <c r="AM84" s="240"/>
      <c r="CE84" s="316"/>
      <c r="CF84" s="317"/>
      <c r="CG84" s="317"/>
      <c r="CH84" s="317"/>
      <c r="CI84" s="317"/>
      <c r="CJ84" s="317"/>
      <c r="CK84" s="317"/>
      <c r="CL84" s="317"/>
      <c r="CM84" s="317"/>
      <c r="CN84" s="213"/>
      <c r="CO84" s="316"/>
      <c r="CP84" s="317"/>
      <c r="CQ84" s="317"/>
      <c r="CR84" s="317"/>
      <c r="CS84" s="317"/>
      <c r="CT84" s="317"/>
      <c r="CU84" s="317"/>
      <c r="CV84" s="317"/>
      <c r="CW84" s="317"/>
      <c r="CY84" s="320"/>
      <c r="CZ84" s="205"/>
      <c r="DA84" s="205"/>
      <c r="DB84" s="205"/>
      <c r="DC84" s="205"/>
      <c r="DD84" s="205"/>
      <c r="DE84" s="205"/>
      <c r="DF84" s="205"/>
      <c r="DG84" s="205"/>
      <c r="DI84" s="321"/>
      <c r="DJ84" s="322"/>
      <c r="DK84" s="184"/>
      <c r="DL84" s="184"/>
      <c r="DM84" s="184"/>
      <c r="DN84" s="184"/>
      <c r="DO84" s="184"/>
      <c r="DP84" s="323"/>
      <c r="DQ84" s="170"/>
    </row>
    <row r="85" spans="1:121" ht="27" customHeight="1" thickBot="1" x14ac:dyDescent="0.4">
      <c r="A85" s="240"/>
      <c r="B85" s="240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13"/>
      <c r="R85" s="240"/>
      <c r="S85" s="240"/>
      <c r="T85" s="240"/>
      <c r="U85" s="240"/>
      <c r="V85" s="240"/>
      <c r="W85" s="240"/>
      <c r="X85" s="240"/>
      <c r="Y85" s="240"/>
      <c r="Z85" s="240"/>
      <c r="AA85" s="261"/>
      <c r="AB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CE85" s="316"/>
      <c r="CF85" s="317"/>
      <c r="CG85" s="317"/>
      <c r="CH85" s="317"/>
      <c r="CI85" s="317"/>
      <c r="CJ85" s="317"/>
      <c r="CK85" s="317"/>
      <c r="CL85" s="317"/>
      <c r="CM85" s="317"/>
      <c r="CN85" s="213"/>
      <c r="CO85" s="316"/>
      <c r="CP85" s="317"/>
      <c r="CQ85" s="317"/>
      <c r="CR85" s="317"/>
      <c r="CS85" s="317"/>
      <c r="CT85" s="317"/>
      <c r="CU85" s="317"/>
      <c r="CV85" s="317"/>
      <c r="CW85" s="317"/>
      <c r="CY85" s="238"/>
      <c r="CZ85" s="212"/>
      <c r="DA85" s="212"/>
      <c r="DB85" s="212"/>
      <c r="DC85" s="212"/>
      <c r="DD85" s="212"/>
      <c r="DE85" s="212"/>
      <c r="DF85" s="212"/>
      <c r="DG85" s="212"/>
      <c r="DI85" s="324"/>
      <c r="DJ85" s="192"/>
      <c r="DK85" s="193"/>
      <c r="DL85" s="193"/>
      <c r="DM85" s="193"/>
      <c r="DN85" s="193"/>
      <c r="DO85" s="193"/>
      <c r="DP85" s="194"/>
      <c r="DQ85" s="195"/>
    </row>
    <row r="86" spans="1:121" ht="27" customHeight="1" x14ac:dyDescent="0.35">
      <c r="A86" s="240"/>
      <c r="B86" s="240"/>
      <c r="C86" s="240"/>
      <c r="D86" s="240"/>
      <c r="E86" s="240"/>
      <c r="F86" s="240"/>
      <c r="G86" s="240"/>
      <c r="H86" s="240"/>
      <c r="I86" s="240"/>
      <c r="J86" s="240"/>
      <c r="K86" s="240"/>
      <c r="L86" s="240"/>
      <c r="M86" s="240"/>
      <c r="N86" s="240"/>
      <c r="O86" s="240"/>
      <c r="P86" s="240"/>
      <c r="Q86" s="213"/>
      <c r="R86" s="240"/>
      <c r="S86" s="240"/>
      <c r="T86" s="240"/>
      <c r="U86" s="240"/>
      <c r="V86" s="240"/>
      <c r="W86" s="240"/>
      <c r="X86" s="240"/>
      <c r="Y86" s="240"/>
      <c r="Z86" s="240"/>
      <c r="AA86" s="261"/>
      <c r="AB86" s="240"/>
      <c r="AD86" s="240"/>
      <c r="AE86" s="240"/>
      <c r="AF86" s="240"/>
      <c r="AG86" s="240"/>
      <c r="AH86" s="240"/>
      <c r="AI86" s="240"/>
      <c r="AJ86" s="240"/>
      <c r="AK86" s="240"/>
      <c r="AL86" s="240"/>
      <c r="AM86" s="240"/>
      <c r="CE86" s="242"/>
      <c r="CF86" s="325"/>
      <c r="CG86" s="325"/>
      <c r="CH86" s="325"/>
      <c r="CI86" s="325"/>
      <c r="CJ86" s="325"/>
      <c r="CK86" s="325"/>
      <c r="CL86" s="325"/>
      <c r="CM86" s="326"/>
      <c r="CN86" s="213"/>
      <c r="CO86" s="242"/>
      <c r="CP86" s="325"/>
      <c r="CQ86" s="325"/>
      <c r="CR86" s="325"/>
      <c r="CS86" s="325"/>
      <c r="CT86" s="325"/>
      <c r="CU86" s="325"/>
      <c r="CV86" s="325"/>
      <c r="CW86" s="326"/>
      <c r="CY86" s="327"/>
      <c r="CZ86" s="317"/>
      <c r="DA86" s="317"/>
      <c r="DB86" s="317"/>
      <c r="DC86" s="317"/>
      <c r="DD86" s="317"/>
      <c r="DE86" s="317"/>
      <c r="DF86" s="317"/>
      <c r="DG86" s="328"/>
    </row>
    <row r="87" spans="1:121" ht="27" customHeight="1" x14ac:dyDescent="0.35">
      <c r="A87" s="583"/>
      <c r="B87" s="583"/>
      <c r="C87" s="583"/>
      <c r="D87" s="583"/>
      <c r="E87" s="583"/>
      <c r="F87" s="583"/>
      <c r="G87" s="240"/>
      <c r="H87" s="224"/>
      <c r="I87" s="224"/>
      <c r="J87" s="258"/>
      <c r="K87" s="583"/>
      <c r="L87" s="583"/>
      <c r="M87" s="583"/>
      <c r="N87" s="583"/>
      <c r="O87" s="583"/>
      <c r="P87" s="583"/>
      <c r="Q87" s="213"/>
      <c r="R87" s="240"/>
      <c r="S87" s="240"/>
      <c r="T87" s="240"/>
      <c r="U87" s="240"/>
      <c r="V87" s="240"/>
      <c r="W87" s="240"/>
      <c r="X87" s="240"/>
      <c r="Y87" s="240"/>
      <c r="Z87" s="240"/>
      <c r="AA87" s="261"/>
      <c r="AB87" s="240"/>
      <c r="AD87" s="240"/>
      <c r="AE87" s="240"/>
      <c r="AF87" s="240"/>
      <c r="AG87" s="240"/>
      <c r="AH87" s="240"/>
      <c r="AI87" s="240"/>
      <c r="AJ87" s="240"/>
      <c r="AK87" s="240"/>
      <c r="AL87" s="240"/>
      <c r="AM87" s="240"/>
      <c r="CE87" s="278"/>
      <c r="CF87" s="119"/>
      <c r="CG87" s="119"/>
      <c r="CH87" s="244"/>
      <c r="CI87" s="119"/>
      <c r="CJ87" s="119"/>
      <c r="CK87" s="246"/>
      <c r="CL87" s="246"/>
      <c r="CM87" s="246"/>
      <c r="CO87" s="278"/>
      <c r="CP87" s="119"/>
      <c r="CQ87" s="119"/>
      <c r="CR87" s="244"/>
      <c r="CS87" s="119"/>
      <c r="CT87" s="119"/>
      <c r="CU87" s="246"/>
      <c r="CV87" s="246"/>
      <c r="CW87" s="246"/>
      <c r="CY87" s="278"/>
      <c r="CZ87" s="119"/>
      <c r="DA87" s="119"/>
      <c r="DB87" s="244"/>
      <c r="DC87" s="119"/>
      <c r="DD87" s="119"/>
      <c r="DE87" s="246"/>
      <c r="DF87" s="246"/>
      <c r="DG87" s="246"/>
    </row>
    <row r="88" spans="1:121" ht="27" customHeight="1" thickBot="1" x14ac:dyDescent="0.4">
      <c r="A88" s="258"/>
      <c r="B88" s="260"/>
      <c r="C88" s="260"/>
      <c r="D88" s="258"/>
      <c r="E88" s="259"/>
      <c r="F88" s="213"/>
      <c r="G88" s="240"/>
      <c r="H88" s="240"/>
      <c r="I88" s="240"/>
      <c r="J88" s="240"/>
      <c r="K88" s="258"/>
      <c r="L88" s="260"/>
      <c r="M88" s="260"/>
      <c r="N88" s="258"/>
      <c r="O88" s="259"/>
      <c r="P88" s="213"/>
      <c r="Q88" s="240"/>
      <c r="R88" s="240"/>
      <c r="S88" s="240"/>
      <c r="T88" s="240"/>
      <c r="U88" s="240"/>
      <c r="V88" s="240"/>
      <c r="W88" s="240"/>
      <c r="X88" s="240"/>
      <c r="Y88" s="240"/>
      <c r="Z88" s="240"/>
      <c r="AA88" s="240"/>
      <c r="AB88" s="240"/>
      <c r="AD88" s="240"/>
      <c r="AE88" s="240"/>
      <c r="AF88" s="240"/>
      <c r="AG88" s="240"/>
      <c r="AH88" s="240"/>
      <c r="AI88" s="240"/>
      <c r="AJ88" s="240"/>
      <c r="AK88" s="240"/>
      <c r="AL88" s="240"/>
      <c r="AM88" s="240"/>
      <c r="BK88" s="238"/>
      <c r="BL88" s="212"/>
      <c r="BM88" s="212"/>
      <c r="BN88" s="212"/>
      <c r="BO88" s="212"/>
      <c r="BP88" s="212"/>
      <c r="BQ88" s="212"/>
      <c r="BR88" s="212"/>
      <c r="BS88" s="212"/>
      <c r="CE88" s="249"/>
      <c r="CF88" s="103"/>
      <c r="CG88" s="103"/>
      <c r="CH88" s="103"/>
      <c r="CI88" s="103"/>
      <c r="CJ88" s="103"/>
      <c r="CK88" s="103"/>
      <c r="CL88" s="103"/>
      <c r="CM88" s="103"/>
      <c r="CO88" s="249"/>
      <c r="CP88" s="103"/>
      <c r="CQ88" s="103"/>
      <c r="CR88" s="103"/>
      <c r="CS88" s="103"/>
      <c r="CT88" s="103"/>
      <c r="CU88" s="103"/>
      <c r="CV88" s="103"/>
      <c r="CW88" s="103"/>
      <c r="CY88" s="249"/>
      <c r="CZ88" s="103"/>
      <c r="DA88" s="103"/>
      <c r="DB88" s="103"/>
      <c r="DC88" s="103"/>
      <c r="DD88" s="103"/>
      <c r="DE88" s="103"/>
      <c r="DF88" s="103"/>
      <c r="DG88" s="103"/>
    </row>
    <row r="89" spans="1:121" ht="27" customHeight="1" thickBot="1" x14ac:dyDescent="0.4">
      <c r="A89" s="213"/>
      <c r="B89" s="213"/>
      <c r="C89" s="213"/>
      <c r="D89" s="213"/>
      <c r="E89" s="213"/>
      <c r="F89" s="213"/>
      <c r="G89" s="240"/>
      <c r="H89" s="240"/>
      <c r="I89" s="240"/>
      <c r="J89" s="240"/>
      <c r="K89" s="584"/>
      <c r="L89" s="584"/>
      <c r="M89" s="584"/>
      <c r="N89" s="584"/>
      <c r="O89" s="584"/>
      <c r="P89" s="584"/>
      <c r="Q89" s="240"/>
      <c r="R89" s="240"/>
      <c r="S89" s="240"/>
      <c r="T89" s="240"/>
      <c r="U89" s="240"/>
      <c r="V89" s="240"/>
      <c r="W89" s="240"/>
      <c r="X89" s="240"/>
      <c r="Y89" s="240"/>
      <c r="Z89" s="240"/>
      <c r="AA89" s="240"/>
      <c r="AB89" s="240"/>
      <c r="AD89" s="240"/>
      <c r="AE89" s="240"/>
      <c r="AF89" s="240"/>
      <c r="AG89" s="240"/>
      <c r="AH89" s="240"/>
      <c r="AI89" s="240"/>
      <c r="AJ89" s="240"/>
      <c r="AK89" s="240"/>
      <c r="AL89" s="240"/>
      <c r="AM89" s="240"/>
      <c r="BK89" s="241"/>
      <c r="BL89" s="205"/>
      <c r="BM89" s="205"/>
      <c r="BN89" s="205"/>
      <c r="BO89" s="205"/>
      <c r="BP89" s="205"/>
      <c r="BQ89" s="205"/>
      <c r="BR89" s="205"/>
      <c r="BS89" s="222"/>
      <c r="CE89" s="248"/>
      <c r="CF89" s="120"/>
      <c r="CG89" s="121"/>
      <c r="CH89" s="121"/>
      <c r="CI89" s="121"/>
      <c r="CJ89" s="125"/>
      <c r="CK89" s="121"/>
      <c r="CL89" s="121"/>
      <c r="CM89" s="123"/>
      <c r="CO89" s="248"/>
      <c r="CP89" s="120"/>
      <c r="CQ89" s="121"/>
      <c r="CR89" s="121"/>
      <c r="CS89" s="121"/>
      <c r="CT89" s="125"/>
      <c r="CU89" s="121"/>
      <c r="CV89" s="121"/>
      <c r="CW89" s="291"/>
      <c r="CY89" s="248"/>
      <c r="CZ89" s="120"/>
      <c r="DA89" s="121"/>
      <c r="DB89" s="121"/>
      <c r="DC89" s="121"/>
      <c r="DD89" s="125"/>
      <c r="DE89" s="121"/>
      <c r="DF89" s="121"/>
      <c r="DG89" s="291"/>
    </row>
    <row r="90" spans="1:121" ht="27" customHeight="1" thickBot="1" x14ac:dyDescent="0.4">
      <c r="A90" s="224"/>
      <c r="B90" s="224"/>
      <c r="C90" s="224"/>
      <c r="D90" s="224"/>
      <c r="E90" s="224"/>
      <c r="F90" s="224"/>
      <c r="G90" s="240"/>
      <c r="H90" s="240"/>
      <c r="I90" s="240"/>
      <c r="J90" s="240"/>
      <c r="K90" s="224"/>
      <c r="L90" s="224"/>
      <c r="M90" s="224"/>
      <c r="N90" s="224"/>
      <c r="O90" s="224"/>
      <c r="P90" s="224"/>
      <c r="Q90" s="240"/>
      <c r="R90" s="240"/>
      <c r="S90" s="240"/>
      <c r="T90" s="240"/>
      <c r="U90" s="240"/>
      <c r="V90" s="240"/>
      <c r="W90" s="240"/>
      <c r="X90" s="240"/>
      <c r="Y90" s="240"/>
      <c r="Z90" s="240"/>
      <c r="AA90" s="240"/>
      <c r="AB90" s="240"/>
      <c r="AD90" s="240"/>
      <c r="AE90" s="240"/>
      <c r="AF90" s="240"/>
      <c r="AG90" s="240"/>
      <c r="AH90" s="240"/>
      <c r="AI90" s="240"/>
      <c r="AJ90" s="240"/>
      <c r="AK90" s="240"/>
      <c r="AL90" s="240"/>
      <c r="AM90" s="240"/>
      <c r="BK90" s="278"/>
      <c r="BL90" s="243"/>
      <c r="BM90" s="243"/>
      <c r="BN90" s="244"/>
      <c r="BO90" s="245"/>
      <c r="BP90" s="103"/>
      <c r="BQ90" s="246"/>
      <c r="BR90" s="246"/>
      <c r="BS90" s="246"/>
      <c r="CE90" s="329"/>
      <c r="CF90" s="330"/>
      <c r="CG90" s="134"/>
      <c r="CH90" s="134"/>
      <c r="CI90" s="134"/>
      <c r="CJ90" s="134"/>
      <c r="CK90" s="134"/>
      <c r="CL90" s="134"/>
      <c r="CM90" s="292"/>
      <c r="CO90" s="329"/>
      <c r="CP90" s="330"/>
      <c r="CQ90" s="134"/>
      <c r="CR90" s="134"/>
      <c r="CS90" s="134"/>
      <c r="CT90" s="134"/>
      <c r="CU90" s="134"/>
      <c r="CV90" s="134"/>
      <c r="CW90" s="292"/>
      <c r="CY90" s="329"/>
      <c r="CZ90" s="330"/>
      <c r="DA90" s="134"/>
      <c r="DB90" s="134"/>
      <c r="DC90" s="134"/>
      <c r="DD90" s="134"/>
      <c r="DE90" s="134"/>
      <c r="DF90" s="134"/>
      <c r="DG90" s="292"/>
    </row>
    <row r="91" spans="1:121" ht="27" customHeight="1" thickBot="1" x14ac:dyDescent="0.4">
      <c r="A91" s="265"/>
      <c r="B91" s="265"/>
      <c r="C91" s="265"/>
      <c r="D91" s="265"/>
      <c r="E91" s="265"/>
      <c r="F91" s="265"/>
      <c r="G91" s="240"/>
      <c r="H91" s="240"/>
      <c r="I91" s="240"/>
      <c r="J91" s="240"/>
      <c r="K91" s="265"/>
      <c r="L91" s="267"/>
      <c r="M91" s="267"/>
      <c r="N91" s="267"/>
      <c r="O91" s="267"/>
      <c r="P91" s="267"/>
      <c r="Q91" s="240"/>
      <c r="R91" s="240"/>
      <c r="S91" s="240"/>
      <c r="T91" s="240"/>
      <c r="U91" s="240"/>
      <c r="V91" s="240"/>
      <c r="W91" s="240"/>
      <c r="X91" s="240"/>
      <c r="Y91" s="240"/>
      <c r="Z91" s="240"/>
      <c r="AA91" s="240"/>
      <c r="AB91" s="240"/>
      <c r="AD91" s="240"/>
      <c r="AE91" s="240"/>
      <c r="AF91" s="240"/>
      <c r="AG91" s="240"/>
      <c r="AH91" s="240"/>
      <c r="AI91" s="240"/>
      <c r="AJ91" s="240"/>
      <c r="AK91" s="240"/>
      <c r="AL91" s="240"/>
      <c r="AM91" s="240"/>
      <c r="BK91" s="249"/>
      <c r="BL91" s="103"/>
      <c r="BM91" s="103"/>
      <c r="BN91" s="103"/>
      <c r="BO91" s="103"/>
      <c r="BP91" s="103"/>
      <c r="BQ91" s="103"/>
      <c r="BR91" s="103"/>
      <c r="BS91" s="103"/>
      <c r="CE91" s="293"/>
      <c r="CF91" s="294"/>
      <c r="CG91" s="295"/>
      <c r="CH91" s="295"/>
      <c r="CI91" s="295"/>
      <c r="CJ91" s="295"/>
      <c r="CK91" s="295"/>
      <c r="CL91" s="331"/>
      <c r="CM91" s="297"/>
      <c r="CO91" s="293"/>
      <c r="CP91" s="294"/>
      <c r="CQ91" s="295"/>
      <c r="CR91" s="295"/>
      <c r="CS91" s="295"/>
      <c r="CT91" s="295"/>
      <c r="CU91" s="295"/>
      <c r="CV91" s="296"/>
      <c r="CW91" s="297"/>
      <c r="CY91" s="293"/>
      <c r="CZ91" s="294"/>
      <c r="DA91" s="295"/>
      <c r="DB91" s="295"/>
      <c r="DC91" s="295"/>
      <c r="DD91" s="295"/>
      <c r="DE91" s="295"/>
      <c r="DF91" s="296"/>
      <c r="DG91" s="297"/>
    </row>
    <row r="92" spans="1:121" ht="27" customHeight="1" thickBot="1" x14ac:dyDescent="0.4">
      <c r="A92" s="273"/>
      <c r="B92" s="274"/>
      <c r="C92" s="274"/>
      <c r="D92" s="274"/>
      <c r="E92" s="274"/>
      <c r="F92" s="274"/>
      <c r="G92" s="240"/>
      <c r="H92" s="240"/>
      <c r="I92" s="240"/>
      <c r="J92" s="240"/>
      <c r="K92" s="273"/>
      <c r="L92" s="274"/>
      <c r="M92" s="274"/>
      <c r="N92" s="274"/>
      <c r="O92" s="274"/>
      <c r="P92" s="274"/>
      <c r="Q92" s="240"/>
      <c r="R92" s="240"/>
      <c r="S92" s="240"/>
      <c r="T92" s="240"/>
      <c r="U92" s="240"/>
      <c r="V92" s="240"/>
      <c r="W92" s="240"/>
      <c r="X92" s="240"/>
      <c r="Y92" s="240"/>
      <c r="Z92" s="240"/>
      <c r="AA92" s="240"/>
      <c r="AB92" s="240"/>
      <c r="AD92" s="240"/>
      <c r="AE92" s="240"/>
      <c r="AF92" s="240"/>
      <c r="AG92" s="240"/>
      <c r="AH92" s="240"/>
      <c r="AI92" s="240"/>
      <c r="AJ92" s="240"/>
      <c r="AK92" s="240"/>
      <c r="AL92" s="240"/>
      <c r="AM92" s="240"/>
      <c r="BK92" s="332"/>
      <c r="BL92" s="120"/>
      <c r="BM92" s="121"/>
      <c r="BN92" s="121"/>
      <c r="BO92" s="121"/>
      <c r="BP92" s="121"/>
      <c r="BQ92" s="124"/>
      <c r="BR92" s="121"/>
      <c r="BS92" s="291"/>
      <c r="CE92" s="298"/>
      <c r="CF92" s="299"/>
      <c r="CG92" s="300"/>
      <c r="CH92" s="300"/>
      <c r="CI92" s="300"/>
      <c r="CJ92" s="300"/>
      <c r="CK92" s="300"/>
      <c r="CL92" s="333"/>
      <c r="CM92" s="334"/>
      <c r="CO92" s="298"/>
      <c r="CP92" s="299"/>
      <c r="CQ92" s="300"/>
      <c r="CR92" s="300"/>
      <c r="CS92" s="300"/>
      <c r="CT92" s="300"/>
      <c r="CU92" s="300"/>
      <c r="CV92" s="301"/>
      <c r="CW92" s="302"/>
      <c r="CY92" s="298"/>
      <c r="CZ92" s="299"/>
      <c r="DA92" s="300"/>
      <c r="DB92" s="300"/>
      <c r="DC92" s="300"/>
      <c r="DD92" s="300"/>
      <c r="DE92" s="300"/>
      <c r="DF92" s="301"/>
      <c r="DG92" s="302"/>
    </row>
    <row r="93" spans="1:121" ht="27" customHeight="1" thickBot="1" x14ac:dyDescent="0.4">
      <c r="A93" s="211"/>
      <c r="B93" s="212"/>
      <c r="C93" s="212"/>
      <c r="D93" s="212"/>
      <c r="E93" s="212"/>
      <c r="F93" s="212"/>
      <c r="G93" s="240"/>
      <c r="H93" s="240"/>
      <c r="I93" s="240"/>
      <c r="J93" s="240"/>
      <c r="K93" s="211"/>
      <c r="L93" s="212"/>
      <c r="M93" s="212"/>
      <c r="N93" s="212"/>
      <c r="O93" s="212"/>
      <c r="P93" s="212"/>
      <c r="Q93" s="240"/>
      <c r="R93" s="240"/>
      <c r="S93" s="240"/>
      <c r="T93" s="240"/>
      <c r="U93" s="240"/>
      <c r="V93" s="240"/>
      <c r="W93" s="240"/>
      <c r="X93" s="240"/>
      <c r="Y93" s="240"/>
      <c r="Z93" s="240"/>
      <c r="AA93" s="240"/>
      <c r="AB93" s="240"/>
      <c r="AD93" s="240"/>
      <c r="AE93" s="240"/>
      <c r="AF93" s="240"/>
      <c r="AG93" s="240"/>
      <c r="AH93" s="240"/>
      <c r="AI93" s="240"/>
      <c r="AJ93" s="240"/>
      <c r="AK93" s="240"/>
      <c r="AL93" s="240"/>
      <c r="AM93" s="240"/>
      <c r="BK93" s="252"/>
      <c r="BL93" s="335"/>
      <c r="BM93" s="193"/>
      <c r="BN93" s="193"/>
      <c r="BO93" s="193"/>
      <c r="BP93" s="193"/>
      <c r="BQ93" s="193"/>
      <c r="BR93" s="336"/>
      <c r="BS93" s="337"/>
      <c r="CE93" s="303"/>
      <c r="CF93" s="304"/>
      <c r="CG93" s="168"/>
      <c r="CH93" s="168"/>
      <c r="CI93" s="168"/>
      <c r="CJ93" s="168"/>
      <c r="CK93" s="168"/>
      <c r="CL93" s="338"/>
      <c r="CM93" s="339"/>
      <c r="CO93" s="303"/>
      <c r="CP93" s="304"/>
      <c r="CQ93" s="168"/>
      <c r="CR93" s="168"/>
      <c r="CS93" s="168"/>
      <c r="CT93" s="168"/>
      <c r="CU93" s="168"/>
      <c r="CV93" s="169"/>
      <c r="CW93" s="170"/>
      <c r="CY93" s="303"/>
      <c r="CZ93" s="304"/>
      <c r="DA93" s="168"/>
      <c r="DB93" s="340"/>
      <c r="DC93" s="168"/>
      <c r="DD93" s="168"/>
      <c r="DE93" s="168"/>
      <c r="DF93" s="169"/>
      <c r="DG93" s="170"/>
    </row>
    <row r="94" spans="1:121" ht="27" customHeight="1" thickBot="1" x14ac:dyDescent="0.4">
      <c r="A94" s="211"/>
      <c r="B94" s="212"/>
      <c r="C94" s="212"/>
      <c r="D94" s="212"/>
      <c r="E94" s="212"/>
      <c r="F94" s="212"/>
      <c r="G94" s="240"/>
      <c r="H94" s="240"/>
      <c r="I94" s="240"/>
      <c r="J94" s="240"/>
      <c r="K94" s="211"/>
      <c r="L94" s="212"/>
      <c r="M94" s="212"/>
      <c r="N94" s="212"/>
      <c r="O94" s="212"/>
      <c r="P94" s="212"/>
      <c r="Q94" s="240"/>
      <c r="R94" s="240"/>
      <c r="S94" s="240"/>
      <c r="T94" s="240"/>
      <c r="U94" s="240"/>
      <c r="V94" s="240"/>
      <c r="W94" s="240"/>
      <c r="X94" s="240"/>
      <c r="Y94" s="240"/>
      <c r="Z94" s="240"/>
      <c r="AA94" s="240"/>
      <c r="AB94" s="240"/>
      <c r="AD94" s="240"/>
      <c r="AE94" s="240"/>
      <c r="AF94" s="240"/>
      <c r="AG94" s="240"/>
      <c r="AH94" s="240"/>
      <c r="AI94" s="240"/>
      <c r="AJ94" s="240"/>
      <c r="AK94" s="240"/>
      <c r="AL94" s="240"/>
      <c r="AM94" s="240"/>
      <c r="BK94" s="293"/>
      <c r="BL94" s="294"/>
      <c r="BM94" s="295"/>
      <c r="BN94" s="295"/>
      <c r="BO94" s="295"/>
      <c r="BP94" s="295"/>
      <c r="BQ94" s="295"/>
      <c r="BR94" s="296"/>
      <c r="BS94" s="297"/>
      <c r="CE94" s="303"/>
      <c r="CF94" s="304"/>
      <c r="CG94" s="168"/>
      <c r="CH94" s="168"/>
      <c r="CI94" s="168"/>
      <c r="CJ94" s="168"/>
      <c r="CK94" s="168"/>
      <c r="CL94" s="338"/>
      <c r="CM94" s="339"/>
      <c r="CN94" s="171"/>
      <c r="CO94" s="303"/>
      <c r="CP94" s="304"/>
      <c r="CQ94" s="168"/>
      <c r="CR94" s="168"/>
      <c r="CS94" s="168"/>
      <c r="CT94" s="168"/>
      <c r="CU94" s="168"/>
      <c r="CV94" s="169"/>
      <c r="CW94" s="170"/>
      <c r="CY94" s="303"/>
      <c r="CZ94" s="304"/>
      <c r="DA94" s="168"/>
      <c r="DB94" s="168"/>
      <c r="DC94" s="168"/>
      <c r="DD94" s="168"/>
      <c r="DE94" s="168"/>
      <c r="DF94" s="169"/>
      <c r="DG94" s="170"/>
    </row>
    <row r="95" spans="1:121" ht="27" customHeight="1" x14ac:dyDescent="0.35">
      <c r="A95" s="211"/>
      <c r="B95" s="212"/>
      <c r="C95" s="212"/>
      <c r="D95" s="212"/>
      <c r="E95" s="212"/>
      <c r="F95" s="212"/>
      <c r="G95" s="240"/>
      <c r="H95" s="240"/>
      <c r="I95" s="240"/>
      <c r="J95" s="240"/>
      <c r="K95" s="211"/>
      <c r="L95" s="212"/>
      <c r="M95" s="212"/>
      <c r="N95" s="212"/>
      <c r="O95" s="212"/>
      <c r="P95" s="212"/>
      <c r="Q95" s="240"/>
      <c r="R95" s="240"/>
      <c r="S95" s="240"/>
      <c r="T95" s="240"/>
      <c r="U95" s="240"/>
      <c r="V95" s="240"/>
      <c r="W95" s="240"/>
      <c r="X95" s="240"/>
      <c r="Y95" s="240"/>
      <c r="Z95" s="240"/>
      <c r="AA95" s="240"/>
      <c r="AB95" s="240"/>
      <c r="AD95" s="240"/>
      <c r="AE95" s="240"/>
      <c r="AF95" s="240"/>
      <c r="AG95" s="240"/>
      <c r="AH95" s="240"/>
      <c r="AI95" s="240"/>
      <c r="AJ95" s="240"/>
      <c r="AK95" s="240"/>
      <c r="AL95" s="240"/>
      <c r="AM95" s="240"/>
      <c r="BK95" s="341"/>
      <c r="BL95" s="342"/>
      <c r="BM95" s="300"/>
      <c r="BN95" s="300"/>
      <c r="BO95" s="300"/>
      <c r="BP95" s="300"/>
      <c r="BQ95" s="300"/>
      <c r="BR95" s="301"/>
      <c r="BS95" s="302"/>
      <c r="CE95" s="303"/>
      <c r="CF95" s="304"/>
      <c r="CG95" s="168"/>
      <c r="CH95" s="168"/>
      <c r="CI95" s="168"/>
      <c r="CJ95" s="168"/>
      <c r="CK95" s="168"/>
      <c r="CL95" s="338"/>
      <c r="CM95" s="339"/>
      <c r="CN95" s="171"/>
      <c r="CO95" s="303"/>
      <c r="CP95" s="304"/>
      <c r="CQ95" s="168"/>
      <c r="CR95" s="168"/>
      <c r="CS95" s="168"/>
      <c r="CT95" s="168"/>
      <c r="CU95" s="168"/>
      <c r="CV95" s="169"/>
      <c r="CW95" s="170"/>
      <c r="CY95" s="303"/>
      <c r="CZ95" s="304"/>
      <c r="DA95" s="168"/>
      <c r="DB95" s="168"/>
      <c r="DC95" s="168"/>
      <c r="DD95" s="168"/>
      <c r="DE95" s="168"/>
      <c r="DF95" s="169"/>
      <c r="DG95" s="170"/>
    </row>
    <row r="96" spans="1:121" ht="27" customHeight="1" x14ac:dyDescent="0.35">
      <c r="A96" s="211"/>
      <c r="B96" s="212"/>
      <c r="C96" s="212"/>
      <c r="D96" s="212"/>
      <c r="E96" s="212"/>
      <c r="F96" s="212"/>
      <c r="G96" s="240"/>
      <c r="H96" s="240"/>
      <c r="I96" s="240"/>
      <c r="J96" s="240"/>
      <c r="K96" s="211"/>
      <c r="L96" s="212"/>
      <c r="M96" s="212"/>
      <c r="N96" s="212"/>
      <c r="O96" s="212"/>
      <c r="P96" s="212"/>
      <c r="Q96" s="240"/>
      <c r="R96" s="240"/>
      <c r="S96" s="240"/>
      <c r="T96" s="240"/>
      <c r="U96" s="240"/>
      <c r="V96" s="240"/>
      <c r="W96" s="240"/>
      <c r="X96" s="240"/>
      <c r="Y96" s="240"/>
      <c r="Z96" s="240"/>
      <c r="AA96" s="240"/>
      <c r="AB96" s="240"/>
      <c r="AD96" s="240"/>
      <c r="AE96" s="240"/>
      <c r="AF96" s="240"/>
      <c r="AG96" s="240"/>
      <c r="AH96" s="240"/>
      <c r="AI96" s="240"/>
      <c r="AJ96" s="240"/>
      <c r="AK96" s="240"/>
      <c r="AL96" s="240"/>
      <c r="AM96" s="240"/>
      <c r="BK96" s="343"/>
      <c r="BL96" s="167"/>
      <c r="BM96" s="168"/>
      <c r="BN96" s="168"/>
      <c r="BO96" s="168"/>
      <c r="BP96" s="168"/>
      <c r="BQ96" s="168"/>
      <c r="BR96" s="169"/>
      <c r="BS96" s="170"/>
      <c r="CE96" s="303"/>
      <c r="CF96" s="304"/>
      <c r="CG96" s="168"/>
      <c r="CH96" s="168"/>
      <c r="CI96" s="168"/>
      <c r="CJ96" s="168"/>
      <c r="CK96" s="168"/>
      <c r="CL96" s="338"/>
      <c r="CM96" s="339"/>
      <c r="CN96" s="171"/>
      <c r="CO96" s="303"/>
      <c r="CP96" s="304"/>
      <c r="CQ96" s="168"/>
      <c r="CR96" s="168"/>
      <c r="CS96" s="168"/>
      <c r="CT96" s="168"/>
      <c r="CU96" s="168"/>
      <c r="CV96" s="169"/>
      <c r="CW96" s="170"/>
      <c r="CY96" s="303"/>
      <c r="CZ96" s="304"/>
      <c r="DA96" s="168"/>
      <c r="DB96" s="168"/>
      <c r="DC96" s="168"/>
      <c r="DD96" s="168"/>
      <c r="DE96" s="168"/>
      <c r="DF96" s="169"/>
      <c r="DG96" s="170"/>
    </row>
    <row r="97" spans="1:111" ht="27" customHeight="1" x14ac:dyDescent="0.35">
      <c r="A97" s="211"/>
      <c r="B97" s="212"/>
      <c r="C97" s="212"/>
      <c r="D97" s="212"/>
      <c r="E97" s="212"/>
      <c r="F97" s="212"/>
      <c r="G97" s="240"/>
      <c r="H97" s="240"/>
      <c r="I97" s="240"/>
      <c r="J97" s="240"/>
      <c r="K97" s="211"/>
      <c r="L97" s="212"/>
      <c r="M97" s="212"/>
      <c r="N97" s="212"/>
      <c r="O97" s="212"/>
      <c r="P97" s="212"/>
      <c r="Q97" s="240"/>
      <c r="R97" s="240"/>
      <c r="S97" s="240"/>
      <c r="T97" s="240"/>
      <c r="U97" s="240"/>
      <c r="V97" s="240"/>
      <c r="W97" s="240"/>
      <c r="X97" s="240"/>
      <c r="Y97" s="240"/>
      <c r="Z97" s="240"/>
      <c r="AA97" s="240"/>
      <c r="AB97" s="240"/>
      <c r="AD97" s="240"/>
      <c r="AE97" s="240"/>
      <c r="AF97" s="240"/>
      <c r="AG97" s="240"/>
      <c r="AH97" s="240"/>
      <c r="AI97" s="240"/>
      <c r="AJ97" s="240"/>
      <c r="AK97" s="240"/>
      <c r="AL97" s="240"/>
      <c r="AM97" s="240"/>
      <c r="BK97" s="343"/>
      <c r="BL97" s="167"/>
      <c r="BM97" s="168"/>
      <c r="BN97" s="168"/>
      <c r="BO97" s="168"/>
      <c r="BP97" s="168"/>
      <c r="BQ97" s="168"/>
      <c r="BR97" s="169"/>
      <c r="BS97" s="170"/>
      <c r="CE97" s="303"/>
      <c r="CF97" s="304"/>
      <c r="CG97" s="168"/>
      <c r="CH97" s="168"/>
      <c r="CI97" s="168"/>
      <c r="CJ97" s="168"/>
      <c r="CK97" s="168"/>
      <c r="CL97" s="338"/>
      <c r="CM97" s="339"/>
      <c r="CN97" s="171"/>
      <c r="CO97" s="303"/>
      <c r="CP97" s="304"/>
      <c r="CQ97" s="168"/>
      <c r="CR97" s="168"/>
      <c r="CS97" s="168"/>
      <c r="CT97" s="168"/>
      <c r="CU97" s="168"/>
      <c r="CV97" s="169"/>
      <c r="CW97" s="170"/>
      <c r="CY97" s="303"/>
      <c r="CZ97" s="304"/>
      <c r="DA97" s="168"/>
      <c r="DB97" s="168"/>
      <c r="DC97" s="168"/>
      <c r="DD97" s="168"/>
      <c r="DE97" s="168"/>
      <c r="DF97" s="169"/>
      <c r="DG97" s="170"/>
    </row>
    <row r="98" spans="1:111" ht="27" customHeight="1" x14ac:dyDescent="0.35">
      <c r="A98" s="211"/>
      <c r="B98" s="212"/>
      <c r="C98" s="212"/>
      <c r="D98" s="212"/>
      <c r="E98" s="212"/>
      <c r="F98" s="212"/>
      <c r="G98" s="240"/>
      <c r="H98" s="240"/>
      <c r="I98" s="240"/>
      <c r="J98" s="240"/>
      <c r="K98" s="211"/>
      <c r="L98" s="212"/>
      <c r="M98" s="212"/>
      <c r="N98" s="212"/>
      <c r="O98" s="212"/>
      <c r="P98" s="212"/>
      <c r="Q98" s="240"/>
      <c r="R98" s="240"/>
      <c r="S98" s="240"/>
      <c r="T98" s="240"/>
      <c r="U98" s="240"/>
      <c r="V98" s="240"/>
      <c r="W98" s="240"/>
      <c r="X98" s="240"/>
      <c r="Y98" s="240"/>
      <c r="Z98" s="240"/>
      <c r="AA98" s="240"/>
      <c r="AB98" s="240"/>
      <c r="AD98" s="240"/>
      <c r="AE98" s="240"/>
      <c r="AF98" s="240"/>
      <c r="AG98" s="240"/>
      <c r="AH98" s="240"/>
      <c r="AI98" s="240"/>
      <c r="AJ98" s="240"/>
      <c r="AK98" s="240"/>
      <c r="AL98" s="240"/>
      <c r="AM98" s="240"/>
      <c r="BK98" s="343"/>
      <c r="BL98" s="167"/>
      <c r="BM98" s="168"/>
      <c r="BN98" s="168"/>
      <c r="BO98" s="168"/>
      <c r="BP98" s="168"/>
      <c r="BQ98" s="168"/>
      <c r="BR98" s="169"/>
      <c r="BS98" s="170"/>
      <c r="CE98" s="303"/>
      <c r="CF98" s="304"/>
      <c r="CG98" s="168"/>
      <c r="CH98" s="168"/>
      <c r="CI98" s="168"/>
      <c r="CJ98" s="168"/>
      <c r="CK98" s="168"/>
      <c r="CL98" s="338"/>
      <c r="CM98" s="339"/>
      <c r="CN98" s="171"/>
      <c r="CO98" s="303"/>
      <c r="CP98" s="304"/>
      <c r="CQ98" s="168"/>
      <c r="CR98" s="168"/>
      <c r="CS98" s="168"/>
      <c r="CT98" s="168"/>
      <c r="CU98" s="168"/>
      <c r="CV98" s="169"/>
      <c r="CW98" s="170"/>
      <c r="CY98" s="303"/>
      <c r="CZ98" s="304"/>
      <c r="DA98" s="168"/>
      <c r="DB98" s="168"/>
      <c r="DC98" s="168"/>
      <c r="DD98" s="168"/>
      <c r="DE98" s="168"/>
      <c r="DF98" s="169"/>
      <c r="DG98" s="170"/>
    </row>
    <row r="99" spans="1:111" ht="27" customHeight="1" x14ac:dyDescent="0.35">
      <c r="A99" s="211"/>
      <c r="B99" s="212"/>
      <c r="C99" s="212"/>
      <c r="D99" s="212"/>
      <c r="E99" s="212"/>
      <c r="F99" s="212"/>
      <c r="G99" s="240"/>
      <c r="H99" s="240"/>
      <c r="I99" s="240"/>
      <c r="J99" s="240"/>
      <c r="K99" s="211"/>
      <c r="L99" s="212"/>
      <c r="M99" s="212"/>
      <c r="N99" s="212"/>
      <c r="O99" s="212"/>
      <c r="P99" s="212"/>
      <c r="Q99" s="240"/>
      <c r="R99" s="240"/>
      <c r="S99" s="240"/>
      <c r="T99" s="240"/>
      <c r="U99" s="240"/>
      <c r="V99" s="240"/>
      <c r="W99" s="240"/>
      <c r="X99" s="240"/>
      <c r="Y99" s="240"/>
      <c r="Z99" s="240"/>
      <c r="AA99" s="240"/>
      <c r="AB99" s="240"/>
      <c r="AD99" s="240"/>
      <c r="AE99" s="240"/>
      <c r="AF99" s="240"/>
      <c r="AG99" s="240"/>
      <c r="AH99" s="240"/>
      <c r="AI99" s="240"/>
      <c r="AJ99" s="240"/>
      <c r="AK99" s="240"/>
      <c r="AL99" s="240"/>
      <c r="AM99" s="240"/>
      <c r="BK99" s="343"/>
      <c r="BL99" s="167"/>
      <c r="BM99" s="168"/>
      <c r="BN99" s="168"/>
      <c r="BO99" s="168"/>
      <c r="BP99" s="168"/>
      <c r="BQ99" s="168"/>
      <c r="BR99" s="169"/>
      <c r="BS99" s="170"/>
      <c r="CE99" s="303"/>
      <c r="CF99" s="304"/>
      <c r="CG99" s="168"/>
      <c r="CH99" s="168"/>
      <c r="CI99" s="168"/>
      <c r="CJ99" s="168"/>
      <c r="CK99" s="168"/>
      <c r="CL99" s="338"/>
      <c r="CM99" s="339"/>
      <c r="CN99" s="171"/>
      <c r="CO99" s="303"/>
      <c r="CP99" s="304"/>
      <c r="CQ99" s="168"/>
      <c r="CR99" s="168"/>
      <c r="CS99" s="168"/>
      <c r="CT99" s="168"/>
      <c r="CU99" s="168"/>
      <c r="CV99" s="169"/>
      <c r="CW99" s="170"/>
      <c r="CY99" s="303"/>
      <c r="CZ99" s="304"/>
      <c r="DA99" s="168"/>
      <c r="DB99" s="168"/>
      <c r="DC99" s="168"/>
      <c r="DD99" s="168"/>
      <c r="DE99" s="168"/>
      <c r="DF99" s="169"/>
      <c r="DG99" s="170"/>
    </row>
    <row r="100" spans="1:111" ht="27" customHeight="1" x14ac:dyDescent="0.35">
      <c r="A100" s="211"/>
      <c r="B100" s="212"/>
      <c r="C100" s="212"/>
      <c r="D100" s="212"/>
      <c r="E100" s="212"/>
      <c r="F100" s="212"/>
      <c r="G100" s="240"/>
      <c r="H100" s="240"/>
      <c r="I100" s="240"/>
      <c r="J100" s="240"/>
      <c r="K100" s="211"/>
      <c r="L100" s="212"/>
      <c r="M100" s="212"/>
      <c r="N100" s="212"/>
      <c r="O100" s="212"/>
      <c r="P100" s="212"/>
      <c r="Q100" s="240"/>
      <c r="R100" s="240"/>
      <c r="S100" s="240"/>
      <c r="T100" s="240"/>
      <c r="U100" s="240"/>
      <c r="V100" s="240"/>
      <c r="W100" s="240"/>
      <c r="X100" s="240"/>
      <c r="Y100" s="240"/>
      <c r="Z100" s="240"/>
      <c r="AA100" s="240"/>
      <c r="AB100" s="240"/>
      <c r="AD100" s="240"/>
      <c r="AE100" s="240"/>
      <c r="AF100" s="240"/>
      <c r="AG100" s="240"/>
      <c r="AH100" s="240"/>
      <c r="AI100" s="240"/>
      <c r="AJ100" s="240"/>
      <c r="AK100" s="240"/>
      <c r="AL100" s="240"/>
      <c r="AM100" s="240"/>
      <c r="BK100" s="343"/>
      <c r="BL100" s="167"/>
      <c r="BM100" s="168"/>
      <c r="BN100" s="168"/>
      <c r="BO100" s="168"/>
      <c r="BP100" s="168"/>
      <c r="BQ100" s="168"/>
      <c r="BR100" s="169"/>
      <c r="BS100" s="170"/>
      <c r="CE100" s="303"/>
      <c r="CF100" s="304"/>
      <c r="CG100" s="168"/>
      <c r="CH100" s="168"/>
      <c r="CI100" s="168"/>
      <c r="CJ100" s="168"/>
      <c r="CK100" s="168"/>
      <c r="CL100" s="338"/>
      <c r="CM100" s="339"/>
      <c r="CN100" s="171"/>
      <c r="CO100" s="303"/>
      <c r="CP100" s="304"/>
      <c r="CQ100" s="168"/>
      <c r="CR100" s="168"/>
      <c r="CS100" s="168"/>
      <c r="CT100" s="168"/>
      <c r="CU100" s="168"/>
      <c r="CV100" s="169"/>
      <c r="CW100" s="170"/>
      <c r="CY100" s="303"/>
      <c r="CZ100" s="304"/>
      <c r="DA100" s="168"/>
      <c r="DB100" s="168"/>
      <c r="DC100" s="168"/>
      <c r="DD100" s="168"/>
      <c r="DE100" s="168"/>
      <c r="DF100" s="169"/>
      <c r="DG100" s="170"/>
    </row>
    <row r="101" spans="1:111" ht="27" customHeight="1" x14ac:dyDescent="0.35">
      <c r="A101" s="211"/>
      <c r="B101" s="212"/>
      <c r="C101" s="212"/>
      <c r="D101" s="212"/>
      <c r="E101" s="212"/>
      <c r="F101" s="212"/>
      <c r="G101" s="240"/>
      <c r="H101" s="240"/>
      <c r="I101" s="240"/>
      <c r="J101" s="240"/>
      <c r="K101" s="211"/>
      <c r="L101" s="212"/>
      <c r="M101" s="212"/>
      <c r="N101" s="212"/>
      <c r="O101" s="212"/>
      <c r="P101" s="212"/>
      <c r="Q101" s="240"/>
      <c r="R101" s="240"/>
      <c r="S101" s="240"/>
      <c r="T101" s="240"/>
      <c r="U101" s="240"/>
      <c r="V101" s="240"/>
      <c r="W101" s="240"/>
      <c r="X101" s="240"/>
      <c r="Y101" s="240"/>
      <c r="Z101" s="240"/>
      <c r="AA101" s="240"/>
      <c r="AB101" s="240"/>
      <c r="AD101" s="240"/>
      <c r="AE101" s="240"/>
      <c r="AF101" s="240"/>
      <c r="AG101" s="240"/>
      <c r="AH101" s="240"/>
      <c r="AI101" s="240"/>
      <c r="AJ101" s="240"/>
      <c r="AK101" s="240"/>
      <c r="AL101" s="240"/>
      <c r="AM101" s="240"/>
      <c r="BK101" s="343"/>
      <c r="BL101" s="167"/>
      <c r="BM101" s="168"/>
      <c r="BN101" s="168"/>
      <c r="BO101" s="168"/>
      <c r="BP101" s="168"/>
      <c r="BQ101" s="168"/>
      <c r="BR101" s="169"/>
      <c r="BS101" s="170"/>
      <c r="CE101" s="303"/>
      <c r="CF101" s="304"/>
      <c r="CG101" s="168"/>
      <c r="CH101" s="168"/>
      <c r="CI101" s="168"/>
      <c r="CJ101" s="168"/>
      <c r="CK101" s="168"/>
      <c r="CL101" s="338"/>
      <c r="CM101" s="339"/>
      <c r="CN101" s="171"/>
      <c r="CO101" s="303"/>
      <c r="CP101" s="304"/>
      <c r="CQ101" s="168"/>
      <c r="CR101" s="168"/>
      <c r="CS101" s="168"/>
      <c r="CT101" s="168"/>
      <c r="CU101" s="168"/>
      <c r="CV101" s="169"/>
      <c r="CW101" s="170"/>
      <c r="CY101" s="303"/>
      <c r="CZ101" s="304"/>
      <c r="DA101" s="168"/>
      <c r="DB101" s="168"/>
      <c r="DC101" s="168"/>
      <c r="DD101" s="168"/>
      <c r="DE101" s="168"/>
      <c r="DF101" s="169"/>
      <c r="DG101" s="170"/>
    </row>
    <row r="102" spans="1:111" ht="27" customHeight="1" x14ac:dyDescent="0.35">
      <c r="A102" s="211"/>
      <c r="B102" s="212"/>
      <c r="C102" s="212"/>
      <c r="D102" s="212"/>
      <c r="E102" s="212"/>
      <c r="F102" s="212"/>
      <c r="G102" s="240"/>
      <c r="H102" s="240"/>
      <c r="I102" s="240"/>
      <c r="J102" s="240"/>
      <c r="K102" s="211"/>
      <c r="L102" s="212"/>
      <c r="M102" s="212"/>
      <c r="N102" s="212"/>
      <c r="O102" s="212"/>
      <c r="P102" s="212"/>
      <c r="Q102" s="240"/>
      <c r="R102" s="240"/>
      <c r="S102" s="240"/>
      <c r="T102" s="240"/>
      <c r="U102" s="240"/>
      <c r="V102" s="240"/>
      <c r="W102" s="240"/>
      <c r="X102" s="240"/>
      <c r="Y102" s="240"/>
      <c r="Z102" s="240"/>
      <c r="AA102" s="240"/>
      <c r="AB102" s="240"/>
      <c r="AD102" s="240"/>
      <c r="AE102" s="240"/>
      <c r="AF102" s="240"/>
      <c r="AG102" s="240"/>
      <c r="AH102" s="240"/>
      <c r="AI102" s="240"/>
      <c r="AJ102" s="240"/>
      <c r="AK102" s="240"/>
      <c r="AL102" s="240"/>
      <c r="AM102" s="240"/>
      <c r="BK102" s="343"/>
      <c r="BL102" s="167"/>
      <c r="BM102" s="168"/>
      <c r="BN102" s="168"/>
      <c r="BO102" s="168"/>
      <c r="BP102" s="168"/>
      <c r="BQ102" s="168"/>
      <c r="BR102" s="169"/>
      <c r="BS102" s="170"/>
      <c r="CE102" s="303"/>
      <c r="CF102" s="304"/>
      <c r="CG102" s="168"/>
      <c r="CH102" s="168"/>
      <c r="CI102" s="168"/>
      <c r="CJ102" s="168"/>
      <c r="CK102" s="168"/>
      <c r="CL102" s="338"/>
      <c r="CM102" s="339"/>
      <c r="CN102" s="171"/>
      <c r="CO102" s="303"/>
      <c r="CP102" s="304"/>
      <c r="CQ102" s="168"/>
      <c r="CR102" s="168"/>
      <c r="CS102" s="168"/>
      <c r="CT102" s="168"/>
      <c r="CU102" s="168"/>
      <c r="CV102" s="169"/>
      <c r="CW102" s="170"/>
      <c r="CY102" s="303"/>
      <c r="CZ102" s="304"/>
      <c r="DA102" s="168"/>
      <c r="DB102" s="168"/>
      <c r="DC102" s="168"/>
      <c r="DD102" s="168"/>
      <c r="DE102" s="168"/>
      <c r="DF102" s="169"/>
      <c r="DG102" s="170"/>
    </row>
    <row r="103" spans="1:111" ht="27" customHeight="1" thickBot="1" x14ac:dyDescent="0.4">
      <c r="A103" s="211"/>
      <c r="B103" s="212"/>
      <c r="C103" s="212"/>
      <c r="D103" s="212"/>
      <c r="E103" s="212"/>
      <c r="F103" s="212"/>
      <c r="G103" s="240"/>
      <c r="H103" s="240"/>
      <c r="I103" s="240"/>
      <c r="J103" s="240"/>
      <c r="K103" s="211"/>
      <c r="L103" s="212"/>
      <c r="M103" s="212"/>
      <c r="N103" s="212"/>
      <c r="O103" s="212"/>
      <c r="P103" s="212"/>
      <c r="Q103" s="240"/>
      <c r="R103" s="240"/>
      <c r="S103" s="240"/>
      <c r="T103" s="240"/>
      <c r="U103" s="240"/>
      <c r="V103" s="240"/>
      <c r="W103" s="240"/>
      <c r="X103" s="240"/>
      <c r="Y103" s="240"/>
      <c r="Z103" s="240"/>
      <c r="AA103" s="240"/>
      <c r="AB103" s="240"/>
      <c r="AD103" s="240"/>
      <c r="AE103" s="240"/>
      <c r="AF103" s="240"/>
      <c r="AG103" s="240"/>
      <c r="AH103" s="240"/>
      <c r="AI103" s="240"/>
      <c r="AJ103" s="240"/>
      <c r="AK103" s="240"/>
      <c r="AL103" s="240"/>
      <c r="AM103" s="240"/>
      <c r="BK103" s="343"/>
      <c r="BL103" s="167"/>
      <c r="BM103" s="168"/>
      <c r="BN103" s="168"/>
      <c r="BO103" s="168"/>
      <c r="BP103" s="168"/>
      <c r="BQ103" s="168"/>
      <c r="BR103" s="169"/>
      <c r="BS103" s="170"/>
      <c r="CE103" s="321"/>
      <c r="CF103" s="322"/>
      <c r="CG103" s="184"/>
      <c r="CH103" s="184"/>
      <c r="CI103" s="184"/>
      <c r="CJ103" s="184"/>
      <c r="CK103" s="184"/>
      <c r="CL103" s="344"/>
      <c r="CM103" s="345"/>
      <c r="CN103" s="171"/>
      <c r="CO103" s="321"/>
      <c r="CP103" s="322"/>
      <c r="CQ103" s="184"/>
      <c r="CR103" s="184"/>
      <c r="CS103" s="184"/>
      <c r="CT103" s="184"/>
      <c r="CU103" s="184"/>
      <c r="CV103" s="323"/>
      <c r="CW103" s="235"/>
      <c r="CY103" s="321"/>
      <c r="CZ103" s="322"/>
      <c r="DA103" s="184"/>
      <c r="DB103" s="184"/>
      <c r="DC103" s="184"/>
      <c r="DD103" s="184"/>
      <c r="DE103" s="184"/>
      <c r="DF103" s="323"/>
      <c r="DG103" s="170"/>
    </row>
    <row r="104" spans="1:111" ht="27" customHeight="1" thickBot="1" x14ac:dyDescent="0.4">
      <c r="A104" s="211"/>
      <c r="B104" s="212"/>
      <c r="C104" s="212"/>
      <c r="D104" s="212"/>
      <c r="E104" s="212"/>
      <c r="F104" s="212"/>
      <c r="G104" s="240"/>
      <c r="H104" s="240"/>
      <c r="I104" s="240"/>
      <c r="J104" s="240"/>
      <c r="K104" s="211"/>
      <c r="L104" s="212"/>
      <c r="M104" s="212"/>
      <c r="N104" s="212"/>
      <c r="O104" s="212"/>
      <c r="P104" s="212"/>
      <c r="Q104" s="240"/>
      <c r="R104" s="240"/>
      <c r="S104" s="240"/>
      <c r="T104" s="240"/>
      <c r="U104" s="240"/>
      <c r="V104" s="240"/>
      <c r="W104" s="240"/>
      <c r="X104" s="240"/>
      <c r="Y104" s="240"/>
      <c r="Z104" s="240"/>
      <c r="AA104" s="240"/>
      <c r="AB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BK104" s="343"/>
      <c r="BL104" s="167"/>
      <c r="BM104" s="168"/>
      <c r="BN104" s="168"/>
      <c r="BO104" s="168"/>
      <c r="BP104" s="168"/>
      <c r="BQ104" s="168"/>
      <c r="BR104" s="169"/>
      <c r="BS104" s="170"/>
      <c r="CE104" s="346"/>
      <c r="CF104" s="192"/>
      <c r="CG104" s="193"/>
      <c r="CH104" s="193"/>
      <c r="CI104" s="193"/>
      <c r="CJ104" s="193"/>
      <c r="CK104" s="193"/>
      <c r="CL104" s="347"/>
      <c r="CM104" s="348"/>
      <c r="CN104" s="171"/>
      <c r="CO104" s="346"/>
      <c r="CP104" s="192"/>
      <c r="CQ104" s="193"/>
      <c r="CR104" s="193"/>
      <c r="CS104" s="193"/>
      <c r="CT104" s="193"/>
      <c r="CU104" s="193"/>
      <c r="CV104" s="347"/>
      <c r="CW104" s="348"/>
      <c r="CY104" s="324"/>
      <c r="CZ104" s="192"/>
      <c r="DA104" s="193"/>
      <c r="DB104" s="193"/>
      <c r="DC104" s="193"/>
      <c r="DD104" s="193"/>
      <c r="DE104" s="193"/>
      <c r="DF104" s="194"/>
      <c r="DG104" s="195"/>
    </row>
    <row r="105" spans="1:111" ht="27" customHeight="1" x14ac:dyDescent="0.35">
      <c r="A105" s="258"/>
      <c r="B105" s="212"/>
      <c r="C105" s="212"/>
      <c r="D105" s="212"/>
      <c r="E105" s="212"/>
      <c r="F105" s="212"/>
      <c r="G105" s="240"/>
      <c r="H105" s="240"/>
      <c r="I105" s="240"/>
      <c r="J105" s="240"/>
      <c r="K105" s="258"/>
      <c r="L105" s="212"/>
      <c r="M105" s="212"/>
      <c r="N105" s="212"/>
      <c r="O105" s="212"/>
      <c r="P105" s="212"/>
      <c r="Q105" s="240"/>
      <c r="R105" s="240"/>
      <c r="S105" s="240"/>
      <c r="T105" s="240"/>
      <c r="U105" s="240"/>
      <c r="V105" s="240"/>
      <c r="W105" s="240"/>
      <c r="X105" s="240"/>
      <c r="Y105" s="240"/>
      <c r="Z105" s="240"/>
      <c r="AA105" s="240"/>
      <c r="AB105" s="240"/>
      <c r="AD105" s="240"/>
      <c r="AE105" s="240"/>
      <c r="AF105" s="240"/>
      <c r="AG105" s="240"/>
      <c r="AH105" s="240"/>
      <c r="AI105" s="240"/>
      <c r="AJ105" s="240"/>
      <c r="AK105" s="240"/>
      <c r="AL105" s="240"/>
      <c r="AM105" s="240"/>
      <c r="BK105" s="343"/>
      <c r="BL105" s="167"/>
      <c r="BM105" s="168"/>
      <c r="BN105" s="168"/>
      <c r="BO105" s="168"/>
      <c r="BP105" s="168"/>
      <c r="BQ105" s="168"/>
      <c r="BR105" s="169"/>
      <c r="BS105" s="170"/>
    </row>
    <row r="106" spans="1:111" ht="27" customHeight="1" thickBot="1" x14ac:dyDescent="0.4">
      <c r="A106" s="240"/>
      <c r="B106" s="240"/>
      <c r="C106" s="240"/>
      <c r="D106" s="240"/>
      <c r="E106" s="240"/>
      <c r="F106" s="240"/>
      <c r="G106" s="240"/>
      <c r="H106" s="240"/>
      <c r="I106" s="240"/>
      <c r="J106" s="240"/>
      <c r="K106" s="240"/>
      <c r="L106" s="240"/>
      <c r="M106" s="240"/>
      <c r="N106" s="240"/>
      <c r="O106" s="240"/>
      <c r="P106" s="240"/>
      <c r="Q106" s="240"/>
      <c r="R106" s="240"/>
      <c r="S106" s="240"/>
      <c r="T106" s="240"/>
      <c r="U106" s="240"/>
      <c r="V106" s="240"/>
      <c r="W106" s="240"/>
      <c r="X106" s="240"/>
      <c r="Y106" s="240"/>
      <c r="Z106" s="240"/>
      <c r="AA106" s="240"/>
      <c r="AB106" s="240"/>
      <c r="AD106" s="240"/>
      <c r="AE106" s="240"/>
      <c r="AF106" s="240"/>
      <c r="AG106" s="240"/>
      <c r="AH106" s="240"/>
      <c r="AI106" s="240"/>
      <c r="AJ106" s="240"/>
      <c r="AK106" s="240"/>
      <c r="AL106" s="240"/>
      <c r="AM106" s="240"/>
      <c r="BK106" s="343"/>
      <c r="BL106" s="183"/>
      <c r="BM106" s="184"/>
      <c r="BN106" s="184"/>
      <c r="BO106" s="184"/>
      <c r="BP106" s="184"/>
      <c r="BQ106" s="184"/>
      <c r="BR106" s="323"/>
      <c r="BS106" s="170"/>
    </row>
    <row r="107" spans="1:111" ht="27" customHeight="1" thickBot="1" x14ac:dyDescent="0.4">
      <c r="A107" s="211"/>
      <c r="B107" s="212"/>
      <c r="C107" s="212"/>
      <c r="D107" s="212"/>
      <c r="E107" s="212"/>
      <c r="F107" s="212"/>
      <c r="G107" s="240"/>
      <c r="H107" s="240"/>
      <c r="I107" s="240"/>
      <c r="J107" s="240"/>
      <c r="K107" s="211"/>
      <c r="L107" s="212"/>
      <c r="M107" s="212"/>
      <c r="N107" s="212"/>
      <c r="O107" s="212"/>
      <c r="P107" s="212"/>
      <c r="Q107" s="240"/>
      <c r="R107" s="240"/>
      <c r="S107" s="240"/>
      <c r="T107" s="240"/>
      <c r="U107" s="240"/>
      <c r="V107" s="240"/>
      <c r="W107" s="240"/>
      <c r="X107" s="240"/>
      <c r="Y107" s="240"/>
      <c r="Z107" s="240"/>
      <c r="AA107" s="240"/>
      <c r="AB107" s="240"/>
      <c r="AD107" s="240"/>
      <c r="AE107" s="240"/>
      <c r="AF107" s="240"/>
      <c r="AG107" s="240"/>
      <c r="AH107" s="240"/>
      <c r="AI107" s="240"/>
      <c r="AJ107" s="240"/>
      <c r="AK107" s="240"/>
      <c r="AL107" s="240"/>
      <c r="AM107" s="240"/>
      <c r="BK107" s="324"/>
      <c r="BL107" s="192"/>
      <c r="BM107" s="193"/>
      <c r="BN107" s="193"/>
      <c r="BO107" s="193"/>
      <c r="BP107" s="193"/>
      <c r="BQ107" s="193"/>
      <c r="BR107" s="194"/>
      <c r="BS107" s="195"/>
    </row>
    <row r="108" spans="1:111" ht="27" customHeight="1" x14ac:dyDescent="0.35">
      <c r="A108" s="318"/>
      <c r="B108" s="319"/>
      <c r="C108" s="319"/>
      <c r="D108" s="319"/>
      <c r="E108" s="319"/>
      <c r="F108" s="319"/>
      <c r="G108" s="240"/>
      <c r="H108" s="240"/>
      <c r="I108" s="240"/>
      <c r="J108" s="240"/>
      <c r="K108" s="318"/>
      <c r="L108" s="319"/>
      <c r="M108" s="319"/>
      <c r="N108" s="319"/>
      <c r="O108" s="319"/>
      <c r="P108" s="319"/>
      <c r="Q108" s="240"/>
      <c r="R108" s="240"/>
      <c r="S108" s="240"/>
      <c r="T108" s="240"/>
      <c r="U108" s="240"/>
      <c r="V108" s="240"/>
      <c r="W108" s="240"/>
      <c r="X108" s="240"/>
      <c r="Y108" s="240"/>
      <c r="Z108" s="240"/>
      <c r="AA108" s="240"/>
      <c r="AB108" s="240"/>
      <c r="AD108" s="240"/>
      <c r="AE108" s="240"/>
      <c r="AF108" s="240"/>
      <c r="AG108" s="240"/>
      <c r="AH108" s="240"/>
      <c r="AI108" s="240"/>
      <c r="AJ108" s="240"/>
      <c r="AK108" s="240"/>
      <c r="AL108" s="240"/>
      <c r="AM108" s="240"/>
    </row>
    <row r="109" spans="1:111" ht="27" customHeight="1" x14ac:dyDescent="0.35">
      <c r="A109" s="240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40"/>
      <c r="S109" s="240"/>
      <c r="T109" s="240"/>
      <c r="U109" s="240"/>
      <c r="V109" s="240"/>
      <c r="W109" s="240"/>
      <c r="X109" s="240"/>
      <c r="Y109" s="240"/>
      <c r="Z109" s="240"/>
      <c r="AA109" s="240"/>
      <c r="AB109" s="240"/>
      <c r="AD109" s="240"/>
      <c r="AE109" s="240"/>
      <c r="AF109" s="240"/>
      <c r="AG109" s="240"/>
      <c r="AH109" s="240"/>
      <c r="AI109" s="240"/>
      <c r="AJ109" s="240"/>
      <c r="AK109" s="240"/>
      <c r="AL109" s="240"/>
      <c r="AM109" s="240"/>
    </row>
    <row r="110" spans="1:111" ht="27" customHeight="1" x14ac:dyDescent="0.35">
      <c r="A110" s="240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0"/>
      <c r="R110" s="240"/>
      <c r="S110" s="240"/>
      <c r="T110" s="240"/>
      <c r="U110" s="240"/>
      <c r="V110" s="240"/>
      <c r="W110" s="240"/>
      <c r="X110" s="240"/>
      <c r="Y110" s="240"/>
      <c r="Z110" s="240"/>
      <c r="AA110" s="240"/>
      <c r="AB110" s="240"/>
      <c r="AD110" s="240"/>
      <c r="AE110" s="240"/>
      <c r="AF110" s="240"/>
      <c r="AG110" s="240"/>
      <c r="AH110" s="240"/>
      <c r="AI110" s="240"/>
      <c r="AJ110" s="240"/>
      <c r="AK110" s="240"/>
      <c r="AL110" s="240"/>
      <c r="AM110" s="240"/>
    </row>
    <row r="111" spans="1:111" ht="27" customHeight="1" x14ac:dyDescent="0.35">
      <c r="A111" s="240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  <c r="Z111" s="240"/>
      <c r="AA111" s="240"/>
      <c r="AB111" s="240"/>
      <c r="AD111" s="240"/>
      <c r="AE111" s="240"/>
      <c r="AF111" s="240"/>
      <c r="AG111" s="240"/>
      <c r="AH111" s="240"/>
      <c r="AI111" s="240"/>
      <c r="AJ111" s="240"/>
      <c r="AK111" s="240"/>
      <c r="AL111" s="240"/>
      <c r="AM111" s="240"/>
    </row>
    <row r="112" spans="1:111" ht="27" customHeight="1" x14ac:dyDescent="0.35">
      <c r="A112" s="240"/>
      <c r="B112" s="240"/>
      <c r="C112" s="240"/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240"/>
      <c r="O112" s="240"/>
      <c r="P112" s="240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240"/>
      <c r="AB112" s="240"/>
      <c r="AD112" s="240"/>
      <c r="AE112" s="240"/>
      <c r="AF112" s="240"/>
      <c r="AG112" s="240"/>
      <c r="AH112" s="240"/>
      <c r="AI112" s="240"/>
      <c r="AJ112" s="240"/>
      <c r="AK112" s="240"/>
      <c r="AL112" s="240"/>
      <c r="AM112" s="240"/>
    </row>
    <row r="113" spans="1:39" ht="27" customHeight="1" x14ac:dyDescent="0.35">
      <c r="A113" s="240"/>
      <c r="B113" s="240"/>
      <c r="C113" s="240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240"/>
      <c r="O113" s="240"/>
      <c r="P113" s="240"/>
      <c r="Q113" s="240"/>
      <c r="R113" s="240"/>
      <c r="S113" s="240"/>
      <c r="T113" s="240"/>
      <c r="U113" s="240"/>
      <c r="V113" s="240"/>
      <c r="W113" s="240"/>
      <c r="X113" s="240"/>
      <c r="Y113" s="240"/>
      <c r="Z113" s="240"/>
      <c r="AA113" s="240"/>
      <c r="AB113" s="240"/>
      <c r="AD113" s="240"/>
      <c r="AE113" s="240"/>
      <c r="AF113" s="240"/>
      <c r="AG113" s="240"/>
      <c r="AH113" s="240"/>
      <c r="AI113" s="240"/>
      <c r="AJ113" s="240"/>
      <c r="AK113" s="240"/>
      <c r="AL113" s="240"/>
      <c r="AM113" s="240"/>
    </row>
    <row r="114" spans="1:39" ht="27" customHeight="1" x14ac:dyDescent="0.35">
      <c r="A114" s="240"/>
      <c r="B114" s="240"/>
      <c r="C114" s="240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240"/>
      <c r="O114" s="240"/>
      <c r="P114" s="240"/>
      <c r="Q114" s="240"/>
      <c r="R114" s="240"/>
      <c r="S114" s="240"/>
      <c r="T114" s="240"/>
      <c r="U114" s="240"/>
      <c r="V114" s="240"/>
      <c r="W114" s="240"/>
      <c r="X114" s="240"/>
      <c r="Y114" s="240"/>
      <c r="Z114" s="240"/>
      <c r="AA114" s="240"/>
      <c r="AB114" s="240"/>
      <c r="AD114" s="240"/>
      <c r="AE114" s="240"/>
      <c r="AF114" s="240"/>
      <c r="AG114" s="240"/>
      <c r="AH114" s="240"/>
      <c r="AI114" s="240"/>
      <c r="AJ114" s="240"/>
      <c r="AK114" s="240"/>
      <c r="AL114" s="240"/>
      <c r="AM114" s="240"/>
    </row>
    <row r="115" spans="1:39" ht="27" customHeight="1" x14ac:dyDescent="0.35">
      <c r="A115" s="240"/>
      <c r="B115" s="240"/>
      <c r="C115" s="240"/>
      <c r="D115" s="240"/>
      <c r="E115" s="240"/>
      <c r="F115" s="240"/>
      <c r="G115" s="240"/>
      <c r="H115" s="240"/>
      <c r="I115" s="240"/>
      <c r="J115" s="240"/>
      <c r="K115" s="240"/>
      <c r="L115" s="240"/>
      <c r="M115" s="240"/>
      <c r="N115" s="240"/>
      <c r="O115" s="240"/>
      <c r="P115" s="240"/>
      <c r="Q115" s="240"/>
      <c r="R115" s="240"/>
      <c r="S115" s="240"/>
      <c r="T115" s="240"/>
      <c r="U115" s="240"/>
      <c r="V115" s="240"/>
      <c r="W115" s="240"/>
      <c r="X115" s="240"/>
      <c r="Y115" s="240"/>
      <c r="Z115" s="240"/>
      <c r="AA115" s="240"/>
      <c r="AB115" s="240"/>
      <c r="AD115" s="240"/>
      <c r="AE115" s="240"/>
      <c r="AF115" s="240"/>
      <c r="AG115" s="240"/>
      <c r="AH115" s="240"/>
      <c r="AI115" s="240"/>
      <c r="AJ115" s="240"/>
      <c r="AK115" s="240"/>
      <c r="AL115" s="240"/>
      <c r="AM115" s="240"/>
    </row>
    <row r="116" spans="1:39" ht="27" customHeight="1" x14ac:dyDescent="0.35">
      <c r="A116" s="240"/>
      <c r="B116" s="240"/>
      <c r="C116" s="240"/>
      <c r="D116" s="240"/>
      <c r="E116" s="240"/>
      <c r="F116" s="240"/>
      <c r="G116" s="240"/>
      <c r="H116" s="240"/>
      <c r="I116" s="240"/>
      <c r="J116" s="240"/>
      <c r="K116" s="349"/>
      <c r="L116" s="349"/>
      <c r="M116" s="349"/>
      <c r="N116" s="349"/>
      <c r="O116" s="349"/>
      <c r="P116" s="349"/>
      <c r="Q116" s="240"/>
      <c r="R116" s="240"/>
      <c r="S116" s="240"/>
      <c r="T116" s="240"/>
      <c r="U116" s="240"/>
      <c r="V116" s="240"/>
      <c r="W116" s="240"/>
      <c r="X116" s="240"/>
      <c r="Y116" s="240"/>
      <c r="Z116" s="240"/>
      <c r="AA116" s="240"/>
      <c r="AB116" s="240"/>
      <c r="AD116" s="240"/>
      <c r="AE116" s="240"/>
      <c r="AF116" s="240"/>
      <c r="AG116" s="240"/>
      <c r="AH116" s="240"/>
      <c r="AI116" s="240"/>
      <c r="AJ116" s="240"/>
      <c r="AK116" s="240"/>
      <c r="AL116" s="240"/>
      <c r="AM116" s="240"/>
    </row>
    <row r="117" spans="1:39" ht="27" customHeight="1" x14ac:dyDescent="0.35">
      <c r="A117" s="240"/>
      <c r="B117" s="240"/>
      <c r="C117" s="240"/>
      <c r="D117" s="240"/>
      <c r="E117" s="240"/>
      <c r="F117" s="240"/>
      <c r="G117" s="240"/>
      <c r="H117" s="240"/>
      <c r="I117" s="240"/>
      <c r="J117" s="240"/>
      <c r="K117" s="350"/>
      <c r="L117" s="350"/>
      <c r="M117" s="350"/>
      <c r="N117" s="350"/>
      <c r="O117" s="350"/>
      <c r="P117" s="350"/>
      <c r="Q117" s="240"/>
      <c r="R117" s="240"/>
      <c r="S117" s="240"/>
      <c r="T117" s="240"/>
      <c r="U117" s="240"/>
      <c r="V117" s="240"/>
      <c r="W117" s="240"/>
      <c r="X117" s="240"/>
      <c r="Y117" s="240"/>
      <c r="Z117" s="240"/>
      <c r="AA117" s="240"/>
      <c r="AB117" s="240"/>
      <c r="AD117" s="240"/>
      <c r="AE117" s="240"/>
      <c r="AF117" s="240"/>
      <c r="AG117" s="240"/>
      <c r="AH117" s="240"/>
      <c r="AI117" s="240"/>
      <c r="AJ117" s="240"/>
      <c r="AK117" s="240"/>
      <c r="AL117" s="240"/>
      <c r="AM117" s="240"/>
    </row>
    <row r="118" spans="1:39" ht="27" customHeight="1" x14ac:dyDescent="0.35">
      <c r="A118" s="240"/>
      <c r="B118" s="240"/>
      <c r="C118" s="240"/>
      <c r="D118" s="240"/>
      <c r="E118" s="240"/>
      <c r="F118" s="240"/>
      <c r="G118" s="240"/>
      <c r="H118" s="240"/>
      <c r="I118" s="240"/>
      <c r="J118" s="240"/>
      <c r="K118" s="350"/>
      <c r="L118" s="350"/>
      <c r="M118" s="350"/>
      <c r="N118" s="350"/>
      <c r="O118" s="240"/>
      <c r="P118" s="240"/>
      <c r="Q118" s="240"/>
      <c r="R118" s="240"/>
      <c r="S118" s="240"/>
      <c r="T118" s="240"/>
      <c r="U118" s="240"/>
      <c r="V118" s="240"/>
      <c r="W118" s="240"/>
      <c r="X118" s="240"/>
      <c r="Y118" s="240"/>
      <c r="Z118" s="240"/>
      <c r="AA118" s="240"/>
      <c r="AB118" s="240"/>
      <c r="AD118" s="240"/>
      <c r="AE118" s="240"/>
      <c r="AF118" s="240"/>
      <c r="AG118" s="240"/>
      <c r="AH118" s="240"/>
      <c r="AI118" s="240"/>
      <c r="AJ118" s="240"/>
      <c r="AK118" s="240"/>
      <c r="AL118" s="240"/>
      <c r="AM118" s="240"/>
    </row>
    <row r="119" spans="1:39" ht="27" customHeight="1" x14ac:dyDescent="0.35">
      <c r="A119" s="240"/>
      <c r="B119" s="240"/>
      <c r="C119" s="240"/>
      <c r="D119" s="240"/>
      <c r="E119" s="240"/>
      <c r="F119" s="240"/>
      <c r="G119" s="240"/>
      <c r="H119" s="240"/>
      <c r="I119" s="240"/>
      <c r="J119" s="240"/>
      <c r="K119" s="351"/>
      <c r="L119" s="352"/>
      <c r="M119" s="352"/>
      <c r="N119" s="353"/>
      <c r="O119" s="352"/>
      <c r="P119" s="352"/>
      <c r="Q119" s="240"/>
      <c r="R119" s="240"/>
      <c r="S119" s="240"/>
      <c r="T119" s="240"/>
      <c r="U119" s="240"/>
      <c r="V119" s="240"/>
      <c r="W119" s="240"/>
      <c r="X119" s="240"/>
      <c r="Y119" s="240"/>
      <c r="Z119" s="240"/>
      <c r="AA119" s="240"/>
      <c r="AB119" s="240"/>
      <c r="AD119" s="240"/>
      <c r="AE119" s="240"/>
      <c r="AF119" s="240"/>
      <c r="AG119" s="240"/>
      <c r="AH119" s="240"/>
      <c r="AI119" s="240"/>
      <c r="AJ119" s="240"/>
      <c r="AK119" s="240"/>
      <c r="AL119" s="240"/>
      <c r="AM119" s="240"/>
    </row>
    <row r="120" spans="1:39" ht="27" customHeight="1" x14ac:dyDescent="0.35">
      <c r="A120" s="240"/>
      <c r="B120" s="240"/>
      <c r="C120" s="240"/>
      <c r="D120" s="240"/>
      <c r="E120" s="240"/>
      <c r="F120" s="240"/>
      <c r="G120" s="240"/>
      <c r="H120" s="240"/>
      <c r="I120" s="240"/>
      <c r="J120" s="240"/>
      <c r="K120" s="351"/>
      <c r="L120" s="352"/>
      <c r="M120" s="352"/>
      <c r="N120" s="353"/>
      <c r="O120" s="352"/>
      <c r="P120" s="352"/>
      <c r="Q120" s="240"/>
      <c r="R120" s="240"/>
      <c r="S120" s="240"/>
      <c r="T120" s="240"/>
      <c r="U120" s="240"/>
      <c r="V120" s="240"/>
      <c r="W120" s="240"/>
      <c r="X120" s="240"/>
      <c r="Y120" s="240"/>
      <c r="Z120" s="240"/>
      <c r="AA120" s="240"/>
      <c r="AB120" s="240"/>
      <c r="AD120" s="240"/>
      <c r="AE120" s="240"/>
      <c r="AF120" s="240"/>
      <c r="AG120" s="240"/>
      <c r="AH120" s="240"/>
      <c r="AI120" s="240"/>
      <c r="AJ120" s="240"/>
      <c r="AK120" s="240"/>
      <c r="AL120" s="240"/>
      <c r="AM120" s="240"/>
    </row>
    <row r="121" spans="1:39" ht="27" customHeight="1" x14ac:dyDescent="0.35">
      <c r="A121" s="240"/>
      <c r="B121" s="240"/>
      <c r="C121" s="240"/>
      <c r="D121" s="240"/>
      <c r="E121" s="240"/>
      <c r="F121" s="240"/>
      <c r="G121" s="240"/>
      <c r="H121" s="240"/>
      <c r="I121" s="240"/>
      <c r="J121" s="240"/>
      <c r="K121" s="351"/>
      <c r="L121" s="352"/>
      <c r="M121" s="352"/>
      <c r="N121" s="353"/>
      <c r="O121" s="352"/>
      <c r="P121" s="352"/>
      <c r="Q121" s="240"/>
      <c r="R121" s="240"/>
      <c r="S121" s="240"/>
      <c r="T121" s="240"/>
      <c r="U121" s="240"/>
      <c r="V121" s="240"/>
      <c r="W121" s="240"/>
      <c r="X121" s="240"/>
      <c r="Y121" s="240"/>
      <c r="Z121" s="240"/>
      <c r="AA121" s="240"/>
      <c r="AB121" s="240"/>
      <c r="AD121" s="240"/>
      <c r="AE121" s="240"/>
      <c r="AF121" s="240"/>
      <c r="AG121" s="240"/>
      <c r="AH121" s="240"/>
      <c r="AI121" s="240"/>
      <c r="AJ121" s="240"/>
      <c r="AK121" s="240"/>
      <c r="AL121" s="240"/>
      <c r="AM121" s="240"/>
    </row>
    <row r="122" spans="1:39" ht="27" customHeight="1" x14ac:dyDescent="0.35">
      <c r="A122" s="240"/>
      <c r="B122" s="240"/>
      <c r="C122" s="240"/>
      <c r="D122" s="240"/>
      <c r="E122" s="240"/>
      <c r="F122" s="240"/>
      <c r="G122" s="240"/>
      <c r="H122" s="240"/>
      <c r="I122" s="240"/>
      <c r="J122" s="240"/>
      <c r="K122" s="351"/>
      <c r="L122" s="352"/>
      <c r="M122" s="352"/>
      <c r="N122" s="353"/>
      <c r="O122" s="352"/>
      <c r="P122" s="352"/>
      <c r="Q122" s="240"/>
      <c r="R122" s="240"/>
      <c r="S122" s="240"/>
      <c r="T122" s="240"/>
      <c r="U122" s="240"/>
      <c r="V122" s="240"/>
      <c r="W122" s="240"/>
      <c r="X122" s="240"/>
      <c r="Y122" s="240"/>
      <c r="Z122" s="240"/>
      <c r="AA122" s="240"/>
      <c r="AB122" s="240"/>
      <c r="AD122" s="240"/>
      <c r="AE122" s="240"/>
      <c r="AF122" s="240"/>
      <c r="AG122" s="240"/>
      <c r="AH122" s="240"/>
      <c r="AI122" s="240"/>
      <c r="AJ122" s="240"/>
      <c r="AK122" s="240"/>
      <c r="AL122" s="240"/>
      <c r="AM122" s="240"/>
    </row>
    <row r="123" spans="1:39" ht="27" customHeight="1" x14ac:dyDescent="0.35">
      <c r="A123" s="240"/>
      <c r="B123" s="240"/>
      <c r="C123" s="240"/>
      <c r="D123" s="240"/>
      <c r="E123" s="240"/>
      <c r="F123" s="240"/>
      <c r="G123" s="240"/>
      <c r="H123" s="240"/>
      <c r="I123" s="240"/>
      <c r="J123" s="240"/>
      <c r="K123" s="351"/>
      <c r="L123" s="352"/>
      <c r="M123" s="352"/>
      <c r="N123" s="353"/>
      <c r="O123" s="352"/>
      <c r="P123" s="352"/>
      <c r="Q123" s="240"/>
      <c r="R123" s="240"/>
      <c r="S123" s="240"/>
      <c r="T123" s="240"/>
      <c r="U123" s="240"/>
      <c r="V123" s="240"/>
      <c r="W123" s="240"/>
      <c r="X123" s="240"/>
      <c r="Y123" s="240"/>
      <c r="Z123" s="240"/>
      <c r="AA123" s="240"/>
      <c r="AB123" s="240"/>
      <c r="AD123" s="240"/>
      <c r="AE123" s="240"/>
      <c r="AF123" s="240"/>
      <c r="AG123" s="240"/>
      <c r="AH123" s="240"/>
      <c r="AI123" s="240"/>
      <c r="AJ123" s="240"/>
      <c r="AK123" s="240"/>
      <c r="AL123" s="240"/>
      <c r="AM123" s="240"/>
    </row>
    <row r="124" spans="1:39" ht="27" customHeight="1" x14ac:dyDescent="0.35">
      <c r="A124" s="240"/>
      <c r="B124" s="240"/>
      <c r="C124" s="240"/>
      <c r="D124" s="240"/>
      <c r="E124" s="240"/>
      <c r="F124" s="240"/>
      <c r="G124" s="240"/>
      <c r="H124" s="240"/>
      <c r="I124" s="240"/>
      <c r="J124" s="240"/>
      <c r="K124" s="354"/>
      <c r="L124" s="354"/>
      <c r="M124" s="354"/>
      <c r="N124" s="354"/>
      <c r="O124" s="354"/>
      <c r="P124" s="354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D124" s="240"/>
      <c r="AE124" s="240"/>
      <c r="AF124" s="240"/>
      <c r="AG124" s="240"/>
      <c r="AH124" s="240"/>
      <c r="AI124" s="240"/>
      <c r="AJ124" s="240"/>
      <c r="AK124" s="240"/>
      <c r="AL124" s="240"/>
      <c r="AM124" s="240"/>
    </row>
    <row r="125" spans="1:39" ht="27" customHeight="1" x14ac:dyDescent="0.35">
      <c r="A125" s="240"/>
      <c r="B125" s="240"/>
      <c r="C125" s="240"/>
      <c r="D125" s="240"/>
      <c r="E125" s="240"/>
      <c r="F125" s="240"/>
      <c r="G125" s="240"/>
      <c r="H125" s="240"/>
      <c r="I125" s="240"/>
      <c r="J125" s="240"/>
      <c r="K125" s="354"/>
      <c r="L125" s="355"/>
      <c r="M125" s="355"/>
      <c r="N125" s="355"/>
      <c r="O125" s="355"/>
      <c r="P125" s="355"/>
      <c r="Q125" s="240"/>
      <c r="R125" s="240"/>
      <c r="S125" s="240"/>
      <c r="T125" s="240"/>
      <c r="U125" s="240"/>
      <c r="V125" s="240"/>
      <c r="W125" s="240"/>
      <c r="X125" s="240"/>
      <c r="Y125" s="240"/>
      <c r="Z125" s="240"/>
      <c r="AA125" s="240"/>
      <c r="AB125" s="240"/>
      <c r="AD125" s="240"/>
      <c r="AE125" s="240"/>
      <c r="AF125" s="240"/>
      <c r="AG125" s="240"/>
      <c r="AH125" s="240"/>
      <c r="AI125" s="240"/>
      <c r="AJ125" s="240"/>
      <c r="AK125" s="240"/>
      <c r="AL125" s="240"/>
      <c r="AM125" s="240"/>
    </row>
    <row r="126" spans="1:39" ht="27" customHeight="1" x14ac:dyDescent="0.35">
      <c r="A126" s="240"/>
      <c r="B126" s="240"/>
      <c r="C126" s="240"/>
      <c r="D126" s="240"/>
      <c r="E126" s="240"/>
      <c r="F126" s="240"/>
      <c r="G126" s="240"/>
      <c r="H126" s="240"/>
      <c r="I126" s="240"/>
      <c r="J126" s="240"/>
      <c r="K126" s="354"/>
      <c r="L126" s="354"/>
      <c r="M126" s="354"/>
      <c r="N126" s="354"/>
      <c r="O126" s="354"/>
      <c r="P126" s="354"/>
      <c r="Q126" s="240"/>
      <c r="R126" s="240"/>
      <c r="S126" s="240"/>
      <c r="T126" s="240"/>
      <c r="U126" s="240"/>
      <c r="V126" s="240"/>
      <c r="W126" s="240"/>
      <c r="X126" s="240"/>
      <c r="Y126" s="240"/>
      <c r="Z126" s="240"/>
      <c r="AA126" s="240"/>
      <c r="AB126" s="240"/>
      <c r="AD126" s="240"/>
      <c r="AE126" s="240"/>
      <c r="AF126" s="240"/>
      <c r="AG126" s="240"/>
      <c r="AH126" s="240"/>
      <c r="AI126" s="240"/>
      <c r="AJ126" s="240"/>
      <c r="AK126" s="240"/>
      <c r="AL126" s="240"/>
      <c r="AM126" s="240"/>
    </row>
    <row r="127" spans="1:39" ht="27" customHeight="1" x14ac:dyDescent="0.35">
      <c r="A127" s="240"/>
      <c r="B127" s="240"/>
      <c r="C127" s="240"/>
      <c r="D127" s="240"/>
      <c r="E127" s="240"/>
      <c r="F127" s="240"/>
      <c r="G127" s="240"/>
      <c r="H127" s="240"/>
      <c r="I127" s="240"/>
      <c r="J127" s="240"/>
      <c r="K127" s="354"/>
      <c r="L127" s="354"/>
      <c r="M127" s="354"/>
      <c r="N127" s="354"/>
      <c r="O127" s="354"/>
      <c r="P127" s="354"/>
      <c r="Q127" s="240"/>
      <c r="R127" s="240"/>
      <c r="S127" s="240"/>
      <c r="T127" s="240"/>
      <c r="U127" s="240"/>
      <c r="V127" s="240"/>
      <c r="W127" s="240"/>
      <c r="X127" s="240"/>
      <c r="Y127" s="240"/>
      <c r="Z127" s="240"/>
      <c r="AA127" s="240"/>
      <c r="AB127" s="240"/>
      <c r="AD127" s="240"/>
      <c r="AE127" s="240"/>
      <c r="AF127" s="240"/>
      <c r="AG127" s="240"/>
      <c r="AH127" s="240"/>
      <c r="AI127" s="240"/>
      <c r="AJ127" s="240"/>
      <c r="AK127" s="240"/>
      <c r="AL127" s="240"/>
      <c r="AM127" s="240"/>
    </row>
    <row r="128" spans="1:39" ht="27" customHeight="1" x14ac:dyDescent="0.35">
      <c r="A128" s="240"/>
      <c r="B128" s="240"/>
      <c r="C128" s="240"/>
      <c r="D128" s="240"/>
      <c r="E128" s="240"/>
      <c r="F128" s="240"/>
      <c r="G128" s="240"/>
      <c r="H128" s="240"/>
      <c r="I128" s="240"/>
      <c r="J128" s="240"/>
      <c r="K128" s="354"/>
      <c r="L128" s="355"/>
      <c r="M128" s="355"/>
      <c r="N128" s="355"/>
      <c r="O128" s="355"/>
      <c r="P128" s="355"/>
      <c r="Q128" s="240"/>
      <c r="R128" s="240"/>
      <c r="S128" s="240"/>
      <c r="T128" s="240"/>
      <c r="U128" s="240"/>
      <c r="V128" s="240"/>
      <c r="W128" s="240"/>
      <c r="X128" s="240"/>
      <c r="Y128" s="240"/>
      <c r="Z128" s="240"/>
      <c r="AA128" s="240"/>
      <c r="AB128" s="240"/>
      <c r="AD128" s="240"/>
      <c r="AE128" s="240"/>
      <c r="AF128" s="240"/>
      <c r="AG128" s="240"/>
      <c r="AH128" s="240"/>
      <c r="AI128" s="240"/>
      <c r="AJ128" s="240"/>
      <c r="AK128" s="240"/>
      <c r="AL128" s="240"/>
      <c r="AM128" s="240"/>
    </row>
    <row r="129" spans="1:39" ht="27" customHeight="1" x14ac:dyDescent="0.35">
      <c r="A129" s="240"/>
      <c r="B129" s="240"/>
      <c r="C129" s="240"/>
      <c r="D129" s="240"/>
      <c r="E129" s="240"/>
      <c r="F129" s="240"/>
      <c r="G129" s="240"/>
      <c r="H129" s="240"/>
      <c r="I129" s="240"/>
      <c r="J129" s="240"/>
      <c r="K129" s="240"/>
      <c r="L129" s="356"/>
      <c r="M129" s="356"/>
      <c r="N129" s="356"/>
      <c r="O129" s="356"/>
      <c r="P129" s="356"/>
      <c r="Q129" s="240"/>
      <c r="R129" s="240"/>
      <c r="S129" s="240"/>
      <c r="T129" s="240"/>
      <c r="U129" s="240"/>
      <c r="V129" s="240"/>
      <c r="W129" s="240"/>
      <c r="X129" s="240"/>
      <c r="Y129" s="240"/>
      <c r="Z129" s="240"/>
      <c r="AA129" s="240"/>
      <c r="AB129" s="240"/>
      <c r="AD129" s="240"/>
      <c r="AE129" s="240"/>
      <c r="AF129" s="240"/>
      <c r="AG129" s="240"/>
      <c r="AH129" s="240"/>
      <c r="AI129" s="240"/>
      <c r="AJ129" s="240"/>
      <c r="AK129" s="240"/>
      <c r="AL129" s="240"/>
      <c r="AM129" s="240"/>
    </row>
    <row r="130" spans="1:39" ht="27" customHeight="1" x14ac:dyDescent="0.35">
      <c r="A130" s="240"/>
      <c r="B130" s="240"/>
      <c r="C130" s="240"/>
      <c r="D130" s="240"/>
      <c r="E130" s="240"/>
      <c r="F130" s="240"/>
      <c r="G130" s="240"/>
      <c r="H130" s="240"/>
      <c r="I130" s="240"/>
      <c r="J130" s="240"/>
      <c r="K130" s="240"/>
      <c r="L130" s="240"/>
      <c r="M130" s="240"/>
      <c r="N130" s="240"/>
      <c r="O130" s="240"/>
      <c r="P130" s="240"/>
      <c r="Q130" s="240"/>
      <c r="R130" s="240"/>
      <c r="S130" s="240"/>
      <c r="T130" s="240"/>
      <c r="U130" s="240"/>
      <c r="V130" s="240"/>
      <c r="W130" s="240"/>
      <c r="X130" s="240"/>
      <c r="Y130" s="240"/>
      <c r="Z130" s="240"/>
      <c r="AA130" s="240"/>
      <c r="AB130" s="240"/>
      <c r="AD130" s="240"/>
      <c r="AE130" s="240"/>
      <c r="AF130" s="240"/>
      <c r="AG130" s="240"/>
      <c r="AH130" s="240"/>
      <c r="AI130" s="240"/>
      <c r="AJ130" s="240"/>
      <c r="AK130" s="240"/>
      <c r="AL130" s="240"/>
      <c r="AM130" s="240"/>
    </row>
    <row r="131" spans="1:39" ht="27" customHeight="1" x14ac:dyDescent="0.35">
      <c r="A131" s="240"/>
      <c r="B131" s="240"/>
      <c r="C131" s="240"/>
      <c r="D131" s="240"/>
      <c r="E131" s="240"/>
      <c r="F131" s="240"/>
      <c r="G131" s="240"/>
      <c r="H131" s="240"/>
      <c r="I131" s="240"/>
      <c r="J131" s="240"/>
      <c r="K131" s="240"/>
      <c r="L131" s="240"/>
      <c r="M131" s="240"/>
      <c r="N131" s="240"/>
      <c r="O131" s="240"/>
      <c r="P131" s="240"/>
      <c r="Q131" s="240"/>
      <c r="R131" s="240"/>
      <c r="S131" s="240"/>
      <c r="T131" s="240"/>
      <c r="U131" s="240"/>
      <c r="V131" s="240"/>
      <c r="W131" s="240"/>
      <c r="X131" s="240"/>
      <c r="Y131" s="240"/>
      <c r="Z131" s="240"/>
      <c r="AA131" s="240"/>
      <c r="AB131" s="240"/>
      <c r="AD131" s="240"/>
      <c r="AE131" s="240"/>
      <c r="AF131" s="240"/>
      <c r="AG131" s="240"/>
      <c r="AH131" s="240"/>
      <c r="AI131" s="240"/>
      <c r="AJ131" s="240"/>
      <c r="AK131" s="240"/>
      <c r="AL131" s="240"/>
      <c r="AM131" s="240"/>
    </row>
    <row r="132" spans="1:39" ht="27" customHeight="1" x14ac:dyDescent="0.35">
      <c r="A132" s="240"/>
      <c r="B132" s="240"/>
      <c r="C132" s="240"/>
      <c r="D132" s="240"/>
      <c r="E132" s="240"/>
      <c r="F132" s="240"/>
      <c r="G132" s="240"/>
      <c r="H132" s="240"/>
      <c r="I132" s="240"/>
      <c r="J132" s="240"/>
      <c r="K132" s="240"/>
      <c r="L132" s="240"/>
      <c r="M132" s="240"/>
      <c r="N132" s="240"/>
      <c r="O132" s="240"/>
      <c r="P132" s="240"/>
      <c r="Q132" s="240"/>
      <c r="R132" s="240"/>
      <c r="S132" s="240"/>
      <c r="T132" s="240"/>
      <c r="U132" s="240"/>
      <c r="V132" s="240"/>
      <c r="W132" s="240"/>
      <c r="X132" s="240"/>
      <c r="Y132" s="240"/>
      <c r="Z132" s="240"/>
      <c r="AA132" s="240"/>
      <c r="AB132" s="240"/>
      <c r="AD132" s="240"/>
      <c r="AE132" s="240"/>
      <c r="AF132" s="240"/>
      <c r="AG132" s="240"/>
      <c r="AH132" s="240"/>
      <c r="AI132" s="240"/>
      <c r="AJ132" s="240"/>
      <c r="AK132" s="240"/>
      <c r="AL132" s="240"/>
      <c r="AM132" s="240"/>
    </row>
    <row r="133" spans="1:39" ht="27" customHeight="1" x14ac:dyDescent="0.35">
      <c r="A133" s="240"/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40"/>
      <c r="S133" s="240"/>
      <c r="T133" s="240"/>
      <c r="U133" s="240"/>
      <c r="V133" s="240"/>
      <c r="W133" s="240"/>
      <c r="X133" s="240"/>
      <c r="Y133" s="240"/>
      <c r="Z133" s="240"/>
      <c r="AA133" s="240"/>
      <c r="AB133" s="240"/>
      <c r="AD133" s="240"/>
      <c r="AE133" s="240"/>
      <c r="AF133" s="240"/>
      <c r="AG133" s="240"/>
      <c r="AH133" s="240"/>
      <c r="AI133" s="240"/>
      <c r="AJ133" s="240"/>
      <c r="AK133" s="240"/>
      <c r="AL133" s="240"/>
      <c r="AM133" s="240"/>
    </row>
    <row r="134" spans="1:39" ht="27" customHeight="1" x14ac:dyDescent="0.35">
      <c r="A134" s="240"/>
      <c r="B134" s="240"/>
      <c r="C134" s="240"/>
      <c r="D134" s="240"/>
      <c r="E134" s="240"/>
      <c r="F134" s="240"/>
      <c r="G134" s="240"/>
      <c r="H134" s="240"/>
      <c r="I134" s="240"/>
      <c r="J134" s="240"/>
      <c r="K134" s="354"/>
      <c r="L134" s="354"/>
      <c r="M134" s="354"/>
      <c r="N134" s="354"/>
      <c r="O134" s="354"/>
      <c r="P134" s="354"/>
      <c r="Q134" s="240"/>
      <c r="R134" s="240"/>
      <c r="S134" s="240"/>
      <c r="T134" s="240"/>
      <c r="U134" s="240"/>
      <c r="V134" s="240"/>
      <c r="W134" s="240"/>
      <c r="X134" s="240"/>
      <c r="Y134" s="240"/>
      <c r="Z134" s="240"/>
      <c r="AA134" s="240"/>
      <c r="AB134" s="240"/>
      <c r="AD134" s="240"/>
      <c r="AE134" s="240"/>
      <c r="AF134" s="240"/>
      <c r="AG134" s="240"/>
      <c r="AH134" s="240"/>
      <c r="AI134" s="240"/>
      <c r="AJ134" s="240"/>
      <c r="AK134" s="240"/>
      <c r="AL134" s="240"/>
      <c r="AM134" s="240"/>
    </row>
    <row r="135" spans="1:39" ht="27" customHeight="1" x14ac:dyDescent="0.35">
      <c r="A135" s="240"/>
      <c r="B135" s="240"/>
      <c r="C135" s="240"/>
      <c r="D135" s="240"/>
      <c r="E135" s="240"/>
      <c r="F135" s="240"/>
      <c r="G135" s="240"/>
      <c r="H135" s="240"/>
      <c r="I135" s="240"/>
      <c r="J135" s="240"/>
      <c r="K135" s="354"/>
      <c r="L135" s="354"/>
      <c r="M135" s="354"/>
      <c r="N135" s="354"/>
      <c r="O135" s="354"/>
      <c r="P135" s="354"/>
      <c r="Q135" s="240"/>
      <c r="R135" s="240"/>
      <c r="S135" s="240"/>
      <c r="T135" s="240"/>
      <c r="U135" s="240"/>
      <c r="V135" s="240"/>
      <c r="W135" s="240"/>
      <c r="X135" s="240"/>
      <c r="Y135" s="240"/>
      <c r="Z135" s="240"/>
      <c r="AA135" s="240"/>
      <c r="AB135" s="240"/>
      <c r="AD135" s="240"/>
      <c r="AE135" s="240"/>
      <c r="AF135" s="240"/>
      <c r="AG135" s="240"/>
      <c r="AH135" s="240"/>
      <c r="AI135" s="240"/>
      <c r="AJ135" s="240"/>
      <c r="AK135" s="240"/>
      <c r="AL135" s="240"/>
      <c r="AM135" s="240"/>
    </row>
    <row r="136" spans="1:39" ht="27" customHeight="1" x14ac:dyDescent="0.35">
      <c r="A136" s="240"/>
      <c r="B136" s="240"/>
      <c r="C136" s="240"/>
      <c r="D136" s="240"/>
      <c r="E136" s="240"/>
      <c r="F136" s="240"/>
      <c r="G136" s="240"/>
      <c r="H136" s="240"/>
      <c r="I136" s="240"/>
      <c r="J136" s="240"/>
      <c r="K136" s="354"/>
      <c r="L136" s="354"/>
      <c r="M136" s="354"/>
      <c r="N136" s="354"/>
      <c r="O136" s="354"/>
      <c r="P136" s="354"/>
      <c r="Q136" s="240"/>
      <c r="R136" s="240"/>
      <c r="S136" s="240"/>
      <c r="T136" s="240"/>
      <c r="U136" s="240"/>
      <c r="V136" s="240"/>
      <c r="W136" s="240"/>
      <c r="X136" s="240"/>
      <c r="Y136" s="240"/>
      <c r="Z136" s="240"/>
      <c r="AA136" s="240"/>
      <c r="AB136" s="240"/>
      <c r="AD136" s="240"/>
      <c r="AE136" s="240"/>
      <c r="AF136" s="240"/>
      <c r="AG136" s="240"/>
      <c r="AH136" s="240"/>
      <c r="AI136" s="240"/>
      <c r="AJ136" s="240"/>
      <c r="AK136" s="240"/>
      <c r="AL136" s="240"/>
      <c r="AM136" s="240"/>
    </row>
    <row r="137" spans="1:39" ht="27" customHeight="1" x14ac:dyDescent="0.35">
      <c r="A137" s="240"/>
      <c r="B137" s="240"/>
      <c r="C137" s="240"/>
      <c r="D137" s="240"/>
      <c r="E137" s="240"/>
      <c r="F137" s="240"/>
      <c r="G137" s="240"/>
      <c r="H137" s="240"/>
      <c r="I137" s="240"/>
      <c r="J137" s="240"/>
      <c r="K137" s="354"/>
      <c r="L137" s="354"/>
      <c r="M137" s="354"/>
      <c r="N137" s="354"/>
      <c r="O137" s="354"/>
      <c r="P137" s="354"/>
      <c r="Q137" s="240"/>
      <c r="R137" s="240"/>
      <c r="S137" s="240"/>
      <c r="T137" s="240"/>
      <c r="U137" s="240"/>
      <c r="V137" s="240"/>
      <c r="W137" s="240"/>
      <c r="X137" s="240"/>
      <c r="Y137" s="240"/>
      <c r="Z137" s="240"/>
      <c r="AA137" s="240"/>
      <c r="AB137" s="240"/>
      <c r="AD137" s="240"/>
      <c r="AE137" s="240"/>
      <c r="AF137" s="240"/>
      <c r="AG137" s="240"/>
      <c r="AH137" s="240"/>
      <c r="AI137" s="240"/>
      <c r="AJ137" s="240"/>
      <c r="AK137" s="240"/>
      <c r="AL137" s="240"/>
      <c r="AM137" s="240"/>
    </row>
    <row r="138" spans="1:39" ht="27" customHeight="1" x14ac:dyDescent="0.35">
      <c r="A138" s="240"/>
      <c r="B138" s="240"/>
      <c r="C138" s="240"/>
      <c r="D138" s="240"/>
      <c r="E138" s="240"/>
      <c r="F138" s="240"/>
      <c r="G138" s="240"/>
      <c r="H138" s="240"/>
      <c r="I138" s="240"/>
      <c r="J138" s="240"/>
      <c r="K138" s="354"/>
      <c r="L138" s="354"/>
      <c r="M138" s="354"/>
      <c r="N138" s="354"/>
      <c r="O138" s="354"/>
      <c r="P138" s="354"/>
      <c r="Q138" s="240"/>
      <c r="R138" s="240"/>
      <c r="S138" s="240"/>
      <c r="T138" s="240"/>
      <c r="U138" s="240"/>
      <c r="V138" s="240"/>
      <c r="W138" s="240"/>
      <c r="X138" s="240"/>
      <c r="Y138" s="240"/>
      <c r="Z138" s="240"/>
      <c r="AA138" s="240"/>
      <c r="AB138" s="240"/>
      <c r="AD138" s="240"/>
      <c r="AE138" s="240"/>
      <c r="AF138" s="240"/>
      <c r="AG138" s="240"/>
      <c r="AH138" s="240"/>
      <c r="AI138" s="240"/>
      <c r="AJ138" s="240"/>
      <c r="AK138" s="240"/>
      <c r="AL138" s="240"/>
      <c r="AM138" s="240"/>
    </row>
    <row r="139" spans="1:39" ht="27" customHeight="1" x14ac:dyDescent="0.35">
      <c r="A139" s="240"/>
      <c r="B139" s="240"/>
      <c r="C139" s="240"/>
      <c r="D139" s="240"/>
      <c r="E139" s="240"/>
      <c r="F139" s="240"/>
      <c r="G139" s="240"/>
      <c r="H139" s="240"/>
      <c r="I139" s="240"/>
      <c r="J139" s="240"/>
      <c r="K139" s="354"/>
      <c r="L139" s="354"/>
      <c r="M139" s="354"/>
      <c r="N139" s="354"/>
      <c r="O139" s="354"/>
      <c r="P139" s="354"/>
      <c r="Q139" s="240"/>
      <c r="R139" s="240"/>
      <c r="S139" s="240"/>
      <c r="T139" s="240"/>
      <c r="U139" s="240"/>
      <c r="V139" s="240"/>
      <c r="W139" s="240"/>
      <c r="X139" s="240"/>
      <c r="Y139" s="240"/>
      <c r="Z139" s="240"/>
      <c r="AA139" s="240"/>
      <c r="AB139" s="240"/>
      <c r="AD139" s="240"/>
      <c r="AE139" s="240"/>
      <c r="AF139" s="240"/>
      <c r="AG139" s="240"/>
      <c r="AH139" s="240"/>
      <c r="AI139" s="240"/>
      <c r="AJ139" s="240"/>
      <c r="AK139" s="240"/>
      <c r="AL139" s="240"/>
      <c r="AM139" s="240"/>
    </row>
    <row r="140" spans="1:39" ht="27" customHeight="1" x14ac:dyDescent="0.35">
      <c r="A140" s="240"/>
      <c r="B140" s="240"/>
      <c r="C140" s="240"/>
      <c r="D140" s="240"/>
      <c r="E140" s="240"/>
      <c r="F140" s="240"/>
      <c r="G140" s="240"/>
      <c r="H140" s="240"/>
      <c r="I140" s="240"/>
      <c r="J140" s="240"/>
      <c r="K140" s="354"/>
      <c r="L140" s="354"/>
      <c r="M140" s="354"/>
      <c r="N140" s="354"/>
      <c r="O140" s="354"/>
      <c r="P140" s="354"/>
      <c r="Q140" s="240"/>
      <c r="R140" s="240"/>
      <c r="S140" s="240"/>
      <c r="T140" s="240"/>
      <c r="U140" s="240"/>
      <c r="V140" s="240"/>
      <c r="W140" s="240"/>
      <c r="X140" s="240"/>
      <c r="Y140" s="240"/>
      <c r="Z140" s="240"/>
      <c r="AA140" s="240"/>
      <c r="AB140" s="240"/>
      <c r="AD140" s="240"/>
      <c r="AE140" s="240"/>
      <c r="AF140" s="240"/>
      <c r="AG140" s="240"/>
      <c r="AH140" s="240"/>
      <c r="AI140" s="240"/>
      <c r="AJ140" s="240"/>
      <c r="AK140" s="240"/>
      <c r="AL140" s="240"/>
      <c r="AM140" s="240"/>
    </row>
    <row r="141" spans="1:39" ht="27" customHeight="1" x14ac:dyDescent="0.35">
      <c r="A141" s="240"/>
      <c r="B141" s="240"/>
      <c r="C141" s="240"/>
      <c r="D141" s="240"/>
      <c r="E141" s="240"/>
      <c r="F141" s="240"/>
      <c r="G141" s="240"/>
      <c r="H141" s="240"/>
      <c r="I141" s="240"/>
      <c r="J141" s="240"/>
      <c r="K141" s="354"/>
      <c r="L141" s="354"/>
      <c r="M141" s="354"/>
      <c r="N141" s="354"/>
      <c r="O141" s="354"/>
      <c r="P141" s="354"/>
      <c r="Q141" s="240"/>
      <c r="R141" s="240"/>
      <c r="S141" s="240"/>
      <c r="T141" s="240"/>
      <c r="U141" s="240"/>
      <c r="V141" s="240"/>
      <c r="W141" s="240"/>
      <c r="X141" s="240"/>
      <c r="Y141" s="240"/>
      <c r="Z141" s="240"/>
      <c r="AA141" s="240"/>
      <c r="AB141" s="240"/>
      <c r="AD141" s="240"/>
      <c r="AE141" s="240"/>
      <c r="AF141" s="240"/>
      <c r="AG141" s="240"/>
      <c r="AH141" s="240"/>
      <c r="AI141" s="240"/>
      <c r="AJ141" s="240"/>
      <c r="AK141" s="240"/>
      <c r="AL141" s="240"/>
      <c r="AM141" s="240"/>
    </row>
    <row r="142" spans="1:39" ht="27" customHeight="1" x14ac:dyDescent="0.35">
      <c r="A142" s="240"/>
      <c r="B142" s="240"/>
      <c r="C142" s="240"/>
      <c r="D142" s="240"/>
      <c r="E142" s="240"/>
      <c r="F142" s="240"/>
      <c r="G142" s="240"/>
      <c r="H142" s="240"/>
      <c r="I142" s="240"/>
      <c r="J142" s="240"/>
      <c r="K142" s="354"/>
      <c r="L142" s="354"/>
      <c r="M142" s="354"/>
      <c r="N142" s="354"/>
      <c r="O142" s="354"/>
      <c r="P142" s="354"/>
      <c r="Q142" s="240"/>
      <c r="R142" s="240"/>
      <c r="S142" s="240"/>
      <c r="T142" s="240"/>
      <c r="U142" s="240"/>
      <c r="V142" s="240"/>
      <c r="W142" s="240"/>
      <c r="X142" s="240"/>
      <c r="Y142" s="240"/>
      <c r="Z142" s="240"/>
      <c r="AA142" s="240"/>
      <c r="AB142" s="240"/>
      <c r="AD142" s="240"/>
      <c r="AE142" s="240"/>
      <c r="AF142" s="240"/>
      <c r="AG142" s="240"/>
      <c r="AH142" s="240"/>
      <c r="AI142" s="240"/>
      <c r="AJ142" s="240"/>
      <c r="AK142" s="240"/>
      <c r="AL142" s="240"/>
      <c r="AM142" s="240"/>
    </row>
    <row r="143" spans="1:39" ht="27" customHeight="1" x14ac:dyDescent="0.35">
      <c r="A143" s="240"/>
      <c r="B143" s="240"/>
      <c r="C143" s="240"/>
      <c r="D143" s="240"/>
      <c r="E143" s="240"/>
      <c r="F143" s="240"/>
      <c r="G143" s="240"/>
      <c r="H143" s="240"/>
      <c r="I143" s="240"/>
      <c r="J143" s="240"/>
      <c r="K143" s="349"/>
      <c r="L143" s="349"/>
      <c r="M143" s="349"/>
      <c r="N143" s="349"/>
      <c r="O143" s="349"/>
      <c r="P143" s="349"/>
      <c r="Q143" s="240"/>
      <c r="R143" s="240"/>
      <c r="S143" s="240"/>
      <c r="T143" s="240"/>
      <c r="U143" s="240"/>
      <c r="V143" s="240"/>
      <c r="W143" s="240"/>
      <c r="X143" s="240"/>
      <c r="Y143" s="240"/>
      <c r="Z143" s="240"/>
      <c r="AA143" s="240"/>
      <c r="AB143" s="240"/>
      <c r="AD143" s="240"/>
      <c r="AE143" s="240"/>
      <c r="AF143" s="240"/>
      <c r="AG143" s="240"/>
      <c r="AH143" s="240"/>
      <c r="AI143" s="240"/>
      <c r="AJ143" s="240"/>
      <c r="AK143" s="240"/>
      <c r="AL143" s="240"/>
      <c r="AM143" s="240"/>
    </row>
    <row r="144" spans="1:39" ht="27" customHeight="1" x14ac:dyDescent="0.35">
      <c r="A144" s="240"/>
      <c r="B144" s="240"/>
      <c r="C144" s="240"/>
      <c r="D144" s="240"/>
      <c r="E144" s="240"/>
      <c r="F144" s="240"/>
      <c r="G144" s="240"/>
      <c r="H144" s="240"/>
      <c r="I144" s="240"/>
      <c r="J144" s="240"/>
      <c r="K144" s="349"/>
      <c r="L144" s="349"/>
      <c r="M144" s="349"/>
      <c r="N144" s="349"/>
      <c r="O144" s="349"/>
      <c r="P144" s="349"/>
      <c r="Q144" s="240"/>
      <c r="R144" s="240"/>
      <c r="S144" s="240"/>
      <c r="T144" s="240"/>
      <c r="U144" s="240"/>
      <c r="V144" s="240"/>
      <c r="W144" s="240"/>
      <c r="X144" s="240"/>
      <c r="Y144" s="240"/>
      <c r="Z144" s="240"/>
      <c r="AA144" s="240"/>
      <c r="AB144" s="240"/>
      <c r="AD144" s="240"/>
      <c r="AE144" s="240"/>
      <c r="AF144" s="240"/>
      <c r="AG144" s="240"/>
      <c r="AH144" s="240"/>
      <c r="AI144" s="240"/>
      <c r="AJ144" s="240"/>
      <c r="AK144" s="240"/>
      <c r="AL144" s="240"/>
      <c r="AM144" s="240"/>
    </row>
    <row r="145" spans="1:39" ht="27" customHeight="1" x14ac:dyDescent="0.35">
      <c r="A145" s="240"/>
      <c r="B145" s="240"/>
      <c r="C145" s="240"/>
      <c r="D145" s="240"/>
      <c r="E145" s="240"/>
      <c r="F145" s="240"/>
      <c r="G145" s="240"/>
      <c r="H145" s="240"/>
      <c r="I145" s="240"/>
      <c r="J145" s="240"/>
      <c r="K145" s="240"/>
      <c r="L145" s="356"/>
      <c r="M145" s="356"/>
      <c r="N145" s="356"/>
      <c r="O145" s="356"/>
      <c r="P145" s="356"/>
      <c r="Q145" s="240"/>
      <c r="R145" s="240"/>
      <c r="S145" s="240"/>
      <c r="T145" s="240"/>
      <c r="U145" s="240"/>
      <c r="V145" s="240"/>
      <c r="W145" s="240"/>
      <c r="X145" s="240"/>
      <c r="Y145" s="240"/>
      <c r="Z145" s="240"/>
      <c r="AA145" s="240"/>
      <c r="AB145" s="240"/>
      <c r="AD145" s="240"/>
      <c r="AE145" s="240"/>
      <c r="AF145" s="240"/>
      <c r="AG145" s="240"/>
      <c r="AH145" s="240"/>
      <c r="AI145" s="240"/>
      <c r="AJ145" s="240"/>
      <c r="AK145" s="240"/>
      <c r="AL145" s="240"/>
      <c r="AM145" s="240"/>
    </row>
    <row r="146" spans="1:39" ht="27" customHeight="1" x14ac:dyDescent="0.35">
      <c r="A146" s="240"/>
      <c r="B146" s="240"/>
      <c r="C146" s="240"/>
      <c r="D146" s="240"/>
      <c r="E146" s="240"/>
      <c r="F146" s="240"/>
      <c r="G146" s="240"/>
      <c r="H146" s="240"/>
      <c r="I146" s="240"/>
      <c r="J146" s="240"/>
      <c r="K146" s="240"/>
      <c r="L146" s="240"/>
      <c r="M146" s="240"/>
      <c r="N146" s="240"/>
      <c r="O146" s="240"/>
      <c r="P146" s="240"/>
      <c r="Q146" s="240"/>
      <c r="R146" s="240"/>
      <c r="S146" s="240"/>
      <c r="T146" s="240"/>
      <c r="U146" s="240"/>
      <c r="V146" s="240"/>
      <c r="W146" s="240"/>
      <c r="X146" s="240"/>
      <c r="Y146" s="240"/>
      <c r="Z146" s="240"/>
      <c r="AA146" s="240"/>
      <c r="AB146" s="240"/>
      <c r="AD146" s="240"/>
      <c r="AE146" s="240"/>
      <c r="AF146" s="240"/>
      <c r="AG146" s="240"/>
      <c r="AH146" s="240"/>
      <c r="AI146" s="240"/>
      <c r="AJ146" s="240"/>
      <c r="AK146" s="240"/>
      <c r="AL146" s="240"/>
      <c r="AM146" s="240"/>
    </row>
    <row r="147" spans="1:39" ht="27" customHeight="1" x14ac:dyDescent="0.35">
      <c r="A147" s="240"/>
      <c r="B147" s="240"/>
      <c r="C147" s="240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0"/>
      <c r="Q147" s="240"/>
      <c r="R147" s="240"/>
      <c r="S147" s="240"/>
      <c r="T147" s="240"/>
      <c r="U147" s="240"/>
      <c r="V147" s="240"/>
      <c r="W147" s="240"/>
      <c r="X147" s="240"/>
      <c r="Y147" s="240"/>
      <c r="Z147" s="240"/>
      <c r="AA147" s="240"/>
      <c r="AB147" s="240"/>
      <c r="AD147" s="240"/>
      <c r="AE147" s="240"/>
      <c r="AF147" s="240"/>
      <c r="AG147" s="240"/>
      <c r="AH147" s="240"/>
      <c r="AI147" s="240"/>
      <c r="AJ147" s="240"/>
      <c r="AK147" s="240"/>
      <c r="AL147" s="240"/>
      <c r="AM147" s="240"/>
    </row>
    <row r="148" spans="1:39" ht="27" customHeight="1" x14ac:dyDescent="0.35">
      <c r="A148" s="240"/>
      <c r="B148" s="240"/>
      <c r="C148" s="240"/>
      <c r="D148" s="240"/>
      <c r="E148" s="240"/>
      <c r="F148" s="240"/>
      <c r="G148" s="240"/>
      <c r="H148" s="240"/>
      <c r="I148" s="240"/>
      <c r="J148" s="240"/>
      <c r="K148" s="349"/>
      <c r="L148" s="349"/>
      <c r="M148" s="349"/>
      <c r="N148" s="349"/>
      <c r="O148" s="349"/>
      <c r="P148" s="349"/>
      <c r="Q148" s="240"/>
      <c r="R148" s="240"/>
      <c r="S148" s="240"/>
      <c r="T148" s="240"/>
      <c r="U148" s="240"/>
      <c r="V148" s="240"/>
      <c r="W148" s="240"/>
      <c r="X148" s="240"/>
      <c r="Y148" s="240"/>
      <c r="Z148" s="240"/>
      <c r="AA148" s="240"/>
      <c r="AB148" s="240"/>
      <c r="AD148" s="240"/>
      <c r="AE148" s="240"/>
      <c r="AF148" s="240"/>
      <c r="AG148" s="240"/>
      <c r="AH148" s="240"/>
      <c r="AI148" s="240"/>
      <c r="AJ148" s="240"/>
      <c r="AK148" s="240"/>
      <c r="AL148" s="240"/>
      <c r="AM148" s="240"/>
    </row>
    <row r="149" spans="1:39" ht="27" customHeight="1" x14ac:dyDescent="0.35">
      <c r="A149" s="240"/>
      <c r="B149" s="240"/>
      <c r="C149" s="240"/>
      <c r="D149" s="240"/>
      <c r="E149" s="240"/>
      <c r="F149" s="240"/>
      <c r="G149" s="240"/>
      <c r="H149" s="240"/>
      <c r="I149" s="240"/>
      <c r="J149" s="240"/>
      <c r="K149" s="349"/>
      <c r="L149" s="349"/>
      <c r="M149" s="349"/>
      <c r="N149" s="349"/>
      <c r="O149" s="349"/>
      <c r="P149" s="349"/>
      <c r="Q149" s="240"/>
      <c r="R149" s="240"/>
      <c r="S149" s="240"/>
      <c r="T149" s="240"/>
      <c r="U149" s="240"/>
      <c r="V149" s="240"/>
      <c r="W149" s="240"/>
      <c r="X149" s="240"/>
      <c r="Y149" s="240"/>
      <c r="Z149" s="240"/>
      <c r="AA149" s="240"/>
      <c r="AB149" s="240"/>
      <c r="AD149" s="240"/>
      <c r="AE149" s="240"/>
      <c r="AF149" s="240"/>
      <c r="AG149" s="240"/>
      <c r="AH149" s="240"/>
      <c r="AI149" s="240"/>
      <c r="AJ149" s="240"/>
      <c r="AK149" s="240"/>
      <c r="AL149" s="240"/>
      <c r="AM149" s="240"/>
    </row>
    <row r="150" spans="1:39" ht="27" customHeight="1" x14ac:dyDescent="0.35">
      <c r="A150" s="240"/>
      <c r="B150" s="240"/>
      <c r="C150" s="240"/>
      <c r="D150" s="240"/>
      <c r="E150" s="240"/>
      <c r="F150" s="240"/>
      <c r="G150" s="240"/>
      <c r="H150" s="240"/>
      <c r="I150" s="240"/>
      <c r="J150" s="240"/>
      <c r="K150" s="349"/>
      <c r="L150" s="349"/>
      <c r="M150" s="349"/>
      <c r="N150" s="349"/>
      <c r="O150" s="349"/>
      <c r="P150" s="349"/>
      <c r="Q150" s="240"/>
      <c r="R150" s="240"/>
      <c r="S150" s="240"/>
      <c r="T150" s="240"/>
      <c r="U150" s="240"/>
      <c r="V150" s="240"/>
      <c r="W150" s="240"/>
      <c r="X150" s="240"/>
      <c r="Y150" s="240"/>
      <c r="Z150" s="240"/>
      <c r="AA150" s="240"/>
      <c r="AB150" s="240"/>
      <c r="AD150" s="240"/>
      <c r="AE150" s="240"/>
      <c r="AF150" s="240"/>
      <c r="AG150" s="240"/>
      <c r="AH150" s="240"/>
      <c r="AI150" s="240"/>
      <c r="AJ150" s="240"/>
      <c r="AK150" s="240"/>
      <c r="AL150" s="240"/>
      <c r="AM150" s="240"/>
    </row>
    <row r="151" spans="1:39" ht="27" customHeight="1" x14ac:dyDescent="0.35">
      <c r="A151" s="240"/>
      <c r="B151" s="240"/>
      <c r="C151" s="240"/>
      <c r="D151" s="240"/>
      <c r="E151" s="240"/>
      <c r="F151" s="240"/>
      <c r="G151" s="240"/>
      <c r="H151" s="240"/>
      <c r="I151" s="240"/>
      <c r="J151" s="240"/>
      <c r="K151" s="349"/>
      <c r="L151" s="349"/>
      <c r="M151" s="349"/>
      <c r="N151" s="349"/>
      <c r="O151" s="349"/>
      <c r="P151" s="349"/>
      <c r="Q151" s="240"/>
      <c r="R151" s="240"/>
      <c r="S151" s="240"/>
      <c r="T151" s="240"/>
      <c r="U151" s="240"/>
      <c r="V151" s="240"/>
      <c r="W151" s="240"/>
      <c r="X151" s="240"/>
      <c r="Y151" s="240"/>
      <c r="Z151" s="240"/>
      <c r="AA151" s="240"/>
      <c r="AB151" s="240"/>
      <c r="AD151" s="240"/>
      <c r="AE151" s="240"/>
      <c r="AF151" s="240"/>
      <c r="AG151" s="240"/>
      <c r="AH151" s="240"/>
      <c r="AI151" s="240"/>
      <c r="AJ151" s="240"/>
      <c r="AK151" s="240"/>
      <c r="AL151" s="240"/>
      <c r="AM151" s="240"/>
    </row>
    <row r="152" spans="1:39" ht="27" customHeight="1" x14ac:dyDescent="0.35">
      <c r="A152" s="240"/>
      <c r="B152" s="240"/>
      <c r="C152" s="240"/>
      <c r="D152" s="240"/>
      <c r="E152" s="240"/>
      <c r="F152" s="240"/>
      <c r="G152" s="240"/>
      <c r="H152" s="240"/>
      <c r="I152" s="240"/>
      <c r="J152" s="240"/>
      <c r="K152" s="349"/>
      <c r="L152" s="349"/>
      <c r="M152" s="349"/>
      <c r="N152" s="349"/>
      <c r="O152" s="349"/>
      <c r="P152" s="349"/>
      <c r="Q152" s="240"/>
      <c r="R152" s="240"/>
      <c r="S152" s="240"/>
      <c r="T152" s="240"/>
      <c r="U152" s="240"/>
      <c r="V152" s="240"/>
      <c r="W152" s="240"/>
      <c r="X152" s="240"/>
      <c r="Y152" s="240"/>
      <c r="Z152" s="240"/>
      <c r="AA152" s="240"/>
      <c r="AB152" s="240"/>
      <c r="AD152" s="240"/>
      <c r="AE152" s="240"/>
      <c r="AF152" s="240"/>
      <c r="AG152" s="240"/>
      <c r="AH152" s="240"/>
      <c r="AI152" s="240"/>
      <c r="AJ152" s="240"/>
      <c r="AK152" s="240"/>
      <c r="AL152" s="240"/>
      <c r="AM152" s="240"/>
    </row>
    <row r="153" spans="1:39" ht="27" customHeight="1" x14ac:dyDescent="0.35">
      <c r="A153" s="240"/>
      <c r="B153" s="240"/>
      <c r="C153" s="240"/>
      <c r="D153" s="240"/>
      <c r="E153" s="240"/>
      <c r="F153" s="240"/>
      <c r="G153" s="240"/>
      <c r="H153" s="240"/>
      <c r="I153" s="240"/>
      <c r="J153" s="240"/>
      <c r="K153" s="349"/>
      <c r="L153" s="349"/>
      <c r="M153" s="349"/>
      <c r="N153" s="349"/>
      <c r="O153" s="349"/>
      <c r="P153" s="349"/>
      <c r="Q153" s="240"/>
      <c r="R153" s="240"/>
      <c r="S153" s="240"/>
      <c r="T153" s="240"/>
      <c r="U153" s="240"/>
      <c r="V153" s="240"/>
      <c r="W153" s="240"/>
      <c r="X153" s="240"/>
      <c r="Y153" s="240"/>
      <c r="Z153" s="240"/>
      <c r="AA153" s="240"/>
      <c r="AB153" s="240"/>
      <c r="AD153" s="240"/>
      <c r="AE153" s="240"/>
      <c r="AF153" s="240"/>
      <c r="AG153" s="240"/>
      <c r="AH153" s="240"/>
      <c r="AI153" s="240"/>
      <c r="AJ153" s="240"/>
      <c r="AK153" s="240"/>
      <c r="AL153" s="240"/>
      <c r="AM153" s="240"/>
    </row>
    <row r="154" spans="1:39" ht="27" customHeight="1" x14ac:dyDescent="0.35">
      <c r="A154" s="240"/>
      <c r="B154" s="240"/>
      <c r="C154" s="240"/>
      <c r="D154" s="240"/>
      <c r="E154" s="240"/>
      <c r="F154" s="240"/>
      <c r="G154" s="240"/>
      <c r="H154" s="240"/>
      <c r="I154" s="240"/>
      <c r="J154" s="240"/>
      <c r="K154" s="349"/>
      <c r="L154" s="349"/>
      <c r="M154" s="349"/>
      <c r="N154" s="349"/>
      <c r="O154" s="349"/>
      <c r="P154" s="349"/>
      <c r="Q154" s="240"/>
      <c r="R154" s="240"/>
      <c r="S154" s="240"/>
      <c r="T154" s="240"/>
      <c r="U154" s="240"/>
      <c r="V154" s="240"/>
      <c r="W154" s="240"/>
      <c r="X154" s="240"/>
      <c r="Y154" s="240"/>
      <c r="Z154" s="240"/>
      <c r="AA154" s="240"/>
      <c r="AB154" s="240"/>
      <c r="AD154" s="240"/>
      <c r="AE154" s="240"/>
      <c r="AF154" s="240"/>
      <c r="AG154" s="240"/>
      <c r="AH154" s="240"/>
      <c r="AI154" s="240"/>
      <c r="AJ154" s="240"/>
      <c r="AK154" s="240"/>
      <c r="AL154" s="240"/>
      <c r="AM154" s="240"/>
    </row>
    <row r="155" spans="1:39" ht="27" customHeight="1" x14ac:dyDescent="0.35">
      <c r="A155" s="240"/>
      <c r="B155" s="240"/>
      <c r="C155" s="240"/>
      <c r="D155" s="240"/>
      <c r="E155" s="240"/>
      <c r="F155" s="240"/>
      <c r="G155" s="240"/>
      <c r="H155" s="240"/>
      <c r="I155" s="240"/>
      <c r="J155" s="240"/>
      <c r="K155" s="349"/>
      <c r="L155" s="349"/>
      <c r="M155" s="349"/>
      <c r="N155" s="349"/>
      <c r="O155" s="349"/>
      <c r="P155" s="349"/>
      <c r="Q155" s="240"/>
      <c r="R155" s="240"/>
      <c r="S155" s="240"/>
      <c r="T155" s="240"/>
      <c r="U155" s="240"/>
      <c r="V155" s="240"/>
      <c r="W155" s="240"/>
      <c r="X155" s="240"/>
      <c r="Y155" s="240"/>
      <c r="Z155" s="240"/>
      <c r="AA155" s="240"/>
      <c r="AB155" s="240"/>
      <c r="AD155" s="240"/>
      <c r="AE155" s="240"/>
      <c r="AF155" s="240"/>
      <c r="AG155" s="240"/>
      <c r="AH155" s="240"/>
      <c r="AI155" s="240"/>
      <c r="AJ155" s="240"/>
      <c r="AK155" s="240"/>
      <c r="AL155" s="240"/>
      <c r="AM155" s="240"/>
    </row>
    <row r="156" spans="1:39" ht="27" customHeight="1" x14ac:dyDescent="0.35">
      <c r="A156" s="240"/>
      <c r="B156" s="240"/>
      <c r="C156" s="240"/>
      <c r="D156" s="240"/>
      <c r="E156" s="240"/>
      <c r="F156" s="240"/>
      <c r="G156" s="240"/>
      <c r="H156" s="240"/>
      <c r="I156" s="240"/>
      <c r="J156" s="240"/>
      <c r="K156" s="349"/>
      <c r="L156" s="349"/>
      <c r="M156" s="349"/>
      <c r="N156" s="349"/>
      <c r="O156" s="349"/>
      <c r="P156" s="349"/>
      <c r="Q156" s="240"/>
      <c r="R156" s="240"/>
      <c r="S156" s="240"/>
      <c r="T156" s="240"/>
      <c r="U156" s="240"/>
      <c r="V156" s="240"/>
      <c r="W156" s="240"/>
      <c r="X156" s="240"/>
      <c r="Y156" s="240"/>
      <c r="Z156" s="240"/>
      <c r="AA156" s="240"/>
      <c r="AB156" s="240"/>
      <c r="AD156" s="240"/>
      <c r="AE156" s="240"/>
      <c r="AF156" s="240"/>
      <c r="AG156" s="240"/>
      <c r="AH156" s="240"/>
      <c r="AI156" s="240"/>
      <c r="AJ156" s="240"/>
      <c r="AK156" s="240"/>
      <c r="AL156" s="240"/>
      <c r="AM156" s="240"/>
    </row>
    <row r="157" spans="1:39" ht="27" customHeight="1" x14ac:dyDescent="0.35">
      <c r="A157" s="240"/>
      <c r="B157" s="240"/>
      <c r="C157" s="240"/>
      <c r="D157" s="240"/>
      <c r="E157" s="240"/>
      <c r="F157" s="240"/>
      <c r="G157" s="240"/>
      <c r="H157" s="240"/>
      <c r="I157" s="240"/>
      <c r="J157" s="240"/>
      <c r="K157" s="240"/>
      <c r="L157" s="356"/>
      <c r="M157" s="356"/>
      <c r="N157" s="356"/>
      <c r="O157" s="356"/>
      <c r="P157" s="356"/>
      <c r="Q157" s="240"/>
      <c r="R157" s="240"/>
      <c r="S157" s="240"/>
      <c r="T157" s="240"/>
      <c r="U157" s="240"/>
      <c r="V157" s="240"/>
      <c r="W157" s="240"/>
      <c r="X157" s="240"/>
      <c r="Y157" s="240"/>
      <c r="Z157" s="240"/>
      <c r="AA157" s="240"/>
      <c r="AB157" s="240"/>
      <c r="AD157" s="240"/>
      <c r="AE157" s="240"/>
      <c r="AF157" s="240"/>
      <c r="AG157" s="240"/>
      <c r="AH157" s="240"/>
      <c r="AI157" s="240"/>
      <c r="AJ157" s="240"/>
      <c r="AK157" s="240"/>
      <c r="AL157" s="240"/>
      <c r="AM157" s="240"/>
    </row>
    <row r="158" spans="1:39" ht="27" customHeight="1" x14ac:dyDescent="0.35">
      <c r="A158" s="240"/>
      <c r="B158" s="240"/>
      <c r="C158" s="240"/>
      <c r="D158" s="240"/>
      <c r="E158" s="240"/>
      <c r="F158" s="240"/>
      <c r="G158" s="240"/>
      <c r="H158" s="240"/>
      <c r="I158" s="240"/>
      <c r="J158" s="240"/>
      <c r="K158" s="240"/>
      <c r="L158" s="240"/>
      <c r="M158" s="240"/>
      <c r="N158" s="240"/>
      <c r="O158" s="240"/>
      <c r="P158" s="240"/>
      <c r="Q158" s="240"/>
      <c r="R158" s="240"/>
      <c r="S158" s="240"/>
      <c r="T158" s="240"/>
      <c r="U158" s="240"/>
      <c r="V158" s="240"/>
      <c r="W158" s="240"/>
      <c r="X158" s="240"/>
      <c r="Y158" s="240"/>
      <c r="Z158" s="240"/>
      <c r="AA158" s="240"/>
      <c r="AB158" s="240"/>
      <c r="AD158" s="240"/>
      <c r="AE158" s="240"/>
      <c r="AF158" s="240"/>
      <c r="AG158" s="240"/>
      <c r="AH158" s="240"/>
      <c r="AI158" s="240"/>
      <c r="AJ158" s="240"/>
      <c r="AK158" s="240"/>
      <c r="AL158" s="240"/>
      <c r="AM158" s="240"/>
    </row>
    <row r="159" spans="1:39" ht="27" customHeight="1" x14ac:dyDescent="0.35">
      <c r="A159" s="240"/>
      <c r="B159" s="240"/>
      <c r="C159" s="240"/>
      <c r="D159" s="240"/>
      <c r="E159" s="240"/>
      <c r="F159" s="240"/>
      <c r="G159" s="240"/>
      <c r="H159" s="240"/>
      <c r="I159" s="240"/>
      <c r="J159" s="240"/>
      <c r="K159" s="240"/>
      <c r="L159" s="240"/>
      <c r="M159" s="240"/>
      <c r="N159" s="240"/>
      <c r="O159" s="240"/>
      <c r="P159" s="240"/>
      <c r="Q159" s="240"/>
      <c r="R159" s="240"/>
      <c r="S159" s="240"/>
      <c r="T159" s="240"/>
      <c r="U159" s="240"/>
      <c r="V159" s="240"/>
      <c r="W159" s="240"/>
      <c r="X159" s="240"/>
      <c r="Y159" s="240"/>
      <c r="Z159" s="240"/>
      <c r="AA159" s="240"/>
      <c r="AB159" s="240"/>
      <c r="AD159" s="240"/>
      <c r="AE159" s="240"/>
      <c r="AF159" s="240"/>
      <c r="AG159" s="240"/>
      <c r="AH159" s="240"/>
      <c r="AI159" s="240"/>
      <c r="AJ159" s="240"/>
      <c r="AK159" s="240"/>
      <c r="AL159" s="240"/>
      <c r="AM159" s="240"/>
    </row>
    <row r="160" spans="1:39" ht="27" customHeight="1" x14ac:dyDescent="0.35">
      <c r="A160" s="240"/>
      <c r="B160" s="240"/>
      <c r="C160" s="240"/>
      <c r="D160" s="240"/>
      <c r="E160" s="240"/>
      <c r="F160" s="240"/>
      <c r="G160" s="240"/>
      <c r="H160" s="240"/>
      <c r="I160" s="240"/>
      <c r="J160" s="240"/>
      <c r="K160" s="357"/>
      <c r="L160" s="357"/>
      <c r="M160" s="357"/>
      <c r="N160" s="357"/>
      <c r="O160" s="357"/>
      <c r="P160" s="357"/>
      <c r="Q160" s="240"/>
      <c r="R160" s="240"/>
      <c r="S160" s="240"/>
      <c r="T160" s="240"/>
      <c r="U160" s="240"/>
      <c r="V160" s="240"/>
      <c r="W160" s="240"/>
      <c r="X160" s="240"/>
      <c r="Y160" s="240"/>
      <c r="Z160" s="240"/>
      <c r="AA160" s="240"/>
      <c r="AB160" s="240"/>
      <c r="AD160" s="240"/>
      <c r="AE160" s="240"/>
      <c r="AF160" s="240"/>
      <c r="AG160" s="240"/>
      <c r="AH160" s="240"/>
      <c r="AI160" s="240"/>
      <c r="AJ160" s="240"/>
      <c r="AK160" s="240"/>
      <c r="AL160" s="240"/>
      <c r="AM160" s="240"/>
    </row>
    <row r="161" spans="1:39" ht="27" customHeight="1" x14ac:dyDescent="0.35">
      <c r="A161" s="240"/>
      <c r="B161" s="240"/>
      <c r="C161" s="240"/>
      <c r="D161" s="240"/>
      <c r="E161" s="240"/>
      <c r="F161" s="240"/>
      <c r="G161" s="240"/>
      <c r="H161" s="240"/>
      <c r="I161" s="240"/>
      <c r="J161" s="240"/>
      <c r="K161" s="357"/>
      <c r="L161" s="357"/>
      <c r="M161" s="357"/>
      <c r="N161" s="357"/>
      <c r="O161" s="354"/>
      <c r="P161" s="354"/>
      <c r="Q161" s="240"/>
      <c r="R161" s="240"/>
      <c r="S161" s="240"/>
      <c r="T161" s="240"/>
      <c r="U161" s="240"/>
      <c r="V161" s="240"/>
      <c r="W161" s="240"/>
      <c r="X161" s="240"/>
      <c r="Y161" s="240"/>
      <c r="Z161" s="240"/>
      <c r="AA161" s="240"/>
      <c r="AB161" s="240"/>
      <c r="AD161" s="240"/>
      <c r="AE161" s="240"/>
      <c r="AF161" s="240"/>
      <c r="AG161" s="240"/>
      <c r="AH161" s="240"/>
      <c r="AI161" s="240"/>
      <c r="AJ161" s="240"/>
      <c r="AK161" s="240"/>
      <c r="AL161" s="240"/>
      <c r="AM161" s="240"/>
    </row>
    <row r="162" spans="1:39" ht="27" customHeight="1" x14ac:dyDescent="0.35">
      <c r="A162" s="240"/>
      <c r="B162" s="240"/>
      <c r="C162" s="240"/>
      <c r="D162" s="240"/>
      <c r="E162" s="240"/>
      <c r="F162" s="240"/>
      <c r="G162" s="240"/>
      <c r="H162" s="240"/>
      <c r="I162" s="240"/>
      <c r="J162" s="240"/>
      <c r="K162" s="354"/>
      <c r="L162" s="354"/>
      <c r="M162" s="354"/>
      <c r="N162" s="354"/>
      <c r="O162" s="354"/>
      <c r="P162" s="354"/>
      <c r="Q162" s="240"/>
      <c r="R162" s="240"/>
      <c r="S162" s="240"/>
      <c r="T162" s="240"/>
      <c r="U162" s="240"/>
      <c r="V162" s="240"/>
      <c r="W162" s="240"/>
      <c r="X162" s="240"/>
      <c r="Y162" s="240"/>
      <c r="Z162" s="240"/>
      <c r="AA162" s="240"/>
      <c r="AB162" s="240"/>
      <c r="AD162" s="240"/>
      <c r="AE162" s="240"/>
      <c r="AF162" s="240"/>
      <c r="AG162" s="240"/>
      <c r="AH162" s="240"/>
      <c r="AI162" s="240"/>
      <c r="AJ162" s="240"/>
      <c r="AK162" s="240"/>
      <c r="AL162" s="240"/>
      <c r="AM162" s="240"/>
    </row>
    <row r="163" spans="1:39" ht="27" customHeight="1" x14ac:dyDescent="0.35">
      <c r="A163" s="240"/>
      <c r="B163" s="240"/>
      <c r="C163" s="240"/>
      <c r="D163" s="240"/>
      <c r="E163" s="240"/>
      <c r="F163" s="240"/>
      <c r="G163" s="240"/>
      <c r="H163" s="240"/>
      <c r="I163" s="240"/>
      <c r="J163" s="240"/>
      <c r="K163" s="354"/>
      <c r="L163" s="354"/>
      <c r="M163" s="354"/>
      <c r="N163" s="354"/>
      <c r="O163" s="354"/>
      <c r="P163" s="354"/>
      <c r="Q163" s="240"/>
      <c r="R163" s="240"/>
      <c r="S163" s="240"/>
      <c r="T163" s="240"/>
      <c r="U163" s="240"/>
      <c r="V163" s="240"/>
      <c r="W163" s="240"/>
      <c r="X163" s="240"/>
      <c r="Y163" s="240"/>
      <c r="Z163" s="240"/>
      <c r="AA163" s="240"/>
      <c r="AB163" s="240"/>
      <c r="AD163" s="240"/>
      <c r="AE163" s="240"/>
      <c r="AF163" s="240"/>
      <c r="AG163" s="240"/>
      <c r="AH163" s="240"/>
      <c r="AI163" s="240"/>
      <c r="AJ163" s="240"/>
      <c r="AK163" s="240"/>
      <c r="AL163" s="240"/>
      <c r="AM163" s="240"/>
    </row>
    <row r="164" spans="1:39" ht="27" customHeight="1" x14ac:dyDescent="0.35">
      <c r="A164" s="240"/>
      <c r="B164" s="240"/>
      <c r="C164" s="240"/>
      <c r="D164" s="240"/>
      <c r="E164" s="240"/>
      <c r="F164" s="240"/>
      <c r="G164" s="240"/>
      <c r="H164" s="240"/>
      <c r="I164" s="240"/>
      <c r="J164" s="240"/>
      <c r="K164" s="354"/>
      <c r="L164" s="354"/>
      <c r="M164" s="354"/>
      <c r="N164" s="354"/>
      <c r="O164" s="354"/>
      <c r="P164" s="354"/>
      <c r="Q164" s="240"/>
      <c r="R164" s="240"/>
      <c r="S164" s="240"/>
      <c r="T164" s="240"/>
      <c r="U164" s="240"/>
      <c r="V164" s="240"/>
      <c r="W164" s="240"/>
      <c r="X164" s="240"/>
      <c r="Y164" s="240"/>
      <c r="Z164" s="240"/>
      <c r="AA164" s="240"/>
      <c r="AB164" s="240"/>
      <c r="AD164" s="240"/>
      <c r="AE164" s="240"/>
      <c r="AF164" s="240"/>
      <c r="AG164" s="240"/>
      <c r="AH164" s="240"/>
      <c r="AI164" s="240"/>
      <c r="AJ164" s="240"/>
      <c r="AK164" s="240"/>
      <c r="AL164" s="240"/>
      <c r="AM164" s="240"/>
    </row>
    <row r="165" spans="1:39" ht="27" customHeight="1" x14ac:dyDescent="0.35">
      <c r="A165" s="240"/>
      <c r="B165" s="240"/>
      <c r="C165" s="240"/>
      <c r="D165" s="240"/>
      <c r="E165" s="240"/>
      <c r="F165" s="240"/>
      <c r="G165" s="240"/>
      <c r="H165" s="240"/>
      <c r="I165" s="240"/>
      <c r="J165" s="240"/>
      <c r="K165" s="354"/>
      <c r="L165" s="354"/>
      <c r="M165" s="354"/>
      <c r="N165" s="354"/>
      <c r="O165" s="354"/>
      <c r="P165" s="354"/>
      <c r="Q165" s="240"/>
      <c r="R165" s="240"/>
      <c r="S165" s="240"/>
      <c r="T165" s="240"/>
      <c r="U165" s="240"/>
      <c r="V165" s="240"/>
      <c r="W165" s="240"/>
      <c r="X165" s="240"/>
      <c r="Y165" s="240"/>
      <c r="Z165" s="240"/>
      <c r="AA165" s="240"/>
      <c r="AB165" s="240"/>
      <c r="AD165" s="240"/>
      <c r="AE165" s="240"/>
      <c r="AF165" s="240"/>
      <c r="AG165" s="240"/>
      <c r="AH165" s="240"/>
      <c r="AI165" s="240"/>
      <c r="AJ165" s="240"/>
      <c r="AK165" s="240"/>
      <c r="AL165" s="240"/>
      <c r="AM165" s="240"/>
    </row>
    <row r="166" spans="1:39" ht="27" customHeight="1" x14ac:dyDescent="0.35">
      <c r="A166" s="240"/>
      <c r="B166" s="240"/>
      <c r="C166" s="240"/>
      <c r="D166" s="240"/>
      <c r="E166" s="240"/>
      <c r="F166" s="240"/>
      <c r="G166" s="240"/>
      <c r="H166" s="240"/>
      <c r="I166" s="240"/>
      <c r="J166" s="240"/>
      <c r="K166" s="354"/>
      <c r="L166" s="354"/>
      <c r="M166" s="354"/>
      <c r="N166" s="354"/>
      <c r="O166" s="354"/>
      <c r="P166" s="354"/>
      <c r="Q166" s="240"/>
      <c r="R166" s="240"/>
      <c r="S166" s="240"/>
      <c r="T166" s="240"/>
      <c r="U166" s="240"/>
      <c r="V166" s="240"/>
      <c r="W166" s="240"/>
      <c r="X166" s="240"/>
      <c r="Y166" s="240"/>
      <c r="Z166" s="240"/>
      <c r="AA166" s="240"/>
      <c r="AB166" s="240"/>
      <c r="AD166" s="240"/>
      <c r="AE166" s="240"/>
      <c r="AF166" s="240"/>
      <c r="AG166" s="240"/>
      <c r="AH166" s="240"/>
      <c r="AI166" s="240"/>
      <c r="AJ166" s="240"/>
      <c r="AK166" s="240"/>
      <c r="AL166" s="240"/>
      <c r="AM166" s="240"/>
    </row>
    <row r="167" spans="1:39" ht="27" customHeight="1" x14ac:dyDescent="0.35">
      <c r="A167" s="240"/>
      <c r="B167" s="240"/>
      <c r="C167" s="240"/>
      <c r="D167" s="240"/>
      <c r="E167" s="240"/>
      <c r="F167" s="240"/>
      <c r="G167" s="240"/>
      <c r="H167" s="240"/>
      <c r="I167" s="240"/>
      <c r="J167" s="240"/>
      <c r="K167" s="354"/>
      <c r="L167" s="354"/>
      <c r="M167" s="354"/>
      <c r="N167" s="354"/>
      <c r="O167" s="354"/>
      <c r="P167" s="354"/>
      <c r="Q167" s="240"/>
      <c r="R167" s="240"/>
      <c r="S167" s="240"/>
      <c r="T167" s="240"/>
      <c r="U167" s="240"/>
      <c r="V167" s="240"/>
      <c r="W167" s="240"/>
      <c r="X167" s="240"/>
      <c r="Y167" s="240"/>
      <c r="Z167" s="240"/>
      <c r="AA167" s="240"/>
      <c r="AB167" s="240"/>
      <c r="AD167" s="240"/>
      <c r="AE167" s="240"/>
      <c r="AF167" s="240"/>
      <c r="AG167" s="240"/>
      <c r="AH167" s="240"/>
      <c r="AI167" s="240"/>
      <c r="AJ167" s="240"/>
      <c r="AK167" s="240"/>
      <c r="AL167" s="240"/>
      <c r="AM167" s="240"/>
    </row>
    <row r="168" spans="1:39" ht="27" customHeight="1" x14ac:dyDescent="0.35">
      <c r="A168" s="240"/>
      <c r="B168" s="240"/>
      <c r="C168" s="240"/>
      <c r="D168" s="240"/>
      <c r="E168" s="240"/>
      <c r="F168" s="240"/>
      <c r="G168" s="240"/>
      <c r="H168" s="240"/>
      <c r="I168" s="240"/>
      <c r="J168" s="240"/>
      <c r="K168" s="354"/>
      <c r="L168" s="354"/>
      <c r="M168" s="354"/>
      <c r="N168" s="354"/>
      <c r="O168" s="354"/>
      <c r="P168" s="354"/>
      <c r="Q168" s="240"/>
      <c r="R168" s="240"/>
      <c r="S168" s="240"/>
      <c r="T168" s="240"/>
      <c r="U168" s="240"/>
      <c r="V168" s="240"/>
      <c r="W168" s="240"/>
      <c r="X168" s="240"/>
      <c r="Y168" s="240"/>
      <c r="Z168" s="240"/>
      <c r="AA168" s="240"/>
      <c r="AB168" s="240"/>
      <c r="AD168" s="240"/>
      <c r="AE168" s="240"/>
      <c r="AF168" s="240"/>
      <c r="AG168" s="240"/>
      <c r="AH168" s="240"/>
      <c r="AI168" s="240"/>
      <c r="AJ168" s="240"/>
      <c r="AK168" s="240"/>
      <c r="AL168" s="240"/>
      <c r="AM168" s="240"/>
    </row>
    <row r="169" spans="1:39" ht="27" customHeight="1" x14ac:dyDescent="0.35">
      <c r="A169" s="240"/>
      <c r="B169" s="240"/>
      <c r="C169" s="240"/>
      <c r="D169" s="240"/>
      <c r="E169" s="240"/>
      <c r="F169" s="240"/>
      <c r="G169" s="240"/>
      <c r="H169" s="240"/>
      <c r="I169" s="240"/>
      <c r="J169" s="240"/>
      <c r="K169" s="354"/>
      <c r="L169" s="354"/>
      <c r="M169" s="354"/>
      <c r="N169" s="354"/>
      <c r="O169" s="354"/>
      <c r="P169" s="354"/>
      <c r="Q169" s="240"/>
      <c r="R169" s="240"/>
      <c r="S169" s="240"/>
      <c r="T169" s="240"/>
      <c r="U169" s="240"/>
      <c r="V169" s="240"/>
      <c r="W169" s="240"/>
      <c r="X169" s="240"/>
      <c r="Y169" s="240"/>
      <c r="Z169" s="240"/>
      <c r="AA169" s="240"/>
      <c r="AB169" s="240"/>
      <c r="AD169" s="240"/>
      <c r="AE169" s="240"/>
      <c r="AF169" s="240"/>
      <c r="AG169" s="240"/>
      <c r="AH169" s="240"/>
      <c r="AI169" s="240"/>
      <c r="AJ169" s="240"/>
      <c r="AK169" s="240"/>
      <c r="AL169" s="240"/>
      <c r="AM169" s="240"/>
    </row>
    <row r="170" spans="1:39" ht="27" customHeight="1" x14ac:dyDescent="0.35">
      <c r="A170" s="240"/>
      <c r="B170" s="240"/>
      <c r="C170" s="240"/>
      <c r="D170" s="240"/>
      <c r="E170" s="240"/>
      <c r="F170" s="240"/>
      <c r="G170" s="240"/>
      <c r="H170" s="240"/>
      <c r="I170" s="240"/>
      <c r="J170" s="240"/>
      <c r="K170" s="240"/>
      <c r="L170" s="356"/>
      <c r="M170" s="356"/>
      <c r="N170" s="356"/>
      <c r="O170" s="356"/>
      <c r="P170" s="356"/>
      <c r="Q170" s="240"/>
      <c r="R170" s="240"/>
      <c r="S170" s="240"/>
      <c r="T170" s="240"/>
      <c r="U170" s="240"/>
      <c r="V170" s="240"/>
      <c r="W170" s="240"/>
      <c r="X170" s="240"/>
      <c r="Y170" s="240"/>
      <c r="Z170" s="240"/>
      <c r="AA170" s="240"/>
      <c r="AB170" s="240"/>
      <c r="AD170" s="240"/>
      <c r="AE170" s="240"/>
      <c r="AF170" s="240"/>
      <c r="AG170" s="240"/>
      <c r="AH170" s="240"/>
      <c r="AI170" s="240"/>
      <c r="AJ170" s="240"/>
      <c r="AK170" s="240"/>
      <c r="AL170" s="240"/>
      <c r="AM170" s="240"/>
    </row>
    <row r="171" spans="1:39" ht="27" customHeight="1" x14ac:dyDescent="0.35">
      <c r="A171" s="240"/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0"/>
      <c r="P171" s="240"/>
      <c r="Q171" s="240"/>
      <c r="R171" s="240"/>
      <c r="S171" s="240"/>
      <c r="T171" s="240"/>
      <c r="U171" s="240"/>
      <c r="V171" s="240"/>
      <c r="W171" s="240"/>
      <c r="X171" s="240"/>
      <c r="Y171" s="240"/>
      <c r="Z171" s="240"/>
      <c r="AA171" s="240"/>
      <c r="AB171" s="240"/>
      <c r="AD171" s="240"/>
      <c r="AE171" s="240"/>
      <c r="AF171" s="240"/>
      <c r="AG171" s="240"/>
      <c r="AH171" s="240"/>
      <c r="AI171" s="240"/>
      <c r="AJ171" s="240"/>
      <c r="AK171" s="240"/>
      <c r="AL171" s="240"/>
      <c r="AM171" s="240"/>
    </row>
    <row r="172" spans="1:39" ht="27" customHeight="1" x14ac:dyDescent="0.35">
      <c r="A172" s="240"/>
      <c r="B172" s="240"/>
      <c r="C172" s="240"/>
      <c r="D172" s="240"/>
      <c r="E172" s="240"/>
      <c r="F172" s="240"/>
      <c r="G172" s="240"/>
      <c r="H172" s="240"/>
      <c r="I172" s="240"/>
      <c r="J172" s="240"/>
      <c r="K172" s="240"/>
      <c r="L172" s="240"/>
      <c r="M172" s="240"/>
      <c r="N172" s="240"/>
      <c r="O172" s="240"/>
      <c r="P172" s="240"/>
      <c r="Q172" s="240"/>
      <c r="R172" s="240"/>
      <c r="S172" s="240"/>
      <c r="T172" s="240"/>
      <c r="U172" s="240"/>
      <c r="V172" s="240"/>
      <c r="W172" s="240"/>
      <c r="X172" s="240"/>
      <c r="Y172" s="240"/>
      <c r="Z172" s="240"/>
      <c r="AA172" s="240"/>
      <c r="AB172" s="240"/>
      <c r="AD172" s="240"/>
      <c r="AE172" s="240"/>
      <c r="AF172" s="240"/>
      <c r="AG172" s="240"/>
      <c r="AH172" s="240"/>
      <c r="AI172" s="240"/>
      <c r="AJ172" s="240"/>
      <c r="AK172" s="240"/>
      <c r="AL172" s="240"/>
      <c r="AM172" s="240"/>
    </row>
    <row r="173" spans="1:39" ht="27" customHeight="1" x14ac:dyDescent="0.35">
      <c r="A173" s="240"/>
      <c r="B173" s="240"/>
      <c r="C173" s="240"/>
      <c r="D173" s="240"/>
      <c r="E173" s="240"/>
      <c r="F173" s="240"/>
      <c r="G173" s="240"/>
      <c r="H173" s="240"/>
      <c r="I173" s="240"/>
      <c r="J173" s="354"/>
      <c r="K173" s="354"/>
      <c r="L173" s="354"/>
      <c r="M173" s="354"/>
      <c r="N173" s="354"/>
      <c r="O173" s="354"/>
      <c r="P173" s="354"/>
      <c r="Q173" s="354"/>
      <c r="R173" s="354"/>
      <c r="S173" s="240"/>
      <c r="T173" s="240"/>
      <c r="U173" s="240"/>
      <c r="V173" s="240"/>
      <c r="W173" s="240"/>
      <c r="X173" s="240"/>
      <c r="Y173" s="240"/>
      <c r="Z173" s="240"/>
      <c r="AA173" s="240"/>
      <c r="AB173" s="240"/>
      <c r="AD173" s="240"/>
      <c r="AE173" s="240"/>
      <c r="AF173" s="240"/>
      <c r="AG173" s="240"/>
      <c r="AH173" s="240"/>
      <c r="AI173" s="240"/>
      <c r="AJ173" s="240"/>
      <c r="AK173" s="240"/>
      <c r="AL173" s="240"/>
      <c r="AM173" s="240"/>
    </row>
    <row r="174" spans="1:39" ht="27" customHeight="1" x14ac:dyDescent="0.35">
      <c r="A174" s="240"/>
      <c r="B174" s="240"/>
      <c r="C174" s="240"/>
      <c r="D174" s="240"/>
      <c r="E174" s="240"/>
      <c r="F174" s="240"/>
      <c r="G174" s="240"/>
      <c r="H174" s="240"/>
      <c r="I174" s="240"/>
      <c r="J174" s="357"/>
      <c r="K174" s="354"/>
      <c r="L174" s="354"/>
      <c r="M174" s="354"/>
      <c r="N174" s="354"/>
      <c r="O174" s="354"/>
      <c r="P174" s="354"/>
      <c r="Q174" s="354"/>
      <c r="R174" s="354"/>
      <c r="S174" s="354"/>
      <c r="T174" s="240"/>
      <c r="U174" s="240"/>
      <c r="V174" s="240"/>
      <c r="W174" s="240"/>
      <c r="X174" s="240"/>
      <c r="Y174" s="240"/>
      <c r="Z174" s="240"/>
      <c r="AA174" s="240"/>
      <c r="AB174" s="240"/>
      <c r="AD174" s="240"/>
      <c r="AE174" s="240"/>
      <c r="AF174" s="240"/>
      <c r="AG174" s="240"/>
      <c r="AH174" s="240"/>
      <c r="AI174" s="240"/>
      <c r="AJ174" s="240"/>
      <c r="AK174" s="240"/>
      <c r="AL174" s="240"/>
      <c r="AM174" s="240"/>
    </row>
    <row r="175" spans="1:39" ht="27" customHeight="1" x14ac:dyDescent="0.35">
      <c r="A175" s="240"/>
      <c r="B175" s="240"/>
      <c r="C175" s="240"/>
      <c r="D175" s="240"/>
      <c r="E175" s="240"/>
      <c r="F175" s="240"/>
      <c r="G175" s="240"/>
      <c r="H175" s="240"/>
      <c r="I175" s="240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240"/>
      <c r="U175" s="240"/>
      <c r="V175" s="240"/>
      <c r="W175" s="240"/>
      <c r="X175" s="240"/>
      <c r="Y175" s="240"/>
      <c r="Z175" s="240"/>
      <c r="AA175" s="240"/>
      <c r="AB175" s="240"/>
      <c r="AD175" s="240"/>
      <c r="AE175" s="240"/>
      <c r="AF175" s="240"/>
      <c r="AG175" s="240"/>
      <c r="AH175" s="240"/>
      <c r="AI175" s="240"/>
      <c r="AJ175" s="240"/>
      <c r="AK175" s="240"/>
      <c r="AL175" s="240"/>
      <c r="AM175" s="240"/>
    </row>
    <row r="176" spans="1:39" ht="27" customHeight="1" x14ac:dyDescent="0.35">
      <c r="A176" s="240"/>
      <c r="B176" s="240"/>
      <c r="C176" s="240"/>
      <c r="D176" s="240"/>
      <c r="E176" s="240"/>
      <c r="F176" s="240"/>
      <c r="G176" s="240"/>
      <c r="H176" s="240"/>
      <c r="I176" s="240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240"/>
      <c r="U176" s="240"/>
      <c r="V176" s="240"/>
      <c r="W176" s="240"/>
      <c r="X176" s="240"/>
      <c r="Y176" s="240"/>
      <c r="Z176" s="240"/>
      <c r="AA176" s="240"/>
      <c r="AB176" s="240"/>
      <c r="AD176" s="240"/>
      <c r="AE176" s="240"/>
      <c r="AF176" s="240"/>
      <c r="AG176" s="240"/>
      <c r="AH176" s="240"/>
      <c r="AI176" s="240"/>
      <c r="AJ176" s="240"/>
      <c r="AK176" s="240"/>
      <c r="AL176" s="240"/>
      <c r="AM176" s="240"/>
    </row>
    <row r="177" spans="1:39" ht="27" customHeight="1" x14ac:dyDescent="0.35">
      <c r="A177" s="240"/>
      <c r="B177" s="240"/>
      <c r="C177" s="240"/>
      <c r="D177" s="240"/>
      <c r="E177" s="240"/>
      <c r="F177" s="240"/>
      <c r="G177" s="240"/>
      <c r="H177" s="240"/>
      <c r="I177" s="240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240"/>
      <c r="U177" s="240"/>
      <c r="V177" s="240"/>
      <c r="W177" s="240"/>
      <c r="X177" s="240"/>
      <c r="Y177" s="240"/>
      <c r="Z177" s="240"/>
      <c r="AA177" s="240"/>
      <c r="AB177" s="240"/>
      <c r="AD177" s="240"/>
      <c r="AE177" s="240"/>
      <c r="AF177" s="240"/>
      <c r="AG177" s="240"/>
      <c r="AH177" s="240"/>
      <c r="AI177" s="240"/>
      <c r="AJ177" s="240"/>
      <c r="AK177" s="240"/>
      <c r="AL177" s="240"/>
      <c r="AM177" s="240"/>
    </row>
    <row r="178" spans="1:39" ht="27" customHeight="1" x14ac:dyDescent="0.35">
      <c r="A178" s="240"/>
      <c r="B178" s="240"/>
      <c r="C178" s="240"/>
      <c r="D178" s="240"/>
      <c r="E178" s="240"/>
      <c r="F178" s="240"/>
      <c r="G178" s="240"/>
      <c r="H178" s="240"/>
      <c r="I178" s="240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240"/>
      <c r="U178" s="240"/>
      <c r="V178" s="240"/>
      <c r="W178" s="240"/>
      <c r="X178" s="240"/>
      <c r="Y178" s="240"/>
      <c r="Z178" s="240"/>
      <c r="AA178" s="240"/>
      <c r="AB178" s="240"/>
      <c r="AD178" s="240"/>
      <c r="AE178" s="240"/>
      <c r="AF178" s="240"/>
      <c r="AG178" s="240"/>
      <c r="AH178" s="240"/>
      <c r="AI178" s="240"/>
      <c r="AJ178" s="240"/>
      <c r="AK178" s="240"/>
      <c r="AL178" s="240"/>
      <c r="AM178" s="240"/>
    </row>
    <row r="179" spans="1:39" ht="27" customHeight="1" x14ac:dyDescent="0.35">
      <c r="A179" s="240"/>
      <c r="B179" s="240"/>
      <c r="C179" s="240"/>
      <c r="D179" s="240"/>
      <c r="E179" s="240"/>
      <c r="F179" s="240"/>
      <c r="G179" s="240"/>
      <c r="H179" s="240"/>
      <c r="I179" s="240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240"/>
      <c r="U179" s="240"/>
      <c r="V179" s="240"/>
      <c r="W179" s="240"/>
      <c r="X179" s="240"/>
      <c r="Y179" s="240"/>
      <c r="Z179" s="240"/>
      <c r="AA179" s="240"/>
      <c r="AB179" s="240"/>
      <c r="AD179" s="240"/>
      <c r="AE179" s="240"/>
      <c r="AF179" s="240"/>
      <c r="AG179" s="240"/>
      <c r="AH179" s="240"/>
      <c r="AI179" s="240"/>
      <c r="AJ179" s="240"/>
      <c r="AK179" s="240"/>
      <c r="AL179" s="240"/>
      <c r="AM179" s="240"/>
    </row>
    <row r="180" spans="1:39" ht="27" customHeight="1" x14ac:dyDescent="0.35">
      <c r="A180" s="240"/>
      <c r="B180" s="240"/>
      <c r="C180" s="240"/>
      <c r="D180" s="240"/>
      <c r="E180" s="240"/>
      <c r="F180" s="240"/>
      <c r="G180" s="240"/>
      <c r="H180" s="240"/>
      <c r="I180" s="240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240"/>
      <c r="U180" s="240"/>
      <c r="V180" s="240"/>
      <c r="W180" s="240"/>
      <c r="X180" s="240"/>
      <c r="Y180" s="240"/>
      <c r="Z180" s="240"/>
      <c r="AA180" s="240"/>
      <c r="AB180" s="240"/>
      <c r="AD180" s="240"/>
      <c r="AE180" s="240"/>
      <c r="AF180" s="240"/>
      <c r="AG180" s="240"/>
      <c r="AH180" s="240"/>
      <c r="AI180" s="240"/>
      <c r="AJ180" s="240"/>
      <c r="AK180" s="240"/>
      <c r="AL180" s="240"/>
      <c r="AM180" s="240"/>
    </row>
    <row r="181" spans="1:39" ht="27" customHeight="1" x14ac:dyDescent="0.35">
      <c r="A181" s="240"/>
      <c r="B181" s="240"/>
      <c r="C181" s="240"/>
      <c r="D181" s="240"/>
      <c r="E181" s="240"/>
      <c r="F181" s="240"/>
      <c r="G181" s="240"/>
      <c r="H181" s="240"/>
      <c r="I181" s="240"/>
      <c r="J181" s="240"/>
      <c r="K181" s="354"/>
      <c r="L181" s="354"/>
      <c r="M181" s="354"/>
      <c r="N181" s="354"/>
      <c r="O181" s="354"/>
      <c r="P181" s="354"/>
      <c r="Q181" s="354"/>
      <c r="R181" s="354"/>
      <c r="S181" s="354"/>
      <c r="T181" s="240"/>
      <c r="U181" s="240"/>
      <c r="V181" s="240"/>
      <c r="W181" s="240"/>
      <c r="X181" s="240"/>
      <c r="Y181" s="240"/>
      <c r="Z181" s="240"/>
      <c r="AA181" s="240"/>
      <c r="AB181" s="240"/>
      <c r="AD181" s="240"/>
      <c r="AE181" s="240"/>
      <c r="AF181" s="240"/>
      <c r="AG181" s="240"/>
      <c r="AH181" s="240"/>
      <c r="AI181" s="240"/>
      <c r="AJ181" s="240"/>
      <c r="AK181" s="240"/>
      <c r="AL181" s="240"/>
      <c r="AM181" s="240"/>
    </row>
    <row r="182" spans="1:39" ht="27" customHeight="1" x14ac:dyDescent="0.35">
      <c r="A182" s="240"/>
      <c r="B182" s="240"/>
      <c r="C182" s="240"/>
      <c r="D182" s="240"/>
      <c r="E182" s="240"/>
      <c r="F182" s="240"/>
      <c r="G182" s="240"/>
      <c r="H182" s="240"/>
      <c r="I182" s="240"/>
      <c r="J182" s="240"/>
      <c r="K182" s="354"/>
      <c r="L182" s="354"/>
      <c r="M182" s="354"/>
      <c r="N182" s="354"/>
      <c r="O182" s="354"/>
      <c r="P182" s="354"/>
      <c r="Q182" s="354"/>
      <c r="R182" s="354"/>
      <c r="S182" s="354"/>
      <c r="T182" s="240"/>
      <c r="U182" s="240"/>
      <c r="V182" s="240"/>
      <c r="W182" s="240"/>
      <c r="X182" s="240"/>
      <c r="Y182" s="240"/>
      <c r="Z182" s="240"/>
      <c r="AA182" s="240"/>
      <c r="AB182" s="240"/>
      <c r="AD182" s="240"/>
      <c r="AE182" s="240"/>
      <c r="AF182" s="240"/>
      <c r="AG182" s="240"/>
      <c r="AH182" s="240"/>
      <c r="AI182" s="240"/>
      <c r="AJ182" s="240"/>
      <c r="AK182" s="240"/>
      <c r="AL182" s="240"/>
      <c r="AM182" s="240"/>
    </row>
    <row r="183" spans="1:39" ht="27" customHeight="1" x14ac:dyDescent="0.35">
      <c r="A183" s="240"/>
      <c r="B183" s="240"/>
      <c r="C183" s="240"/>
      <c r="D183" s="240"/>
      <c r="E183" s="240"/>
      <c r="F183" s="240"/>
      <c r="G183" s="240"/>
      <c r="H183" s="240"/>
      <c r="I183" s="240"/>
      <c r="J183" s="240"/>
      <c r="K183" s="354"/>
      <c r="L183" s="354"/>
      <c r="M183" s="354"/>
      <c r="N183" s="354"/>
      <c r="O183" s="354"/>
      <c r="P183" s="354"/>
      <c r="Q183" s="354"/>
      <c r="R183" s="354"/>
      <c r="S183" s="354"/>
      <c r="T183" s="240"/>
      <c r="U183" s="240"/>
      <c r="V183" s="240"/>
      <c r="W183" s="240"/>
      <c r="X183" s="240"/>
      <c r="Y183" s="240"/>
      <c r="Z183" s="240"/>
      <c r="AA183" s="240"/>
      <c r="AB183" s="240"/>
      <c r="AD183" s="240"/>
      <c r="AE183" s="240"/>
      <c r="AF183" s="240"/>
      <c r="AG183" s="240"/>
      <c r="AH183" s="240"/>
      <c r="AI183" s="240"/>
      <c r="AJ183" s="240"/>
      <c r="AK183" s="240"/>
      <c r="AL183" s="240"/>
      <c r="AM183" s="240"/>
    </row>
    <row r="184" spans="1:39" ht="27" customHeight="1" x14ac:dyDescent="0.35">
      <c r="A184" s="240"/>
      <c r="B184" s="240"/>
      <c r="C184" s="240"/>
      <c r="D184" s="240"/>
      <c r="E184" s="240"/>
      <c r="F184" s="240"/>
      <c r="G184" s="240"/>
      <c r="H184" s="240"/>
      <c r="I184" s="240"/>
      <c r="J184" s="240"/>
      <c r="K184" s="354"/>
      <c r="L184" s="354"/>
      <c r="M184" s="354"/>
      <c r="N184" s="354"/>
      <c r="O184" s="354"/>
      <c r="P184" s="354"/>
      <c r="Q184" s="354"/>
      <c r="R184" s="354"/>
      <c r="S184" s="354"/>
      <c r="T184" s="240"/>
      <c r="U184" s="240"/>
      <c r="V184" s="240"/>
      <c r="W184" s="240"/>
      <c r="X184" s="240"/>
      <c r="Y184" s="240"/>
      <c r="Z184" s="240"/>
      <c r="AA184" s="240"/>
      <c r="AB184" s="240"/>
      <c r="AD184" s="240"/>
      <c r="AE184" s="240"/>
      <c r="AF184" s="240"/>
      <c r="AG184" s="240"/>
      <c r="AH184" s="240"/>
      <c r="AI184" s="240"/>
      <c r="AJ184" s="240"/>
      <c r="AK184" s="240"/>
      <c r="AL184" s="240"/>
      <c r="AM184" s="240"/>
    </row>
    <row r="185" spans="1:39" ht="27" customHeight="1" x14ac:dyDescent="0.35">
      <c r="A185" s="240"/>
      <c r="B185" s="240"/>
      <c r="C185" s="240"/>
      <c r="D185" s="240"/>
      <c r="E185" s="240"/>
      <c r="F185" s="240"/>
      <c r="G185" s="240"/>
      <c r="H185" s="240"/>
      <c r="I185" s="240"/>
      <c r="J185" s="240"/>
      <c r="K185" s="240"/>
      <c r="L185" s="240"/>
      <c r="M185" s="356"/>
      <c r="N185" s="356"/>
      <c r="O185" s="356"/>
      <c r="P185" s="356"/>
      <c r="Q185" s="356"/>
      <c r="R185" s="356"/>
      <c r="S185" s="356"/>
      <c r="T185" s="240"/>
      <c r="U185" s="240"/>
      <c r="V185" s="240"/>
      <c r="W185" s="240"/>
      <c r="X185" s="240"/>
      <c r="Y185" s="240"/>
      <c r="Z185" s="240"/>
      <c r="AA185" s="240"/>
      <c r="AB185" s="240"/>
      <c r="AD185" s="240"/>
      <c r="AE185" s="240"/>
      <c r="AF185" s="240"/>
      <c r="AG185" s="240"/>
      <c r="AH185" s="240"/>
      <c r="AI185" s="240"/>
      <c r="AJ185" s="240"/>
      <c r="AK185" s="240"/>
      <c r="AL185" s="240"/>
      <c r="AM185" s="240"/>
    </row>
    <row r="186" spans="1:39" ht="27" customHeight="1" x14ac:dyDescent="0.35">
      <c r="A186" s="240"/>
      <c r="B186" s="240"/>
      <c r="C186" s="240"/>
      <c r="D186" s="240"/>
      <c r="E186" s="240"/>
      <c r="F186" s="240"/>
      <c r="G186" s="240"/>
      <c r="H186" s="240"/>
      <c r="I186" s="240"/>
      <c r="J186" s="240"/>
      <c r="K186" s="357"/>
      <c r="L186" s="357"/>
      <c r="M186" s="357"/>
      <c r="N186" s="357"/>
      <c r="O186" s="357"/>
      <c r="P186" s="357"/>
      <c r="Q186" s="240"/>
      <c r="R186" s="240"/>
      <c r="S186" s="240"/>
      <c r="T186" s="240"/>
      <c r="U186" s="240"/>
      <c r="V186" s="240"/>
      <c r="W186" s="240"/>
      <c r="X186" s="240"/>
      <c r="Y186" s="240"/>
      <c r="Z186" s="240"/>
      <c r="AA186" s="240"/>
      <c r="AB186" s="240"/>
      <c r="AD186" s="240"/>
      <c r="AE186" s="240"/>
      <c r="AF186" s="240"/>
      <c r="AG186" s="240"/>
      <c r="AH186" s="240"/>
      <c r="AI186" s="240"/>
      <c r="AJ186" s="240"/>
      <c r="AK186" s="240"/>
      <c r="AL186" s="240"/>
      <c r="AM186" s="240"/>
    </row>
    <row r="187" spans="1:39" ht="27" customHeight="1" x14ac:dyDescent="0.35">
      <c r="A187" s="240"/>
      <c r="B187" s="240"/>
      <c r="C187" s="240"/>
      <c r="D187" s="240"/>
      <c r="E187" s="240"/>
      <c r="F187" s="240"/>
      <c r="G187" s="240"/>
      <c r="H187" s="240"/>
      <c r="I187" s="240"/>
      <c r="J187" s="240"/>
      <c r="K187" s="357"/>
      <c r="L187" s="357"/>
      <c r="M187" s="357"/>
      <c r="N187" s="357"/>
      <c r="O187" s="354"/>
      <c r="P187" s="354"/>
      <c r="Q187" s="240"/>
      <c r="R187" s="240"/>
      <c r="S187" s="240"/>
      <c r="T187" s="240"/>
      <c r="U187" s="240"/>
      <c r="V187" s="240"/>
      <c r="W187" s="240"/>
      <c r="X187" s="240"/>
      <c r="Y187" s="240"/>
      <c r="Z187" s="240"/>
      <c r="AA187" s="240"/>
      <c r="AB187" s="240"/>
      <c r="AD187" s="240"/>
      <c r="AE187" s="240"/>
      <c r="AF187" s="240"/>
      <c r="AG187" s="240"/>
      <c r="AH187" s="240"/>
      <c r="AI187" s="240"/>
      <c r="AJ187" s="240"/>
      <c r="AK187" s="240"/>
      <c r="AL187" s="240"/>
      <c r="AM187" s="240"/>
    </row>
    <row r="188" spans="1:39" ht="27" customHeight="1" x14ac:dyDescent="0.35">
      <c r="A188" s="240"/>
      <c r="B188" s="240"/>
      <c r="C188" s="240"/>
      <c r="D188" s="240"/>
      <c r="E188" s="240"/>
      <c r="F188" s="240"/>
      <c r="G188" s="240"/>
      <c r="H188" s="240"/>
      <c r="I188" s="240"/>
      <c r="J188" s="240"/>
      <c r="K188" s="354"/>
      <c r="L188" s="354"/>
      <c r="M188" s="354"/>
      <c r="N188" s="354"/>
      <c r="O188" s="354"/>
      <c r="P188" s="354"/>
      <c r="Q188" s="240"/>
      <c r="R188" s="240"/>
      <c r="S188" s="240"/>
      <c r="T188" s="240"/>
      <c r="U188" s="240"/>
      <c r="V188" s="240"/>
      <c r="W188" s="240"/>
      <c r="X188" s="240"/>
      <c r="Y188" s="240"/>
      <c r="Z188" s="240"/>
      <c r="AA188" s="240"/>
      <c r="AB188" s="240"/>
      <c r="AD188" s="240"/>
      <c r="AE188" s="240"/>
      <c r="AF188" s="240"/>
      <c r="AG188" s="240"/>
      <c r="AH188" s="240"/>
      <c r="AI188" s="240"/>
      <c r="AJ188" s="240"/>
      <c r="AK188" s="240"/>
      <c r="AL188" s="240"/>
      <c r="AM188" s="240"/>
    </row>
    <row r="189" spans="1:39" ht="27" customHeight="1" x14ac:dyDescent="0.35">
      <c r="A189" s="240"/>
      <c r="B189" s="240"/>
      <c r="C189" s="240"/>
      <c r="D189" s="240"/>
      <c r="E189" s="240"/>
      <c r="F189" s="240"/>
      <c r="G189" s="240"/>
      <c r="H189" s="240"/>
      <c r="I189" s="240"/>
      <c r="J189" s="240"/>
      <c r="K189" s="354"/>
      <c r="L189" s="354"/>
      <c r="M189" s="354"/>
      <c r="N189" s="354"/>
      <c r="O189" s="354"/>
      <c r="P189" s="354"/>
      <c r="Q189" s="240"/>
      <c r="R189" s="240"/>
      <c r="S189" s="240"/>
      <c r="T189" s="240"/>
      <c r="U189" s="240"/>
      <c r="V189" s="240"/>
      <c r="W189" s="240"/>
      <c r="X189" s="240"/>
      <c r="Y189" s="240"/>
      <c r="Z189" s="240"/>
      <c r="AA189" s="240"/>
      <c r="AB189" s="240"/>
      <c r="AD189" s="240"/>
      <c r="AE189" s="240"/>
      <c r="AF189" s="240"/>
      <c r="AG189" s="240"/>
      <c r="AH189" s="240"/>
      <c r="AI189" s="240"/>
      <c r="AJ189" s="240"/>
      <c r="AK189" s="240"/>
      <c r="AL189" s="240"/>
      <c r="AM189" s="240"/>
    </row>
    <row r="190" spans="1:39" ht="27" customHeight="1" x14ac:dyDescent="0.35">
      <c r="A190" s="240"/>
      <c r="B190" s="240"/>
      <c r="C190" s="240"/>
      <c r="D190" s="240"/>
      <c r="E190" s="240"/>
      <c r="F190" s="240"/>
      <c r="G190" s="240"/>
      <c r="H190" s="240"/>
      <c r="I190" s="240"/>
      <c r="J190" s="240"/>
      <c r="K190" s="354"/>
      <c r="L190" s="354"/>
      <c r="M190" s="354"/>
      <c r="N190" s="354"/>
      <c r="O190" s="354"/>
      <c r="P190" s="354"/>
      <c r="Q190" s="240"/>
      <c r="R190" s="240"/>
      <c r="S190" s="240"/>
      <c r="T190" s="240"/>
      <c r="U190" s="240"/>
      <c r="V190" s="240"/>
      <c r="W190" s="240"/>
      <c r="X190" s="240"/>
      <c r="Y190" s="240"/>
      <c r="Z190" s="240"/>
      <c r="AA190" s="240"/>
      <c r="AB190" s="240"/>
      <c r="AD190" s="240"/>
      <c r="AE190" s="240"/>
      <c r="AF190" s="240"/>
      <c r="AG190" s="240"/>
      <c r="AH190" s="240"/>
      <c r="AI190" s="240"/>
      <c r="AJ190" s="240"/>
      <c r="AK190" s="240"/>
      <c r="AL190" s="240"/>
      <c r="AM190" s="240"/>
    </row>
    <row r="191" spans="1:39" ht="27" customHeight="1" x14ac:dyDescent="0.35">
      <c r="A191" s="240"/>
      <c r="B191" s="240"/>
      <c r="C191" s="240"/>
      <c r="D191" s="240"/>
      <c r="E191" s="240"/>
      <c r="F191" s="240"/>
      <c r="G191" s="240"/>
      <c r="H191" s="240"/>
      <c r="I191" s="240"/>
      <c r="J191" s="240"/>
      <c r="K191" s="354"/>
      <c r="L191" s="354"/>
      <c r="M191" s="354"/>
      <c r="N191" s="354"/>
      <c r="O191" s="354"/>
      <c r="P191" s="354"/>
      <c r="Q191" s="240"/>
      <c r="R191" s="240"/>
      <c r="S191" s="240"/>
      <c r="T191" s="240"/>
      <c r="U191" s="240"/>
      <c r="V191" s="240"/>
      <c r="W191" s="240"/>
      <c r="X191" s="240"/>
      <c r="Y191" s="240"/>
      <c r="Z191" s="240"/>
      <c r="AA191" s="240"/>
      <c r="AB191" s="240"/>
      <c r="AD191" s="240"/>
      <c r="AE191" s="240"/>
      <c r="AF191" s="240"/>
      <c r="AG191" s="240"/>
      <c r="AH191" s="240"/>
      <c r="AI191" s="240"/>
      <c r="AJ191" s="240"/>
      <c r="AK191" s="240"/>
      <c r="AL191" s="240"/>
      <c r="AM191" s="240"/>
    </row>
    <row r="192" spans="1:39" ht="27" customHeight="1" x14ac:dyDescent="0.35">
      <c r="A192" s="240"/>
      <c r="B192" s="240"/>
      <c r="C192" s="240"/>
      <c r="D192" s="240"/>
      <c r="E192" s="240"/>
      <c r="F192" s="240"/>
      <c r="G192" s="240"/>
      <c r="H192" s="240"/>
      <c r="I192" s="240"/>
      <c r="J192" s="240"/>
      <c r="K192" s="354"/>
      <c r="L192" s="354"/>
      <c r="M192" s="354"/>
      <c r="N192" s="354"/>
      <c r="O192" s="354"/>
      <c r="P192" s="354"/>
      <c r="Q192" s="240"/>
      <c r="R192" s="240"/>
      <c r="S192" s="240"/>
      <c r="T192" s="240"/>
      <c r="U192" s="240"/>
      <c r="V192" s="240"/>
      <c r="W192" s="240"/>
      <c r="X192" s="240"/>
      <c r="Y192" s="240"/>
      <c r="Z192" s="240"/>
      <c r="AA192" s="240"/>
      <c r="AB192" s="240"/>
      <c r="AD192" s="240"/>
      <c r="AE192" s="240"/>
      <c r="AF192" s="240"/>
      <c r="AG192" s="240"/>
      <c r="AH192" s="240"/>
      <c r="AI192" s="240"/>
      <c r="AJ192" s="240"/>
      <c r="AK192" s="240"/>
      <c r="AL192" s="240"/>
      <c r="AM192" s="240"/>
    </row>
    <row r="193" spans="1:39" ht="27" customHeight="1" x14ac:dyDescent="0.35">
      <c r="A193" s="240"/>
      <c r="B193" s="240"/>
      <c r="C193" s="240"/>
      <c r="D193" s="240"/>
      <c r="E193" s="240"/>
      <c r="F193" s="240"/>
      <c r="G193" s="240"/>
      <c r="H193" s="240"/>
      <c r="I193" s="240"/>
      <c r="J193" s="240"/>
      <c r="K193" s="354"/>
      <c r="L193" s="354"/>
      <c r="M193" s="354"/>
      <c r="N193" s="354"/>
      <c r="O193" s="354"/>
      <c r="P193" s="354"/>
      <c r="Q193" s="240"/>
      <c r="R193" s="240"/>
      <c r="S193" s="240"/>
      <c r="T193" s="240"/>
      <c r="U193" s="240"/>
      <c r="V193" s="240"/>
      <c r="W193" s="240"/>
      <c r="X193" s="240"/>
      <c r="Y193" s="240"/>
      <c r="Z193" s="240"/>
      <c r="AA193" s="240"/>
      <c r="AB193" s="240"/>
      <c r="AD193" s="240"/>
      <c r="AE193" s="240"/>
      <c r="AF193" s="240"/>
      <c r="AG193" s="240"/>
      <c r="AH193" s="240"/>
      <c r="AI193" s="240"/>
      <c r="AJ193" s="240"/>
      <c r="AK193" s="240"/>
      <c r="AL193" s="240"/>
      <c r="AM193" s="240"/>
    </row>
    <row r="194" spans="1:39" ht="27" customHeight="1" x14ac:dyDescent="0.35">
      <c r="A194" s="240"/>
      <c r="B194" s="240"/>
      <c r="C194" s="240"/>
      <c r="D194" s="240"/>
      <c r="E194" s="240"/>
      <c r="F194" s="240"/>
      <c r="G194" s="240"/>
      <c r="H194" s="240"/>
      <c r="I194" s="240"/>
      <c r="J194" s="240"/>
      <c r="K194" s="354"/>
      <c r="L194" s="354"/>
      <c r="M194" s="354"/>
      <c r="N194" s="354"/>
      <c r="O194" s="354"/>
      <c r="P194" s="354"/>
      <c r="Q194" s="240"/>
      <c r="R194" s="240"/>
      <c r="S194" s="240"/>
      <c r="T194" s="240"/>
      <c r="U194" s="240"/>
      <c r="V194" s="240"/>
      <c r="W194" s="240"/>
      <c r="X194" s="240"/>
      <c r="Y194" s="240"/>
      <c r="Z194" s="240"/>
      <c r="AA194" s="240"/>
      <c r="AB194" s="240"/>
      <c r="AD194" s="240"/>
      <c r="AE194" s="240"/>
      <c r="AF194" s="240"/>
      <c r="AG194" s="240"/>
      <c r="AH194" s="240"/>
      <c r="AI194" s="240"/>
      <c r="AJ194" s="240"/>
      <c r="AK194" s="240"/>
      <c r="AL194" s="240"/>
      <c r="AM194" s="240"/>
    </row>
    <row r="195" spans="1:39" ht="27" customHeight="1" x14ac:dyDescent="0.35">
      <c r="A195" s="240"/>
      <c r="B195" s="240"/>
      <c r="C195" s="240"/>
      <c r="D195" s="240"/>
      <c r="E195" s="240"/>
      <c r="F195" s="240"/>
      <c r="G195" s="240"/>
      <c r="H195" s="240"/>
      <c r="I195" s="240"/>
      <c r="J195" s="240"/>
      <c r="K195" s="354"/>
      <c r="L195" s="354"/>
      <c r="M195" s="354"/>
      <c r="N195" s="354"/>
      <c r="O195" s="354"/>
      <c r="P195" s="354"/>
      <c r="Q195" s="240"/>
      <c r="R195" s="240"/>
      <c r="S195" s="240"/>
      <c r="T195" s="240"/>
      <c r="U195" s="240"/>
      <c r="V195" s="240"/>
      <c r="W195" s="240"/>
      <c r="X195" s="240"/>
      <c r="Y195" s="240"/>
      <c r="Z195" s="240"/>
      <c r="AA195" s="240"/>
      <c r="AB195" s="240"/>
      <c r="AD195" s="240"/>
      <c r="AE195" s="240"/>
      <c r="AF195" s="240"/>
      <c r="AG195" s="240"/>
      <c r="AH195" s="240"/>
      <c r="AI195" s="240"/>
      <c r="AJ195" s="240"/>
      <c r="AK195" s="240"/>
      <c r="AL195" s="240"/>
      <c r="AM195" s="240"/>
    </row>
    <row r="196" spans="1:39" ht="27" customHeight="1" x14ac:dyDescent="0.35">
      <c r="A196" s="240"/>
      <c r="B196" s="240"/>
      <c r="C196" s="240"/>
      <c r="D196" s="240"/>
      <c r="E196" s="240"/>
      <c r="F196" s="240"/>
      <c r="G196" s="240"/>
      <c r="H196" s="240"/>
      <c r="I196" s="240"/>
      <c r="J196" s="240"/>
      <c r="K196" s="240"/>
      <c r="L196" s="240"/>
      <c r="M196" s="240"/>
      <c r="N196" s="240"/>
      <c r="O196" s="240"/>
      <c r="P196" s="240"/>
      <c r="Q196" s="240"/>
      <c r="R196" s="240"/>
      <c r="S196" s="240"/>
      <c r="T196" s="240"/>
      <c r="U196" s="240"/>
      <c r="V196" s="240"/>
      <c r="W196" s="240"/>
      <c r="X196" s="240"/>
      <c r="Y196" s="240"/>
      <c r="Z196" s="240"/>
      <c r="AA196" s="240"/>
      <c r="AB196" s="240"/>
      <c r="AD196" s="240"/>
      <c r="AE196" s="240"/>
      <c r="AF196" s="240"/>
      <c r="AG196" s="240"/>
      <c r="AH196" s="240"/>
      <c r="AI196" s="240"/>
      <c r="AJ196" s="240"/>
      <c r="AK196" s="240"/>
      <c r="AL196" s="240"/>
      <c r="AM196" s="240"/>
    </row>
    <row r="197" spans="1:39" ht="27" customHeight="1" x14ac:dyDescent="0.35">
      <c r="A197" s="240"/>
      <c r="B197" s="240"/>
      <c r="C197" s="240"/>
      <c r="D197" s="240"/>
      <c r="E197" s="240"/>
      <c r="F197" s="240"/>
      <c r="G197" s="240"/>
      <c r="H197" s="240"/>
      <c r="I197" s="240"/>
      <c r="J197" s="240"/>
      <c r="K197" s="240"/>
      <c r="L197" s="356"/>
      <c r="M197" s="356"/>
      <c r="N197" s="356"/>
      <c r="O197" s="356"/>
      <c r="P197" s="356"/>
      <c r="Q197" s="240"/>
      <c r="R197" s="240"/>
      <c r="S197" s="240"/>
      <c r="T197" s="240"/>
      <c r="U197" s="240"/>
      <c r="V197" s="240"/>
      <c r="W197" s="240"/>
      <c r="X197" s="240"/>
      <c r="Y197" s="240"/>
      <c r="Z197" s="240"/>
      <c r="AA197" s="240"/>
      <c r="AB197" s="240"/>
      <c r="AD197" s="240"/>
      <c r="AE197" s="240"/>
      <c r="AF197" s="240"/>
      <c r="AG197" s="240"/>
      <c r="AH197" s="240"/>
      <c r="AI197" s="240"/>
      <c r="AJ197" s="240"/>
      <c r="AK197" s="240"/>
      <c r="AL197" s="240"/>
      <c r="AM197" s="240"/>
    </row>
    <row r="198" spans="1:39" ht="27" customHeight="1" x14ac:dyDescent="0.35">
      <c r="A198" s="240"/>
      <c r="B198" s="240"/>
      <c r="C198" s="240"/>
      <c r="D198" s="240"/>
      <c r="E198" s="240"/>
      <c r="F198" s="240"/>
      <c r="G198" s="240"/>
      <c r="H198" s="240"/>
      <c r="I198" s="240"/>
      <c r="J198" s="240"/>
      <c r="K198" s="240"/>
      <c r="L198" s="356"/>
      <c r="M198" s="356"/>
      <c r="N198" s="356"/>
      <c r="O198" s="356"/>
      <c r="P198" s="356"/>
      <c r="Q198" s="240"/>
      <c r="R198" s="240"/>
      <c r="S198" s="240"/>
      <c r="T198" s="240"/>
      <c r="U198" s="240"/>
      <c r="V198" s="240"/>
      <c r="W198" s="240"/>
      <c r="X198" s="240"/>
      <c r="Y198" s="240"/>
      <c r="Z198" s="240"/>
      <c r="AA198" s="240"/>
      <c r="AB198" s="240"/>
      <c r="AD198" s="240"/>
      <c r="AE198" s="240"/>
      <c r="AF198" s="240"/>
      <c r="AG198" s="240"/>
      <c r="AH198" s="240"/>
      <c r="AI198" s="240"/>
      <c r="AJ198" s="240"/>
      <c r="AK198" s="240"/>
      <c r="AL198" s="240"/>
      <c r="AM198" s="240"/>
    </row>
    <row r="199" spans="1:39" ht="27" customHeight="1" x14ac:dyDescent="0.35">
      <c r="A199" s="240"/>
      <c r="B199" s="240"/>
      <c r="C199" s="240"/>
      <c r="D199" s="240"/>
      <c r="E199" s="240"/>
      <c r="F199" s="240"/>
      <c r="G199" s="240"/>
      <c r="H199" s="240"/>
      <c r="I199" s="240"/>
      <c r="J199" s="240"/>
      <c r="K199" s="357"/>
      <c r="L199" s="357"/>
      <c r="M199" s="357"/>
      <c r="N199" s="357"/>
      <c r="O199" s="354"/>
      <c r="P199" s="354"/>
      <c r="Q199" s="240"/>
      <c r="R199" s="240"/>
      <c r="S199" s="240"/>
      <c r="T199" s="240"/>
      <c r="U199" s="240"/>
      <c r="V199" s="240"/>
      <c r="W199" s="240"/>
      <c r="X199" s="240"/>
      <c r="Y199" s="240"/>
      <c r="Z199" s="240"/>
      <c r="AA199" s="240"/>
      <c r="AB199" s="240"/>
      <c r="AD199" s="240"/>
      <c r="AE199" s="240"/>
      <c r="AF199" s="240"/>
      <c r="AG199" s="240"/>
      <c r="AH199" s="240"/>
      <c r="AI199" s="240"/>
      <c r="AJ199" s="240"/>
      <c r="AK199" s="240"/>
      <c r="AL199" s="240"/>
      <c r="AM199" s="240"/>
    </row>
    <row r="200" spans="1:39" ht="27" customHeight="1" x14ac:dyDescent="0.35">
      <c r="A200" s="240"/>
      <c r="B200" s="240"/>
      <c r="C200" s="240"/>
      <c r="D200" s="240"/>
      <c r="E200" s="240"/>
      <c r="F200" s="240"/>
      <c r="G200" s="240"/>
      <c r="H200" s="240"/>
      <c r="I200" s="240"/>
      <c r="J200" s="240"/>
      <c r="K200" s="354"/>
      <c r="L200" s="354"/>
      <c r="M200" s="354"/>
      <c r="N200" s="354"/>
      <c r="O200" s="354"/>
      <c r="P200" s="354"/>
      <c r="Q200" s="240"/>
      <c r="R200" s="240"/>
      <c r="S200" s="240"/>
      <c r="T200" s="240"/>
      <c r="U200" s="240"/>
      <c r="V200" s="240"/>
      <c r="W200" s="240"/>
      <c r="X200" s="240"/>
      <c r="Y200" s="240"/>
      <c r="Z200" s="240"/>
      <c r="AA200" s="240"/>
      <c r="AB200" s="240"/>
      <c r="AD200" s="240"/>
      <c r="AE200" s="240"/>
      <c r="AF200" s="240"/>
      <c r="AG200" s="240"/>
      <c r="AH200" s="240"/>
      <c r="AI200" s="240"/>
      <c r="AJ200" s="240"/>
      <c r="AK200" s="240"/>
      <c r="AL200" s="240"/>
      <c r="AM200" s="240"/>
    </row>
    <row r="201" spans="1:39" ht="27" customHeight="1" x14ac:dyDescent="0.35">
      <c r="A201" s="240"/>
      <c r="B201" s="240"/>
      <c r="C201" s="240"/>
      <c r="D201" s="240"/>
      <c r="E201" s="240"/>
      <c r="F201" s="240"/>
      <c r="G201" s="240"/>
      <c r="H201" s="240"/>
      <c r="I201" s="240"/>
      <c r="J201" s="240"/>
      <c r="K201" s="354"/>
      <c r="L201" s="354"/>
      <c r="M201" s="354"/>
      <c r="N201" s="354"/>
      <c r="O201" s="354"/>
      <c r="P201" s="354"/>
      <c r="Q201" s="240"/>
      <c r="R201" s="240"/>
      <c r="S201" s="240"/>
      <c r="T201" s="240"/>
      <c r="U201" s="240"/>
      <c r="V201" s="240"/>
      <c r="W201" s="240"/>
      <c r="X201" s="240"/>
      <c r="Y201" s="240"/>
      <c r="Z201" s="240"/>
      <c r="AA201" s="240"/>
      <c r="AB201" s="240"/>
      <c r="AD201" s="240"/>
      <c r="AE201" s="240"/>
      <c r="AF201" s="240"/>
      <c r="AG201" s="240"/>
      <c r="AH201" s="240"/>
      <c r="AI201" s="240"/>
      <c r="AJ201" s="240"/>
      <c r="AK201" s="240"/>
      <c r="AL201" s="240"/>
      <c r="AM201" s="240"/>
    </row>
    <row r="202" spans="1:39" ht="27" customHeight="1" x14ac:dyDescent="0.35">
      <c r="A202" s="240"/>
      <c r="B202" s="240"/>
      <c r="C202" s="240"/>
      <c r="D202" s="240"/>
      <c r="E202" s="240"/>
      <c r="F202" s="240"/>
      <c r="G202" s="240"/>
      <c r="H202" s="240"/>
      <c r="I202" s="240"/>
      <c r="J202" s="240"/>
      <c r="K202" s="354"/>
      <c r="L202" s="354"/>
      <c r="M202" s="354"/>
      <c r="N202" s="354"/>
      <c r="O202" s="354"/>
      <c r="P202" s="354"/>
      <c r="Q202" s="240"/>
      <c r="R202" s="240"/>
      <c r="S202" s="240"/>
      <c r="T202" s="240"/>
      <c r="U202" s="240"/>
      <c r="V202" s="240"/>
      <c r="W202" s="240"/>
      <c r="X202" s="240"/>
      <c r="Y202" s="240"/>
      <c r="Z202" s="240"/>
      <c r="AA202" s="240"/>
      <c r="AB202" s="240"/>
      <c r="AD202" s="240"/>
      <c r="AE202" s="240"/>
      <c r="AF202" s="240"/>
      <c r="AG202" s="240"/>
      <c r="AH202" s="240"/>
      <c r="AI202" s="240"/>
      <c r="AJ202" s="240"/>
      <c r="AK202" s="240"/>
      <c r="AL202" s="240"/>
      <c r="AM202" s="240"/>
    </row>
    <row r="203" spans="1:39" ht="27" customHeight="1" x14ac:dyDescent="0.35">
      <c r="A203" s="240"/>
      <c r="B203" s="240"/>
      <c r="C203" s="240"/>
      <c r="D203" s="240"/>
      <c r="E203" s="240"/>
      <c r="F203" s="240"/>
      <c r="G203" s="240"/>
      <c r="H203" s="240"/>
      <c r="I203" s="240"/>
      <c r="J203" s="240"/>
      <c r="K203" s="354"/>
      <c r="L203" s="354"/>
      <c r="M203" s="354"/>
      <c r="N203" s="354"/>
      <c r="O203" s="354"/>
      <c r="P203" s="354"/>
      <c r="Q203" s="240"/>
      <c r="R203" s="240"/>
      <c r="S203" s="240"/>
      <c r="T203" s="240"/>
      <c r="U203" s="240"/>
      <c r="V203" s="240"/>
      <c r="W203" s="240"/>
      <c r="X203" s="240"/>
      <c r="Y203" s="240"/>
      <c r="Z203" s="240"/>
      <c r="AA203" s="240"/>
      <c r="AB203" s="240"/>
      <c r="AD203" s="240"/>
      <c r="AE203" s="240"/>
      <c r="AF203" s="240"/>
      <c r="AG203" s="240"/>
      <c r="AH203" s="240"/>
      <c r="AI203" s="240"/>
      <c r="AJ203" s="240"/>
      <c r="AK203" s="240"/>
      <c r="AL203" s="240"/>
      <c r="AM203" s="240"/>
    </row>
    <row r="204" spans="1:39" ht="27" customHeight="1" x14ac:dyDescent="0.35">
      <c r="A204" s="240"/>
      <c r="B204" s="240"/>
      <c r="C204" s="240"/>
      <c r="D204" s="240"/>
      <c r="E204" s="240"/>
      <c r="F204" s="240"/>
      <c r="G204" s="240"/>
      <c r="H204" s="240"/>
      <c r="I204" s="240"/>
      <c r="J204" s="240"/>
      <c r="K204" s="354"/>
      <c r="L204" s="354"/>
      <c r="M204" s="354"/>
      <c r="N204" s="354"/>
      <c r="O204" s="354"/>
      <c r="P204" s="354"/>
      <c r="Q204" s="240"/>
      <c r="R204" s="240"/>
      <c r="S204" s="240"/>
      <c r="T204" s="240"/>
      <c r="U204" s="240"/>
      <c r="V204" s="240"/>
      <c r="W204" s="240"/>
      <c r="X204" s="240"/>
      <c r="Y204" s="240"/>
      <c r="Z204" s="240"/>
      <c r="AA204" s="240"/>
      <c r="AB204" s="240"/>
      <c r="AD204" s="240"/>
      <c r="AE204" s="240"/>
      <c r="AF204" s="240"/>
      <c r="AG204" s="240"/>
      <c r="AH204" s="240"/>
      <c r="AI204" s="240"/>
      <c r="AJ204" s="240"/>
      <c r="AK204" s="240"/>
      <c r="AL204" s="240"/>
      <c r="AM204" s="240"/>
    </row>
    <row r="205" spans="1:39" ht="27" customHeight="1" x14ac:dyDescent="0.35">
      <c r="A205" s="240"/>
      <c r="B205" s="240"/>
      <c r="C205" s="240"/>
      <c r="D205" s="240"/>
      <c r="E205" s="240"/>
      <c r="F205" s="240"/>
      <c r="G205" s="240"/>
      <c r="H205" s="240"/>
      <c r="I205" s="240"/>
      <c r="J205" s="240"/>
      <c r="K205" s="354"/>
      <c r="L205" s="354"/>
      <c r="M205" s="354"/>
      <c r="N205" s="354"/>
      <c r="O205" s="354"/>
      <c r="P205" s="354"/>
      <c r="Q205" s="240"/>
      <c r="R205" s="240"/>
      <c r="S205" s="240"/>
      <c r="T205" s="240"/>
      <c r="U205" s="240"/>
      <c r="V205" s="240"/>
      <c r="W205" s="240"/>
      <c r="X205" s="240"/>
      <c r="Y205" s="240"/>
      <c r="Z205" s="240"/>
      <c r="AA205" s="240"/>
      <c r="AB205" s="240"/>
      <c r="AD205" s="240"/>
      <c r="AE205" s="240"/>
      <c r="AF205" s="240"/>
      <c r="AG205" s="240"/>
      <c r="AH205" s="240"/>
      <c r="AI205" s="240"/>
      <c r="AJ205" s="240"/>
      <c r="AK205" s="240"/>
      <c r="AL205" s="240"/>
      <c r="AM205" s="240"/>
    </row>
    <row r="206" spans="1:39" ht="27" customHeight="1" x14ac:dyDescent="0.35">
      <c r="A206" s="240"/>
      <c r="B206" s="240"/>
      <c r="C206" s="240"/>
      <c r="D206" s="240"/>
      <c r="E206" s="240"/>
      <c r="F206" s="240"/>
      <c r="G206" s="240"/>
      <c r="H206" s="240"/>
      <c r="I206" s="240"/>
      <c r="J206" s="240"/>
      <c r="K206" s="354"/>
      <c r="L206" s="354"/>
      <c r="M206" s="354"/>
      <c r="N206" s="354"/>
      <c r="O206" s="354"/>
      <c r="P206" s="354"/>
      <c r="Q206" s="240"/>
      <c r="R206" s="240"/>
      <c r="S206" s="240"/>
      <c r="T206" s="240"/>
      <c r="U206" s="240"/>
      <c r="V206" s="240"/>
      <c r="W206" s="240"/>
      <c r="X206" s="240"/>
      <c r="Y206" s="240"/>
      <c r="Z206" s="240"/>
      <c r="AA206" s="240"/>
      <c r="AB206" s="240"/>
      <c r="AD206" s="240"/>
      <c r="AE206" s="240"/>
      <c r="AF206" s="240"/>
      <c r="AG206" s="240"/>
      <c r="AH206" s="240"/>
      <c r="AI206" s="240"/>
      <c r="AJ206" s="240"/>
      <c r="AK206" s="240"/>
      <c r="AL206" s="240"/>
      <c r="AM206" s="240"/>
    </row>
    <row r="207" spans="1:39" ht="27" customHeight="1" x14ac:dyDescent="0.35">
      <c r="A207" s="240"/>
      <c r="B207" s="240"/>
      <c r="C207" s="240"/>
      <c r="D207" s="240"/>
      <c r="E207" s="240"/>
      <c r="F207" s="240"/>
      <c r="G207" s="240"/>
      <c r="H207" s="240"/>
      <c r="I207" s="240"/>
      <c r="J207" s="240"/>
      <c r="K207" s="354"/>
      <c r="L207" s="354"/>
      <c r="M207" s="354"/>
      <c r="N207" s="354"/>
      <c r="O207" s="354"/>
      <c r="P207" s="354"/>
      <c r="Q207" s="240"/>
      <c r="R207" s="240"/>
      <c r="S207" s="240"/>
      <c r="T207" s="240"/>
      <c r="U207" s="240"/>
      <c r="V207" s="240"/>
      <c r="W207" s="240"/>
      <c r="X207" s="240"/>
      <c r="Y207" s="240"/>
      <c r="Z207" s="240"/>
      <c r="AA207" s="240"/>
      <c r="AB207" s="240"/>
      <c r="AD207" s="240"/>
      <c r="AE207" s="240"/>
      <c r="AF207" s="240"/>
      <c r="AG207" s="240"/>
      <c r="AH207" s="240"/>
      <c r="AI207" s="240"/>
      <c r="AJ207" s="240"/>
      <c r="AK207" s="240"/>
      <c r="AL207" s="240"/>
      <c r="AM207" s="240"/>
    </row>
    <row r="208" spans="1:39" ht="27" customHeight="1" x14ac:dyDescent="0.35">
      <c r="A208" s="240"/>
      <c r="B208" s="240"/>
      <c r="C208" s="240"/>
      <c r="D208" s="240"/>
      <c r="E208" s="240"/>
      <c r="F208" s="240"/>
      <c r="G208" s="240"/>
      <c r="H208" s="240"/>
      <c r="I208" s="240"/>
      <c r="J208" s="240"/>
      <c r="K208" s="240"/>
      <c r="L208" s="240"/>
      <c r="M208" s="240"/>
      <c r="N208" s="240"/>
      <c r="O208" s="240"/>
      <c r="P208" s="240"/>
      <c r="Q208" s="240"/>
      <c r="R208" s="240"/>
      <c r="S208" s="240"/>
      <c r="T208" s="240"/>
      <c r="U208" s="240"/>
      <c r="V208" s="240"/>
      <c r="W208" s="240"/>
      <c r="X208" s="240"/>
      <c r="Y208" s="240"/>
      <c r="Z208" s="240"/>
      <c r="AA208" s="240"/>
      <c r="AB208" s="240"/>
      <c r="AD208" s="240"/>
      <c r="AE208" s="240"/>
      <c r="AF208" s="240"/>
      <c r="AG208" s="240"/>
      <c r="AH208" s="240"/>
      <c r="AI208" s="240"/>
      <c r="AJ208" s="240"/>
      <c r="AK208" s="240"/>
      <c r="AL208" s="240"/>
      <c r="AM208" s="240"/>
    </row>
    <row r="209" spans="1:39" ht="27" customHeight="1" x14ac:dyDescent="0.35">
      <c r="A209" s="240"/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356"/>
      <c r="M209" s="356"/>
      <c r="N209" s="356"/>
      <c r="O209" s="356"/>
      <c r="P209" s="356"/>
      <c r="Q209" s="240"/>
      <c r="R209" s="240"/>
      <c r="S209" s="240"/>
      <c r="T209" s="240"/>
      <c r="U209" s="240"/>
      <c r="V209" s="240"/>
      <c r="W209" s="240"/>
      <c r="X209" s="240"/>
      <c r="Y209" s="240"/>
      <c r="Z209" s="240"/>
      <c r="AA209" s="240"/>
      <c r="AB209" s="240"/>
      <c r="AD209" s="240"/>
      <c r="AE209" s="240"/>
      <c r="AF209" s="240"/>
      <c r="AG209" s="240"/>
      <c r="AH209" s="240"/>
      <c r="AI209" s="240"/>
      <c r="AJ209" s="240"/>
      <c r="AK209" s="240"/>
      <c r="AL209" s="240"/>
      <c r="AM209" s="240"/>
    </row>
    <row r="210" spans="1:39" ht="27" customHeight="1" x14ac:dyDescent="0.35">
      <c r="A210" s="240"/>
      <c r="B210" s="240"/>
      <c r="C210" s="240"/>
      <c r="D210" s="240"/>
      <c r="E210" s="240"/>
      <c r="F210" s="240"/>
      <c r="G210" s="240"/>
      <c r="H210" s="240"/>
      <c r="I210" s="240"/>
      <c r="J210" s="240"/>
      <c r="K210" s="240"/>
      <c r="L210" s="356"/>
      <c r="M210" s="356"/>
      <c r="N210" s="356"/>
      <c r="O210" s="356"/>
      <c r="P210" s="356"/>
      <c r="Q210" s="240"/>
      <c r="R210" s="240"/>
      <c r="S210" s="240"/>
      <c r="T210" s="240"/>
      <c r="U210" s="240"/>
      <c r="V210" s="240"/>
      <c r="W210" s="240"/>
      <c r="X210" s="240"/>
      <c r="Y210" s="240"/>
      <c r="Z210" s="240"/>
      <c r="AA210" s="240"/>
      <c r="AB210" s="240"/>
      <c r="AD210" s="240"/>
      <c r="AE210" s="240"/>
      <c r="AF210" s="240"/>
      <c r="AG210" s="240"/>
      <c r="AH210" s="240"/>
      <c r="AI210" s="240"/>
      <c r="AJ210" s="240"/>
      <c r="AK210" s="240"/>
      <c r="AL210" s="240"/>
      <c r="AM210" s="240"/>
    </row>
    <row r="211" spans="1:39" ht="27" customHeight="1" x14ac:dyDescent="0.35">
      <c r="A211" s="240"/>
      <c r="B211" s="240"/>
      <c r="C211" s="240"/>
      <c r="D211" s="240"/>
      <c r="E211" s="240"/>
      <c r="F211" s="240"/>
      <c r="G211" s="240"/>
      <c r="H211" s="240"/>
      <c r="I211" s="240"/>
      <c r="J211" s="240"/>
      <c r="K211" s="358"/>
      <c r="L211" s="358"/>
      <c r="M211" s="358"/>
      <c r="N211" s="358"/>
      <c r="O211" s="358"/>
      <c r="P211" s="358"/>
      <c r="Q211" s="240"/>
      <c r="R211" s="240"/>
      <c r="S211" s="240"/>
      <c r="T211" s="240"/>
      <c r="U211" s="240"/>
      <c r="V211" s="240"/>
      <c r="W211" s="240"/>
      <c r="X211" s="240"/>
      <c r="Y211" s="240"/>
      <c r="Z211" s="240"/>
      <c r="AA211" s="240"/>
      <c r="AB211" s="240"/>
      <c r="AD211" s="240"/>
      <c r="AE211" s="240"/>
      <c r="AF211" s="240"/>
      <c r="AG211" s="240"/>
      <c r="AH211" s="240"/>
      <c r="AI211" s="240"/>
      <c r="AJ211" s="240"/>
      <c r="AK211" s="240"/>
      <c r="AL211" s="240"/>
      <c r="AM211" s="240"/>
    </row>
    <row r="212" spans="1:39" ht="27" customHeight="1" x14ac:dyDescent="0.35">
      <c r="A212" s="240"/>
      <c r="B212" s="240"/>
      <c r="C212" s="240"/>
      <c r="D212" s="240"/>
      <c r="E212" s="240"/>
      <c r="F212" s="240"/>
      <c r="G212" s="240"/>
      <c r="H212" s="240"/>
      <c r="I212" s="240"/>
      <c r="J212" s="240"/>
      <c r="K212" s="358"/>
      <c r="L212" s="358"/>
      <c r="M212" s="358"/>
      <c r="N212" s="358"/>
      <c r="O212" s="359"/>
      <c r="P212" s="349"/>
      <c r="Q212" s="240"/>
      <c r="R212" s="240"/>
      <c r="S212" s="240"/>
      <c r="T212" s="240"/>
      <c r="U212" s="240"/>
      <c r="V212" s="240"/>
      <c r="W212" s="240"/>
      <c r="X212" s="240"/>
      <c r="Y212" s="240"/>
      <c r="Z212" s="240"/>
      <c r="AA212" s="240"/>
      <c r="AB212" s="240"/>
      <c r="AD212" s="240"/>
      <c r="AE212" s="240"/>
      <c r="AF212" s="240"/>
      <c r="AG212" s="240"/>
      <c r="AH212" s="240"/>
      <c r="AI212" s="240"/>
      <c r="AJ212" s="240"/>
      <c r="AK212" s="240"/>
      <c r="AL212" s="240"/>
      <c r="AM212" s="240"/>
    </row>
    <row r="213" spans="1:39" ht="27" customHeight="1" x14ac:dyDescent="0.35">
      <c r="A213" s="240"/>
      <c r="B213" s="240"/>
      <c r="C213" s="240"/>
      <c r="D213" s="240"/>
      <c r="E213" s="240"/>
      <c r="F213" s="240"/>
      <c r="G213" s="240"/>
      <c r="H213" s="240"/>
      <c r="I213" s="240"/>
      <c r="J213" s="240"/>
      <c r="K213" s="349"/>
      <c r="L213" s="349"/>
      <c r="M213" s="349"/>
      <c r="N213" s="349"/>
      <c r="O213" s="349"/>
      <c r="P213" s="349"/>
      <c r="Q213" s="240"/>
      <c r="R213" s="240"/>
      <c r="S213" s="240"/>
      <c r="T213" s="240"/>
      <c r="U213" s="240"/>
      <c r="V213" s="240"/>
      <c r="W213" s="240"/>
      <c r="X213" s="240"/>
      <c r="Y213" s="240"/>
      <c r="Z213" s="240"/>
      <c r="AA213" s="240"/>
      <c r="AB213" s="240"/>
      <c r="AD213" s="240"/>
      <c r="AE213" s="240"/>
      <c r="AF213" s="240"/>
      <c r="AG213" s="240"/>
      <c r="AH213" s="240"/>
      <c r="AI213" s="240"/>
      <c r="AJ213" s="240"/>
      <c r="AK213" s="240"/>
      <c r="AL213" s="240"/>
      <c r="AM213" s="240"/>
    </row>
    <row r="214" spans="1:39" ht="27" customHeight="1" x14ac:dyDescent="0.35">
      <c r="A214" s="240"/>
      <c r="B214" s="240"/>
      <c r="C214" s="240"/>
      <c r="D214" s="240"/>
      <c r="E214" s="240"/>
      <c r="F214" s="240"/>
      <c r="G214" s="240"/>
      <c r="H214" s="240"/>
      <c r="I214" s="240"/>
      <c r="J214" s="240"/>
      <c r="K214" s="349"/>
      <c r="L214" s="349"/>
      <c r="M214" s="349"/>
      <c r="N214" s="349"/>
      <c r="O214" s="349"/>
      <c r="P214" s="349"/>
      <c r="Q214" s="240"/>
      <c r="R214" s="240"/>
      <c r="S214" s="240"/>
      <c r="T214" s="240"/>
      <c r="U214" s="240"/>
      <c r="V214" s="240"/>
      <c r="W214" s="240"/>
      <c r="X214" s="240"/>
      <c r="Y214" s="240"/>
      <c r="Z214" s="240"/>
      <c r="AA214" s="240"/>
      <c r="AB214" s="240"/>
      <c r="AD214" s="240"/>
      <c r="AE214" s="240"/>
      <c r="AF214" s="240"/>
      <c r="AG214" s="240"/>
      <c r="AH214" s="240"/>
      <c r="AI214" s="240"/>
      <c r="AJ214" s="240"/>
      <c r="AK214" s="240"/>
      <c r="AL214" s="240"/>
      <c r="AM214" s="240"/>
    </row>
    <row r="215" spans="1:39" ht="27" customHeight="1" x14ac:dyDescent="0.35">
      <c r="A215" s="240"/>
      <c r="B215" s="240"/>
      <c r="C215" s="240"/>
      <c r="D215" s="240"/>
      <c r="E215" s="240"/>
      <c r="F215" s="240"/>
      <c r="G215" s="240"/>
      <c r="H215" s="240"/>
      <c r="I215" s="240"/>
      <c r="J215" s="240"/>
      <c r="K215" s="349"/>
      <c r="L215" s="349"/>
      <c r="M215" s="349"/>
      <c r="N215" s="349"/>
      <c r="O215" s="349"/>
      <c r="P215" s="349"/>
      <c r="Q215" s="240"/>
      <c r="R215" s="240"/>
      <c r="S215" s="240"/>
      <c r="T215" s="240"/>
      <c r="U215" s="240"/>
      <c r="V215" s="240"/>
      <c r="W215" s="240"/>
      <c r="X215" s="240"/>
      <c r="Y215" s="240"/>
      <c r="Z215" s="240"/>
      <c r="AA215" s="240"/>
      <c r="AB215" s="240"/>
      <c r="AD215" s="240"/>
      <c r="AE215" s="240"/>
      <c r="AF215" s="240"/>
      <c r="AG215" s="240"/>
      <c r="AH215" s="240"/>
      <c r="AI215" s="240"/>
      <c r="AJ215" s="240"/>
      <c r="AK215" s="240"/>
      <c r="AL215" s="240"/>
      <c r="AM215" s="240"/>
    </row>
    <row r="216" spans="1:39" ht="27" customHeight="1" x14ac:dyDescent="0.35">
      <c r="A216" s="240"/>
      <c r="B216" s="240"/>
      <c r="C216" s="240"/>
      <c r="D216" s="240"/>
      <c r="E216" s="240"/>
      <c r="F216" s="240"/>
      <c r="G216" s="240"/>
      <c r="H216" s="240"/>
      <c r="I216" s="240"/>
      <c r="J216" s="240"/>
      <c r="K216" s="349"/>
      <c r="L216" s="349"/>
      <c r="M216" s="349"/>
      <c r="N216" s="349"/>
      <c r="O216" s="349"/>
      <c r="P216" s="349"/>
      <c r="Q216" s="240"/>
      <c r="R216" s="240"/>
      <c r="S216" s="240"/>
      <c r="T216" s="240"/>
      <c r="U216" s="240"/>
      <c r="V216" s="240"/>
      <c r="W216" s="240"/>
      <c r="X216" s="240"/>
      <c r="Y216" s="240"/>
      <c r="Z216" s="240"/>
      <c r="AA216" s="240"/>
      <c r="AB216" s="240"/>
      <c r="AD216" s="240"/>
      <c r="AE216" s="240"/>
      <c r="AF216" s="240"/>
      <c r="AG216" s="240"/>
      <c r="AH216" s="240"/>
      <c r="AI216" s="240"/>
      <c r="AJ216" s="240"/>
      <c r="AK216" s="240"/>
      <c r="AL216" s="240"/>
      <c r="AM216" s="240"/>
    </row>
    <row r="217" spans="1:39" ht="27" customHeight="1" x14ac:dyDescent="0.35">
      <c r="A217" s="240"/>
      <c r="B217" s="240"/>
      <c r="C217" s="240"/>
      <c r="D217" s="240"/>
      <c r="E217" s="240"/>
      <c r="F217" s="240"/>
      <c r="G217" s="240"/>
      <c r="H217" s="240"/>
      <c r="I217" s="240"/>
      <c r="J217" s="240"/>
      <c r="K217" s="349"/>
      <c r="L217" s="349"/>
      <c r="M217" s="349"/>
      <c r="N217" s="349"/>
      <c r="O217" s="349"/>
      <c r="P217" s="349"/>
      <c r="Q217" s="240"/>
      <c r="R217" s="240"/>
      <c r="S217" s="240"/>
      <c r="T217" s="240"/>
      <c r="U217" s="240"/>
      <c r="V217" s="240"/>
      <c r="W217" s="240"/>
      <c r="X217" s="240"/>
      <c r="Y217" s="240"/>
      <c r="Z217" s="240"/>
      <c r="AA217" s="240"/>
      <c r="AB217" s="240"/>
      <c r="AD217" s="240"/>
      <c r="AE217" s="240"/>
      <c r="AF217" s="240"/>
      <c r="AG217" s="240"/>
      <c r="AH217" s="240"/>
      <c r="AI217" s="240"/>
      <c r="AJ217" s="240"/>
      <c r="AK217" s="240"/>
      <c r="AL217" s="240"/>
      <c r="AM217" s="240"/>
    </row>
    <row r="218" spans="1:39" ht="27" customHeight="1" x14ac:dyDescent="0.35">
      <c r="A218" s="240"/>
      <c r="B218" s="240"/>
      <c r="C218" s="240"/>
      <c r="D218" s="240"/>
      <c r="E218" s="240"/>
      <c r="F218" s="240"/>
      <c r="G218" s="240"/>
      <c r="H218" s="240"/>
      <c r="I218" s="240"/>
      <c r="J218" s="240"/>
      <c r="K218" s="349"/>
      <c r="L218" s="349"/>
      <c r="M218" s="349"/>
      <c r="N218" s="349"/>
      <c r="O218" s="349"/>
      <c r="P218" s="349"/>
      <c r="Q218" s="240"/>
      <c r="R218" s="240"/>
      <c r="S218" s="240"/>
      <c r="T218" s="240"/>
      <c r="U218" s="240"/>
      <c r="V218" s="240"/>
      <c r="W218" s="240"/>
      <c r="X218" s="240"/>
      <c r="Y218" s="240"/>
      <c r="Z218" s="240"/>
      <c r="AA218" s="240"/>
      <c r="AB218" s="240"/>
      <c r="AD218" s="240"/>
      <c r="AE218" s="240"/>
      <c r="AF218" s="240"/>
      <c r="AG218" s="240"/>
      <c r="AH218" s="240"/>
      <c r="AI218" s="240"/>
      <c r="AJ218" s="240"/>
      <c r="AK218" s="240"/>
      <c r="AL218" s="240"/>
      <c r="AM218" s="240"/>
    </row>
    <row r="219" spans="1:39" ht="27" customHeight="1" x14ac:dyDescent="0.35">
      <c r="A219" s="240"/>
      <c r="B219" s="240"/>
      <c r="C219" s="240"/>
      <c r="D219" s="240"/>
      <c r="E219" s="240"/>
      <c r="F219" s="240"/>
      <c r="G219" s="240"/>
      <c r="H219" s="240"/>
      <c r="I219" s="240"/>
      <c r="J219" s="240"/>
      <c r="K219" s="349"/>
      <c r="L219" s="349"/>
      <c r="M219" s="349"/>
      <c r="N219" s="349"/>
      <c r="O219" s="349"/>
      <c r="P219" s="349"/>
      <c r="Q219" s="240"/>
      <c r="R219" s="240"/>
      <c r="S219" s="240"/>
      <c r="T219" s="240"/>
      <c r="U219" s="240"/>
      <c r="V219" s="240"/>
      <c r="W219" s="240"/>
      <c r="X219" s="240"/>
      <c r="Y219" s="240"/>
      <c r="Z219" s="240"/>
      <c r="AA219" s="240"/>
      <c r="AB219" s="240"/>
      <c r="AD219" s="240"/>
      <c r="AE219" s="240"/>
      <c r="AF219" s="240"/>
      <c r="AG219" s="240"/>
      <c r="AH219" s="240"/>
      <c r="AI219" s="240"/>
      <c r="AJ219" s="240"/>
      <c r="AK219" s="240"/>
      <c r="AL219" s="240"/>
      <c r="AM219" s="240"/>
    </row>
    <row r="220" spans="1:39" ht="27" customHeight="1" x14ac:dyDescent="0.35">
      <c r="A220" s="240"/>
      <c r="B220" s="240"/>
      <c r="C220" s="240"/>
      <c r="D220" s="240"/>
      <c r="E220" s="240"/>
      <c r="F220" s="240"/>
      <c r="G220" s="240"/>
      <c r="H220" s="240"/>
      <c r="I220" s="240"/>
      <c r="J220" s="240"/>
      <c r="K220" s="349"/>
      <c r="L220" s="349"/>
      <c r="M220" s="349"/>
      <c r="N220" s="349"/>
      <c r="O220" s="349"/>
      <c r="P220" s="349"/>
      <c r="Q220" s="240"/>
      <c r="R220" s="240"/>
      <c r="S220" s="240"/>
      <c r="T220" s="240"/>
      <c r="U220" s="240"/>
      <c r="V220" s="240"/>
      <c r="W220" s="240"/>
      <c r="X220" s="240"/>
      <c r="Y220" s="240"/>
      <c r="Z220" s="240"/>
      <c r="AA220" s="240"/>
      <c r="AB220" s="240"/>
      <c r="AD220" s="240"/>
      <c r="AE220" s="240"/>
      <c r="AF220" s="240"/>
      <c r="AG220" s="240"/>
      <c r="AH220" s="240"/>
      <c r="AI220" s="240"/>
      <c r="AJ220" s="240"/>
      <c r="AK220" s="240"/>
      <c r="AL220" s="240"/>
      <c r="AM220" s="240"/>
    </row>
    <row r="221" spans="1:39" ht="27" customHeight="1" x14ac:dyDescent="0.35">
      <c r="A221" s="240"/>
      <c r="B221" s="240"/>
      <c r="C221" s="240"/>
      <c r="D221" s="240"/>
      <c r="E221" s="240"/>
      <c r="F221" s="240"/>
      <c r="G221" s="240"/>
      <c r="H221" s="240"/>
      <c r="I221" s="240"/>
      <c r="J221" s="240"/>
      <c r="K221" s="240"/>
      <c r="L221" s="240"/>
      <c r="M221" s="240"/>
      <c r="N221" s="240"/>
      <c r="O221" s="240"/>
      <c r="P221" s="240"/>
      <c r="Q221" s="240"/>
      <c r="R221" s="240"/>
      <c r="S221" s="240"/>
      <c r="T221" s="240"/>
      <c r="U221" s="240"/>
      <c r="V221" s="240"/>
      <c r="W221" s="240"/>
      <c r="X221" s="240"/>
      <c r="Y221" s="240"/>
      <c r="Z221" s="240"/>
      <c r="AA221" s="240"/>
      <c r="AB221" s="240"/>
      <c r="AD221" s="240"/>
      <c r="AE221" s="240"/>
      <c r="AF221" s="240"/>
      <c r="AG221" s="240"/>
      <c r="AH221" s="240"/>
      <c r="AI221" s="240"/>
      <c r="AJ221" s="240"/>
      <c r="AK221" s="240"/>
      <c r="AL221" s="240"/>
      <c r="AM221" s="240"/>
    </row>
    <row r="222" spans="1:39" ht="27" customHeight="1" x14ac:dyDescent="0.35">
      <c r="A222" s="240"/>
      <c r="B222" s="240"/>
      <c r="C222" s="240"/>
      <c r="D222" s="240"/>
      <c r="E222" s="240"/>
      <c r="F222" s="240"/>
      <c r="G222" s="240"/>
      <c r="H222" s="240"/>
      <c r="I222" s="240"/>
      <c r="J222" s="240"/>
      <c r="K222" s="240"/>
      <c r="L222" s="240"/>
      <c r="M222" s="240"/>
      <c r="N222" s="240"/>
      <c r="O222" s="240"/>
      <c r="P222" s="240"/>
      <c r="Q222" s="240"/>
      <c r="R222" s="240"/>
      <c r="S222" s="240"/>
      <c r="T222" s="240"/>
      <c r="U222" s="240"/>
      <c r="V222" s="240"/>
      <c r="W222" s="240"/>
      <c r="X222" s="240"/>
      <c r="Y222" s="240"/>
      <c r="Z222" s="240"/>
      <c r="AA222" s="240"/>
      <c r="AB222" s="240"/>
      <c r="AD222" s="240"/>
      <c r="AE222" s="240"/>
      <c r="AF222" s="240"/>
      <c r="AG222" s="240"/>
      <c r="AH222" s="240"/>
      <c r="AI222" s="240"/>
      <c r="AJ222" s="240"/>
      <c r="AK222" s="240"/>
      <c r="AL222" s="240"/>
      <c r="AM222" s="240"/>
    </row>
    <row r="223" spans="1:39" ht="27" customHeight="1" x14ac:dyDescent="0.35">
      <c r="A223" s="240"/>
      <c r="B223" s="240"/>
      <c r="C223" s="240"/>
      <c r="D223" s="240"/>
      <c r="E223" s="240"/>
      <c r="F223" s="240"/>
      <c r="G223" s="240"/>
      <c r="H223" s="240"/>
      <c r="I223" s="240"/>
      <c r="J223" s="240"/>
      <c r="K223" s="357"/>
      <c r="L223" s="357"/>
      <c r="M223" s="357"/>
      <c r="N223" s="357"/>
      <c r="O223" s="357"/>
      <c r="P223" s="357"/>
      <c r="Q223" s="240"/>
      <c r="R223" s="240"/>
      <c r="S223" s="240"/>
      <c r="T223" s="240"/>
      <c r="U223" s="240"/>
      <c r="V223" s="240"/>
      <c r="W223" s="240"/>
      <c r="X223" s="240"/>
      <c r="Y223" s="240"/>
      <c r="Z223" s="240"/>
      <c r="AA223" s="240"/>
      <c r="AB223" s="240"/>
      <c r="AD223" s="240"/>
      <c r="AE223" s="240"/>
      <c r="AF223" s="240"/>
      <c r="AG223" s="240"/>
      <c r="AH223" s="240"/>
      <c r="AI223" s="240"/>
      <c r="AJ223" s="240"/>
      <c r="AK223" s="240"/>
      <c r="AL223" s="240"/>
      <c r="AM223" s="240"/>
    </row>
    <row r="224" spans="1:39" ht="27" customHeight="1" x14ac:dyDescent="0.35">
      <c r="A224" s="240"/>
      <c r="B224" s="240"/>
      <c r="C224" s="240"/>
      <c r="D224" s="240"/>
      <c r="E224" s="240"/>
      <c r="F224" s="240"/>
      <c r="G224" s="240"/>
      <c r="H224" s="240"/>
      <c r="I224" s="240"/>
      <c r="J224" s="240"/>
      <c r="K224" s="357"/>
      <c r="L224" s="357"/>
      <c r="M224" s="357"/>
      <c r="N224" s="357"/>
      <c r="O224" s="354"/>
      <c r="P224" s="354"/>
      <c r="Q224" s="240"/>
      <c r="R224" s="240"/>
      <c r="S224" s="240"/>
      <c r="T224" s="240"/>
      <c r="U224" s="240"/>
      <c r="V224" s="240"/>
      <c r="W224" s="240"/>
      <c r="X224" s="240"/>
      <c r="Y224" s="240"/>
      <c r="Z224" s="240"/>
      <c r="AA224" s="240"/>
      <c r="AB224" s="240"/>
      <c r="AD224" s="240"/>
      <c r="AE224" s="240"/>
      <c r="AF224" s="240"/>
      <c r="AG224" s="240"/>
      <c r="AH224" s="240"/>
      <c r="AI224" s="240"/>
      <c r="AJ224" s="240"/>
      <c r="AK224" s="240"/>
      <c r="AL224" s="240"/>
      <c r="AM224" s="240"/>
    </row>
    <row r="225" spans="1:39" ht="27" customHeight="1" x14ac:dyDescent="0.35">
      <c r="A225" s="240"/>
      <c r="B225" s="240"/>
      <c r="C225" s="240"/>
      <c r="D225" s="240"/>
      <c r="E225" s="240"/>
      <c r="F225" s="240"/>
      <c r="G225" s="240"/>
      <c r="H225" s="240"/>
      <c r="I225" s="240"/>
      <c r="J225" s="240"/>
      <c r="K225" s="354"/>
      <c r="L225" s="354"/>
      <c r="M225" s="354"/>
      <c r="N225" s="354"/>
      <c r="O225" s="354"/>
      <c r="P225" s="354"/>
      <c r="Q225" s="240"/>
      <c r="R225" s="240"/>
      <c r="S225" s="240"/>
      <c r="T225" s="240"/>
      <c r="U225" s="240"/>
      <c r="V225" s="240"/>
      <c r="W225" s="240"/>
      <c r="X225" s="240"/>
      <c r="Y225" s="240"/>
      <c r="Z225" s="240"/>
      <c r="AA225" s="240"/>
      <c r="AB225" s="240"/>
      <c r="AD225" s="240"/>
      <c r="AE225" s="240"/>
      <c r="AF225" s="240"/>
      <c r="AG225" s="240"/>
      <c r="AH225" s="240"/>
      <c r="AI225" s="240"/>
      <c r="AJ225" s="240"/>
      <c r="AK225" s="240"/>
      <c r="AL225" s="240"/>
      <c r="AM225" s="240"/>
    </row>
    <row r="226" spans="1:39" ht="27" customHeight="1" x14ac:dyDescent="0.35">
      <c r="A226" s="240"/>
      <c r="B226" s="240"/>
      <c r="C226" s="240"/>
      <c r="D226" s="240"/>
      <c r="E226" s="240"/>
      <c r="F226" s="240"/>
      <c r="G226" s="240"/>
      <c r="H226" s="240"/>
      <c r="I226" s="240"/>
      <c r="J226" s="240"/>
      <c r="K226" s="354"/>
      <c r="L226" s="354"/>
      <c r="M226" s="354"/>
      <c r="N226" s="354"/>
      <c r="O226" s="354"/>
      <c r="P226" s="354"/>
      <c r="Q226" s="240"/>
      <c r="R226" s="240"/>
      <c r="S226" s="240"/>
      <c r="T226" s="240"/>
      <c r="U226" s="240"/>
      <c r="V226" s="240"/>
      <c r="W226" s="240"/>
      <c r="X226" s="240"/>
      <c r="Y226" s="240"/>
      <c r="Z226" s="240"/>
      <c r="AA226" s="240"/>
      <c r="AB226" s="240"/>
      <c r="AD226" s="240"/>
      <c r="AE226" s="240"/>
      <c r="AF226" s="240"/>
      <c r="AG226" s="240"/>
      <c r="AH226" s="240"/>
      <c r="AI226" s="240"/>
      <c r="AJ226" s="240"/>
      <c r="AK226" s="240"/>
      <c r="AL226" s="240"/>
      <c r="AM226" s="240"/>
    </row>
    <row r="227" spans="1:39" ht="27" customHeight="1" x14ac:dyDescent="0.35">
      <c r="A227" s="240"/>
      <c r="B227" s="240"/>
      <c r="C227" s="240"/>
      <c r="D227" s="240"/>
      <c r="E227" s="240"/>
      <c r="F227" s="240"/>
      <c r="G227" s="240"/>
      <c r="H227" s="240"/>
      <c r="I227" s="240"/>
      <c r="J227" s="240"/>
      <c r="K227" s="354"/>
      <c r="L227" s="354"/>
      <c r="M227" s="354"/>
      <c r="N227" s="354"/>
      <c r="O227" s="354"/>
      <c r="P227" s="354"/>
      <c r="Q227" s="240"/>
      <c r="R227" s="240"/>
      <c r="S227" s="240"/>
      <c r="T227" s="240"/>
      <c r="U227" s="240"/>
      <c r="V227" s="240"/>
      <c r="W227" s="240"/>
      <c r="X227" s="240"/>
      <c r="Y227" s="240"/>
      <c r="Z227" s="240"/>
      <c r="AA227" s="240"/>
      <c r="AB227" s="240"/>
      <c r="AD227" s="240"/>
      <c r="AE227" s="240"/>
      <c r="AF227" s="240"/>
      <c r="AG227" s="240"/>
      <c r="AH227" s="240"/>
      <c r="AI227" s="240"/>
      <c r="AJ227" s="240"/>
      <c r="AK227" s="240"/>
      <c r="AL227" s="240"/>
      <c r="AM227" s="240"/>
    </row>
    <row r="228" spans="1:39" ht="27" customHeight="1" x14ac:dyDescent="0.35">
      <c r="A228" s="240"/>
      <c r="B228" s="240"/>
      <c r="C228" s="240"/>
      <c r="D228" s="240"/>
      <c r="E228" s="240"/>
      <c r="F228" s="240"/>
      <c r="G228" s="240"/>
      <c r="H228" s="240"/>
      <c r="I228" s="240"/>
      <c r="J228" s="240"/>
      <c r="K228" s="354"/>
      <c r="L228" s="354"/>
      <c r="M228" s="354"/>
      <c r="N228" s="354"/>
      <c r="O228" s="354"/>
      <c r="P228" s="354"/>
      <c r="Q228" s="240"/>
      <c r="R228" s="240"/>
      <c r="S228" s="240"/>
      <c r="T228" s="240"/>
      <c r="U228" s="240"/>
      <c r="V228" s="240"/>
      <c r="W228" s="240"/>
      <c r="X228" s="240"/>
      <c r="Y228" s="240"/>
      <c r="Z228" s="240"/>
      <c r="AA228" s="240"/>
      <c r="AB228" s="240"/>
      <c r="AD228" s="240"/>
      <c r="AE228" s="240"/>
      <c r="AF228" s="240"/>
      <c r="AG228" s="240"/>
      <c r="AH228" s="240"/>
      <c r="AI228" s="240"/>
      <c r="AJ228" s="240"/>
      <c r="AK228" s="240"/>
      <c r="AL228" s="240"/>
      <c r="AM228" s="240"/>
    </row>
    <row r="229" spans="1:39" ht="27" customHeight="1" x14ac:dyDescent="0.35">
      <c r="A229" s="240"/>
      <c r="B229" s="240"/>
      <c r="C229" s="240"/>
      <c r="D229" s="240"/>
      <c r="E229" s="240"/>
      <c r="F229" s="240"/>
      <c r="G229" s="240"/>
      <c r="H229" s="240"/>
      <c r="I229" s="240"/>
      <c r="J229" s="240"/>
      <c r="K229" s="354"/>
      <c r="L229" s="354"/>
      <c r="M229" s="354"/>
      <c r="N229" s="354"/>
      <c r="O229" s="354"/>
      <c r="P229" s="354"/>
      <c r="Q229" s="240"/>
      <c r="R229" s="240"/>
      <c r="S229" s="240"/>
      <c r="T229" s="240"/>
      <c r="U229" s="240"/>
      <c r="V229" s="240"/>
      <c r="W229" s="240"/>
      <c r="X229" s="240"/>
      <c r="Y229" s="240"/>
      <c r="Z229" s="240"/>
      <c r="AA229" s="240"/>
      <c r="AB229" s="240"/>
      <c r="AD229" s="240"/>
      <c r="AE229" s="240"/>
      <c r="AF229" s="240"/>
      <c r="AG229" s="240"/>
      <c r="AH229" s="240"/>
      <c r="AI229" s="240"/>
      <c r="AJ229" s="240"/>
      <c r="AK229" s="240"/>
      <c r="AL229" s="240"/>
      <c r="AM229" s="240"/>
    </row>
    <row r="230" spans="1:39" ht="27" customHeight="1" x14ac:dyDescent="0.35">
      <c r="A230" s="240"/>
      <c r="B230" s="240"/>
      <c r="C230" s="240"/>
      <c r="D230" s="240"/>
      <c r="E230" s="240"/>
      <c r="F230" s="240"/>
      <c r="G230" s="240"/>
      <c r="H230" s="240"/>
      <c r="I230" s="240"/>
      <c r="J230" s="240"/>
      <c r="K230" s="354"/>
      <c r="L230" s="354"/>
      <c r="M230" s="354"/>
      <c r="N230" s="354"/>
      <c r="O230" s="354"/>
      <c r="P230" s="354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D230" s="240"/>
      <c r="AE230" s="240"/>
      <c r="AF230" s="240"/>
      <c r="AG230" s="240"/>
      <c r="AH230" s="240"/>
      <c r="AI230" s="240"/>
      <c r="AJ230" s="240"/>
      <c r="AK230" s="240"/>
      <c r="AL230" s="240"/>
      <c r="AM230" s="240"/>
    </row>
    <row r="231" spans="1:39" ht="27" customHeight="1" x14ac:dyDescent="0.35">
      <c r="A231" s="240"/>
      <c r="B231" s="240"/>
      <c r="C231" s="240"/>
      <c r="D231" s="240"/>
      <c r="E231" s="240"/>
      <c r="F231" s="240"/>
      <c r="G231" s="240"/>
      <c r="H231" s="240"/>
      <c r="I231" s="240"/>
      <c r="J231" s="240"/>
      <c r="K231" s="354"/>
      <c r="L231" s="354"/>
      <c r="M231" s="354"/>
      <c r="N231" s="354"/>
      <c r="O231" s="354"/>
      <c r="P231" s="354"/>
      <c r="Q231" s="240"/>
      <c r="R231" s="240"/>
      <c r="S231" s="240"/>
      <c r="T231" s="240"/>
      <c r="U231" s="240"/>
      <c r="V231" s="240"/>
      <c r="W231" s="240"/>
      <c r="X231" s="240"/>
      <c r="Y231" s="240"/>
      <c r="Z231" s="240"/>
      <c r="AA231" s="240"/>
      <c r="AB231" s="240"/>
      <c r="AD231" s="240"/>
      <c r="AE231" s="240"/>
      <c r="AF231" s="240"/>
      <c r="AG231" s="240"/>
      <c r="AH231" s="240"/>
      <c r="AI231" s="240"/>
      <c r="AJ231" s="240"/>
      <c r="AK231" s="240"/>
      <c r="AL231" s="240"/>
      <c r="AM231" s="240"/>
    </row>
    <row r="232" spans="1:39" ht="27" customHeight="1" x14ac:dyDescent="0.35">
      <c r="A232" s="240"/>
      <c r="B232" s="240"/>
      <c r="C232" s="240"/>
      <c r="D232" s="240"/>
      <c r="E232" s="240"/>
      <c r="F232" s="240"/>
      <c r="G232" s="240"/>
      <c r="H232" s="240"/>
      <c r="I232" s="240"/>
      <c r="J232" s="240"/>
      <c r="K232" s="354"/>
      <c r="L232" s="354"/>
      <c r="M232" s="354"/>
      <c r="N232" s="354"/>
      <c r="O232" s="354"/>
      <c r="P232" s="354"/>
      <c r="Q232" s="240"/>
      <c r="R232" s="240"/>
      <c r="S232" s="240"/>
      <c r="T232" s="240"/>
      <c r="U232" s="240"/>
      <c r="V232" s="240"/>
      <c r="W232" s="240"/>
      <c r="X232" s="240"/>
      <c r="Y232" s="240"/>
      <c r="Z232" s="240"/>
      <c r="AA232" s="240"/>
      <c r="AB232" s="240"/>
      <c r="AD232" s="240"/>
      <c r="AE232" s="240"/>
      <c r="AF232" s="240"/>
      <c r="AG232" s="240"/>
      <c r="AH232" s="240"/>
      <c r="AI232" s="240"/>
      <c r="AJ232" s="240"/>
      <c r="AK232" s="240"/>
      <c r="AL232" s="240"/>
      <c r="AM232" s="240"/>
    </row>
    <row r="233" spans="1:39" ht="27" customHeight="1" x14ac:dyDescent="0.35">
      <c r="A233" s="240"/>
      <c r="B233" s="240"/>
      <c r="C233" s="240"/>
      <c r="D233" s="240"/>
      <c r="E233" s="240"/>
      <c r="F233" s="240"/>
      <c r="G233" s="240"/>
      <c r="H233" s="240"/>
      <c r="I233" s="240"/>
      <c r="J233" s="240"/>
      <c r="K233" s="354"/>
      <c r="L233" s="354"/>
      <c r="M233" s="354"/>
      <c r="N233" s="354"/>
      <c r="O233" s="354"/>
      <c r="P233" s="354"/>
      <c r="Q233" s="240"/>
      <c r="R233" s="240"/>
      <c r="S233" s="240"/>
      <c r="T233" s="240"/>
      <c r="U233" s="240"/>
      <c r="V233" s="240"/>
      <c r="W233" s="240"/>
      <c r="X233" s="240"/>
      <c r="Y233" s="240"/>
      <c r="Z233" s="240"/>
      <c r="AA233" s="240"/>
      <c r="AB233" s="240"/>
      <c r="AD233" s="240"/>
      <c r="AE233" s="240"/>
      <c r="AF233" s="240"/>
      <c r="AG233" s="240"/>
      <c r="AH233" s="240"/>
      <c r="AI233" s="240"/>
      <c r="AJ233" s="240"/>
      <c r="AK233" s="240"/>
      <c r="AL233" s="240"/>
      <c r="AM233" s="240"/>
    </row>
    <row r="234" spans="1:39" ht="27" customHeight="1" x14ac:dyDescent="0.35">
      <c r="A234" s="240"/>
      <c r="B234" s="240"/>
      <c r="C234" s="240"/>
      <c r="D234" s="240"/>
      <c r="E234" s="240"/>
      <c r="F234" s="240"/>
      <c r="G234" s="240"/>
      <c r="H234" s="240"/>
      <c r="I234" s="240"/>
      <c r="J234" s="240"/>
      <c r="K234" s="354"/>
      <c r="L234" s="354"/>
      <c r="M234" s="354"/>
      <c r="N234" s="354"/>
      <c r="O234" s="354"/>
      <c r="P234" s="354"/>
      <c r="Q234" s="240"/>
      <c r="R234" s="240"/>
      <c r="S234" s="240"/>
      <c r="T234" s="240"/>
      <c r="U234" s="240"/>
      <c r="V234" s="240"/>
      <c r="W234" s="240"/>
      <c r="X234" s="240"/>
      <c r="Y234" s="240"/>
      <c r="Z234" s="240"/>
      <c r="AA234" s="240"/>
      <c r="AB234" s="240"/>
      <c r="AD234" s="240"/>
      <c r="AE234" s="240"/>
      <c r="AF234" s="240"/>
      <c r="AG234" s="240"/>
      <c r="AH234" s="240"/>
      <c r="AI234" s="240"/>
      <c r="AJ234" s="240"/>
      <c r="AK234" s="240"/>
      <c r="AL234" s="240"/>
      <c r="AM234" s="240"/>
    </row>
    <row r="235" spans="1:39" ht="27" customHeight="1" x14ac:dyDescent="0.35">
      <c r="A235" s="240"/>
      <c r="B235" s="240"/>
      <c r="C235" s="240"/>
      <c r="D235" s="240"/>
      <c r="E235" s="240"/>
      <c r="F235" s="240"/>
      <c r="G235" s="240"/>
      <c r="H235" s="240"/>
      <c r="I235" s="240"/>
      <c r="J235" s="240"/>
      <c r="K235" s="240"/>
      <c r="L235" s="240"/>
      <c r="M235" s="240"/>
      <c r="N235" s="240"/>
      <c r="O235" s="240"/>
      <c r="P235" s="240"/>
      <c r="Q235" s="240"/>
      <c r="R235" s="240"/>
      <c r="S235" s="240"/>
      <c r="T235" s="240"/>
      <c r="U235" s="240"/>
      <c r="V235" s="240"/>
      <c r="W235" s="240"/>
      <c r="X235" s="240"/>
      <c r="Y235" s="240"/>
      <c r="Z235" s="240"/>
      <c r="AA235" s="240"/>
      <c r="AB235" s="240"/>
      <c r="AD235" s="240"/>
      <c r="AE235" s="240"/>
      <c r="AF235" s="240"/>
      <c r="AG235" s="240"/>
      <c r="AH235" s="240"/>
      <c r="AI235" s="240"/>
      <c r="AJ235" s="240"/>
      <c r="AK235" s="240"/>
      <c r="AL235" s="240"/>
      <c r="AM235" s="240"/>
    </row>
    <row r="236" spans="1:39" ht="27" customHeight="1" x14ac:dyDescent="0.35">
      <c r="A236" s="240"/>
      <c r="B236" s="240"/>
      <c r="C236" s="240"/>
      <c r="D236" s="240"/>
      <c r="E236" s="240"/>
      <c r="F236" s="240"/>
      <c r="G236" s="240"/>
      <c r="H236" s="240"/>
      <c r="I236" s="240"/>
      <c r="J236" s="240"/>
      <c r="K236" s="240"/>
      <c r="L236" s="240"/>
      <c r="M236" s="240"/>
      <c r="N236" s="240"/>
      <c r="O236" s="240"/>
      <c r="P236" s="240"/>
      <c r="Q236" s="240"/>
      <c r="R236" s="240"/>
      <c r="S236" s="240"/>
      <c r="T236" s="240"/>
      <c r="U236" s="240"/>
      <c r="V236" s="240"/>
      <c r="W236" s="240"/>
      <c r="X236" s="240"/>
      <c r="Y236" s="240"/>
      <c r="Z236" s="240"/>
      <c r="AA236" s="240"/>
      <c r="AB236" s="240"/>
      <c r="AD236" s="240"/>
      <c r="AE236" s="240"/>
      <c r="AF236" s="240"/>
      <c r="AG236" s="240"/>
      <c r="AH236" s="240"/>
      <c r="AI236" s="240"/>
      <c r="AJ236" s="240"/>
      <c r="AK236" s="240"/>
      <c r="AL236" s="240"/>
      <c r="AM236" s="240"/>
    </row>
    <row r="237" spans="1:39" ht="27" customHeight="1" x14ac:dyDescent="0.35">
      <c r="A237" s="240"/>
      <c r="B237" s="240"/>
      <c r="C237" s="240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0"/>
      <c r="P237" s="240"/>
      <c r="Q237" s="240"/>
      <c r="R237" s="240"/>
      <c r="S237" s="240"/>
      <c r="T237" s="240"/>
      <c r="U237" s="240"/>
      <c r="V237" s="240"/>
      <c r="W237" s="240"/>
      <c r="X237" s="240"/>
      <c r="Y237" s="240"/>
      <c r="Z237" s="240"/>
      <c r="AA237" s="240"/>
      <c r="AB237" s="240"/>
      <c r="AD237" s="240"/>
      <c r="AE237" s="240"/>
      <c r="AF237" s="240"/>
      <c r="AG237" s="240"/>
      <c r="AH237" s="240"/>
      <c r="AI237" s="240"/>
      <c r="AJ237" s="240"/>
      <c r="AK237" s="240"/>
      <c r="AL237" s="240"/>
      <c r="AM237" s="240"/>
    </row>
    <row r="238" spans="1:39" ht="27" customHeight="1" x14ac:dyDescent="0.35">
      <c r="A238" s="240"/>
      <c r="B238" s="240"/>
      <c r="C238" s="240"/>
      <c r="D238" s="240"/>
      <c r="E238" s="240"/>
      <c r="F238" s="240"/>
      <c r="G238" s="240"/>
      <c r="H238" s="240"/>
      <c r="I238" s="240"/>
      <c r="J238" s="240"/>
      <c r="K238" s="360"/>
      <c r="L238" s="360"/>
      <c r="M238" s="360"/>
      <c r="N238" s="360"/>
      <c r="O238" s="360"/>
      <c r="P238" s="360"/>
      <c r="Q238" s="240"/>
      <c r="R238" s="240"/>
      <c r="S238" s="240"/>
      <c r="T238" s="240"/>
      <c r="U238" s="240"/>
      <c r="V238" s="240"/>
      <c r="W238" s="240"/>
      <c r="X238" s="240"/>
      <c r="Y238" s="240"/>
      <c r="Z238" s="240"/>
      <c r="AA238" s="240"/>
      <c r="AB238" s="240"/>
      <c r="AD238" s="240"/>
      <c r="AE238" s="240"/>
      <c r="AF238" s="240"/>
      <c r="AG238" s="240"/>
      <c r="AH238" s="240"/>
      <c r="AI238" s="240"/>
      <c r="AJ238" s="240"/>
      <c r="AK238" s="240"/>
      <c r="AL238" s="240"/>
      <c r="AM238" s="240"/>
    </row>
    <row r="239" spans="1:39" ht="27" customHeight="1" x14ac:dyDescent="0.35">
      <c r="A239" s="240"/>
      <c r="B239" s="240"/>
      <c r="C239" s="240"/>
      <c r="D239" s="240"/>
      <c r="E239" s="240"/>
      <c r="F239" s="240"/>
      <c r="G239" s="240"/>
      <c r="H239" s="240"/>
      <c r="I239" s="240"/>
      <c r="J239" s="240"/>
      <c r="K239" s="361"/>
      <c r="L239" s="361"/>
      <c r="M239" s="361"/>
      <c r="N239" s="361"/>
      <c r="O239" s="361"/>
      <c r="P239" s="361"/>
      <c r="Q239" s="240"/>
      <c r="R239" s="240"/>
      <c r="S239" s="240"/>
      <c r="T239" s="240"/>
      <c r="U239" s="240"/>
      <c r="V239" s="240"/>
      <c r="W239" s="240"/>
      <c r="X239" s="240"/>
      <c r="Y239" s="240"/>
      <c r="Z239" s="240"/>
      <c r="AA239" s="240"/>
      <c r="AB239" s="240"/>
      <c r="AD239" s="240"/>
      <c r="AE239" s="240"/>
      <c r="AF239" s="240"/>
      <c r="AG239" s="240"/>
      <c r="AH239" s="240"/>
      <c r="AI239" s="240"/>
      <c r="AJ239" s="240"/>
      <c r="AK239" s="240"/>
      <c r="AL239" s="240"/>
      <c r="AM239" s="240"/>
    </row>
    <row r="240" spans="1:39" ht="27" customHeight="1" x14ac:dyDescent="0.35">
      <c r="A240" s="240"/>
      <c r="B240" s="240"/>
      <c r="C240" s="240"/>
      <c r="D240" s="240"/>
      <c r="E240" s="240"/>
      <c r="F240" s="240"/>
      <c r="G240" s="240"/>
      <c r="H240" s="240"/>
      <c r="I240" s="240"/>
      <c r="J240" s="240"/>
      <c r="K240" s="362"/>
      <c r="L240" s="363"/>
      <c r="M240" s="363"/>
      <c r="N240" s="363"/>
      <c r="O240" s="362"/>
      <c r="P240" s="362"/>
      <c r="Q240" s="240"/>
      <c r="R240" s="240"/>
      <c r="S240" s="240"/>
      <c r="T240" s="240"/>
      <c r="U240" s="240"/>
      <c r="V240" s="240"/>
      <c r="W240" s="240"/>
      <c r="X240" s="240"/>
      <c r="Y240" s="240"/>
      <c r="Z240" s="240"/>
      <c r="AA240" s="240"/>
      <c r="AB240" s="240"/>
      <c r="AD240" s="240"/>
      <c r="AE240" s="240"/>
      <c r="AF240" s="240"/>
      <c r="AG240" s="240"/>
      <c r="AH240" s="240"/>
      <c r="AI240" s="240"/>
      <c r="AJ240" s="240"/>
      <c r="AK240" s="240"/>
      <c r="AL240" s="240"/>
      <c r="AM240" s="240"/>
    </row>
    <row r="241" spans="1:39" ht="27" customHeight="1" x14ac:dyDescent="0.35">
      <c r="A241" s="240"/>
      <c r="B241" s="240"/>
      <c r="C241" s="240"/>
      <c r="D241" s="240"/>
      <c r="E241" s="240"/>
      <c r="F241" s="240"/>
      <c r="G241" s="240"/>
      <c r="H241" s="240"/>
      <c r="I241" s="240"/>
      <c r="J241" s="240"/>
      <c r="K241" s="363"/>
      <c r="L241" s="362"/>
      <c r="M241" s="362"/>
      <c r="N241" s="362"/>
      <c r="O241" s="361"/>
      <c r="P241" s="361"/>
      <c r="Q241" s="240"/>
      <c r="R241" s="240"/>
      <c r="S241" s="240"/>
      <c r="T241" s="240"/>
      <c r="U241" s="240"/>
      <c r="V241" s="240"/>
      <c r="W241" s="240"/>
      <c r="X241" s="240"/>
      <c r="Y241" s="240"/>
      <c r="Z241" s="240"/>
      <c r="AA241" s="240"/>
      <c r="AB241" s="240"/>
      <c r="AD241" s="240"/>
      <c r="AE241" s="240"/>
      <c r="AF241" s="240"/>
      <c r="AG241" s="240"/>
      <c r="AH241" s="240"/>
      <c r="AI241" s="240"/>
      <c r="AJ241" s="240"/>
      <c r="AK241" s="240"/>
      <c r="AL241" s="240"/>
      <c r="AM241" s="240"/>
    </row>
    <row r="242" spans="1:39" ht="27" customHeight="1" x14ac:dyDescent="0.35">
      <c r="A242" s="240"/>
      <c r="B242" s="240"/>
      <c r="C242" s="240"/>
      <c r="D242" s="240"/>
      <c r="E242" s="240"/>
      <c r="F242" s="240"/>
      <c r="G242" s="240"/>
      <c r="H242" s="240"/>
      <c r="I242" s="240"/>
      <c r="J242" s="240"/>
      <c r="K242" s="361"/>
      <c r="L242" s="361"/>
      <c r="M242" s="361"/>
      <c r="N242" s="361"/>
      <c r="O242" s="361"/>
      <c r="P242" s="361"/>
      <c r="Q242" s="240"/>
      <c r="R242" s="240"/>
      <c r="S242" s="240"/>
      <c r="T242" s="240"/>
      <c r="U242" s="240"/>
      <c r="V242" s="240"/>
      <c r="W242" s="240"/>
      <c r="X242" s="240"/>
      <c r="Y242" s="240"/>
      <c r="Z242" s="240"/>
      <c r="AA242" s="240"/>
      <c r="AB242" s="240"/>
      <c r="AD242" s="240"/>
      <c r="AE242" s="240"/>
      <c r="AF242" s="240"/>
      <c r="AG242" s="240"/>
      <c r="AH242" s="240"/>
      <c r="AI242" s="240"/>
      <c r="AJ242" s="240"/>
      <c r="AK242" s="240"/>
      <c r="AL242" s="240"/>
      <c r="AM242" s="240"/>
    </row>
    <row r="243" spans="1:39" ht="27" customHeight="1" x14ac:dyDescent="0.35">
      <c r="A243" s="240"/>
      <c r="B243" s="240"/>
      <c r="C243" s="240"/>
      <c r="D243" s="240"/>
      <c r="E243" s="240"/>
      <c r="F243" s="240"/>
      <c r="G243" s="240"/>
      <c r="H243" s="240"/>
      <c r="I243" s="240"/>
      <c r="J243" s="240"/>
      <c r="K243" s="361"/>
      <c r="L243" s="361"/>
      <c r="M243" s="361"/>
      <c r="N243" s="361"/>
      <c r="O243" s="361"/>
      <c r="P243" s="361"/>
      <c r="Q243" s="240"/>
      <c r="R243" s="240"/>
      <c r="S243" s="240"/>
      <c r="T243" s="240"/>
      <c r="U243" s="240"/>
      <c r="V243" s="240"/>
      <c r="W243" s="240"/>
      <c r="X243" s="240"/>
      <c r="Y243" s="240"/>
      <c r="Z243" s="240"/>
      <c r="AA243" s="240"/>
      <c r="AB243" s="240"/>
      <c r="AD243" s="240"/>
      <c r="AE243" s="240"/>
      <c r="AF243" s="240"/>
      <c r="AG243" s="240"/>
      <c r="AH243" s="240"/>
      <c r="AI243" s="240"/>
      <c r="AJ243" s="240"/>
      <c r="AK243" s="240"/>
      <c r="AL243" s="240"/>
      <c r="AM243" s="240"/>
    </row>
    <row r="244" spans="1:39" ht="27" customHeight="1" x14ac:dyDescent="0.35">
      <c r="A244" s="240"/>
      <c r="B244" s="240"/>
      <c r="C244" s="240"/>
      <c r="D244" s="240"/>
      <c r="E244" s="240"/>
      <c r="F244" s="240"/>
      <c r="G244" s="240"/>
      <c r="H244" s="240"/>
      <c r="I244" s="240"/>
      <c r="J244" s="240"/>
      <c r="K244" s="361"/>
      <c r="L244" s="361"/>
      <c r="M244" s="361"/>
      <c r="N244" s="361"/>
      <c r="O244" s="361"/>
      <c r="P244" s="361"/>
      <c r="Q244" s="240"/>
      <c r="R244" s="240"/>
      <c r="S244" s="240"/>
      <c r="T244" s="240"/>
      <c r="U244" s="240"/>
      <c r="V244" s="240"/>
      <c r="W244" s="240"/>
      <c r="X244" s="240"/>
      <c r="Y244" s="240"/>
      <c r="Z244" s="240"/>
      <c r="AA244" s="240"/>
      <c r="AB244" s="240"/>
      <c r="AD244" s="240"/>
      <c r="AE244" s="240"/>
      <c r="AF244" s="240"/>
      <c r="AG244" s="240"/>
      <c r="AH244" s="240"/>
      <c r="AI244" s="240"/>
      <c r="AJ244" s="240"/>
      <c r="AK244" s="240"/>
      <c r="AL244" s="240"/>
      <c r="AM244" s="240"/>
    </row>
    <row r="245" spans="1:39" ht="27" customHeight="1" x14ac:dyDescent="0.35">
      <c r="A245" s="240"/>
      <c r="B245" s="240"/>
      <c r="C245" s="240"/>
      <c r="D245" s="240"/>
      <c r="E245" s="240"/>
      <c r="F245" s="240"/>
      <c r="G245" s="240"/>
      <c r="H245" s="240"/>
      <c r="I245" s="240"/>
      <c r="J245" s="240"/>
      <c r="K245" s="361"/>
      <c r="L245" s="361"/>
      <c r="M245" s="361"/>
      <c r="N245" s="361"/>
      <c r="O245" s="361"/>
      <c r="P245" s="361"/>
      <c r="Q245" s="240"/>
      <c r="R245" s="240"/>
      <c r="S245" s="240"/>
      <c r="T245" s="240"/>
      <c r="U245" s="240"/>
      <c r="V245" s="240"/>
      <c r="W245" s="240"/>
      <c r="X245" s="240"/>
      <c r="Y245" s="240"/>
      <c r="Z245" s="240"/>
      <c r="AA245" s="240"/>
      <c r="AB245" s="240"/>
      <c r="AD245" s="240"/>
      <c r="AE245" s="240"/>
      <c r="AF245" s="240"/>
      <c r="AG245" s="240"/>
      <c r="AH245" s="240"/>
      <c r="AI245" s="240"/>
      <c r="AJ245" s="240"/>
      <c r="AK245" s="240"/>
      <c r="AL245" s="240"/>
      <c r="AM245" s="240"/>
    </row>
    <row r="246" spans="1:39" ht="27" customHeight="1" x14ac:dyDescent="0.35">
      <c r="A246" s="240"/>
      <c r="B246" s="240"/>
      <c r="C246" s="240"/>
      <c r="D246" s="240"/>
      <c r="E246" s="240"/>
      <c r="F246" s="240"/>
      <c r="G246" s="240"/>
      <c r="H246" s="240"/>
      <c r="I246" s="240"/>
      <c r="J246" s="240"/>
      <c r="K246" s="361"/>
      <c r="L246" s="361"/>
      <c r="M246" s="361"/>
      <c r="N246" s="361"/>
      <c r="O246" s="361"/>
      <c r="P246" s="361"/>
      <c r="Q246" s="240"/>
      <c r="R246" s="240"/>
      <c r="S246" s="240"/>
      <c r="T246" s="240"/>
      <c r="U246" s="240"/>
      <c r="V246" s="240"/>
      <c r="W246" s="240"/>
      <c r="X246" s="240"/>
      <c r="Y246" s="240"/>
      <c r="Z246" s="240"/>
      <c r="AA246" s="240"/>
      <c r="AB246" s="240"/>
      <c r="AD246" s="240"/>
      <c r="AE246" s="240"/>
      <c r="AF246" s="240"/>
      <c r="AG246" s="240"/>
      <c r="AH246" s="240"/>
      <c r="AI246" s="240"/>
      <c r="AJ246" s="240"/>
      <c r="AK246" s="240"/>
      <c r="AL246" s="240"/>
      <c r="AM246" s="240"/>
    </row>
    <row r="247" spans="1:39" ht="27" customHeight="1" x14ac:dyDescent="0.35">
      <c r="A247" s="240"/>
      <c r="B247" s="240"/>
      <c r="C247" s="240"/>
      <c r="D247" s="240"/>
      <c r="E247" s="240"/>
      <c r="F247" s="240"/>
      <c r="G247" s="240"/>
      <c r="H247" s="240"/>
      <c r="I247" s="240"/>
      <c r="J247" s="240"/>
      <c r="K247" s="361"/>
      <c r="L247" s="361"/>
      <c r="M247" s="361"/>
      <c r="N247" s="361"/>
      <c r="O247" s="361"/>
      <c r="P247" s="361"/>
      <c r="Q247" s="240"/>
      <c r="R247" s="240"/>
      <c r="S247" s="240"/>
      <c r="T247" s="240"/>
      <c r="U247" s="240"/>
      <c r="V247" s="240"/>
      <c r="W247" s="240"/>
      <c r="X247" s="240"/>
      <c r="Y247" s="240"/>
      <c r="Z247" s="240"/>
      <c r="AA247" s="240"/>
      <c r="AB247" s="240"/>
      <c r="AD247" s="240"/>
      <c r="AE247" s="240"/>
      <c r="AF247" s="240"/>
      <c r="AG247" s="240"/>
      <c r="AH247" s="240"/>
      <c r="AI247" s="240"/>
      <c r="AJ247" s="240"/>
      <c r="AK247" s="240"/>
      <c r="AL247" s="240"/>
      <c r="AM247" s="240"/>
    </row>
    <row r="248" spans="1:39" ht="27" customHeight="1" x14ac:dyDescent="0.35">
      <c r="A248" s="240"/>
      <c r="B248" s="240"/>
      <c r="C248" s="240"/>
      <c r="D248" s="240"/>
      <c r="E248" s="240"/>
      <c r="F248" s="240"/>
      <c r="G248" s="240"/>
      <c r="H248" s="240"/>
      <c r="I248" s="240"/>
      <c r="J248" s="240"/>
      <c r="K248" s="361"/>
      <c r="L248" s="361"/>
      <c r="M248" s="361"/>
      <c r="N248" s="361"/>
      <c r="O248" s="361"/>
      <c r="P248" s="361"/>
      <c r="Q248" s="240"/>
      <c r="R248" s="240"/>
      <c r="S248" s="240"/>
      <c r="T248" s="240"/>
      <c r="U248" s="240"/>
      <c r="V248" s="240"/>
      <c r="W248" s="240"/>
      <c r="X248" s="240"/>
      <c r="Y248" s="240"/>
      <c r="Z248" s="240"/>
      <c r="AA248" s="240"/>
      <c r="AB248" s="240"/>
      <c r="AD248" s="240"/>
      <c r="AE248" s="240"/>
      <c r="AF248" s="240"/>
      <c r="AG248" s="240"/>
      <c r="AH248" s="240"/>
      <c r="AI248" s="240"/>
      <c r="AJ248" s="240"/>
      <c r="AK248" s="240"/>
      <c r="AL248" s="240"/>
      <c r="AM248" s="240"/>
    </row>
    <row r="249" spans="1:39" ht="27" customHeight="1" x14ac:dyDescent="0.35">
      <c r="A249" s="240"/>
      <c r="B249" s="240"/>
      <c r="C249" s="240"/>
      <c r="D249" s="240"/>
      <c r="E249" s="240"/>
      <c r="F249" s="240"/>
      <c r="G249" s="240"/>
      <c r="H249" s="240"/>
      <c r="I249" s="240"/>
      <c r="J249" s="240"/>
      <c r="K249" s="361"/>
      <c r="L249" s="361"/>
      <c r="M249" s="361"/>
      <c r="N249" s="361"/>
      <c r="O249" s="361"/>
      <c r="P249" s="361"/>
      <c r="Q249" s="240"/>
      <c r="R249" s="240"/>
      <c r="S249" s="240"/>
      <c r="T249" s="240"/>
      <c r="U249" s="240"/>
      <c r="V249" s="240"/>
      <c r="W249" s="240"/>
      <c r="X249" s="240"/>
      <c r="Y249" s="240"/>
      <c r="Z249" s="240"/>
      <c r="AA249" s="240"/>
      <c r="AB249" s="240"/>
      <c r="AD249" s="240"/>
      <c r="AE249" s="240"/>
      <c r="AF249" s="240"/>
      <c r="AG249" s="240"/>
      <c r="AH249" s="240"/>
      <c r="AI249" s="240"/>
      <c r="AJ249" s="240"/>
      <c r="AK249" s="240"/>
      <c r="AL249" s="240"/>
      <c r="AM249" s="240"/>
    </row>
    <row r="250" spans="1:39" ht="27" customHeight="1" x14ac:dyDescent="0.35">
      <c r="A250" s="240"/>
      <c r="B250" s="240"/>
      <c r="C250" s="240"/>
      <c r="D250" s="240"/>
      <c r="E250" s="240"/>
      <c r="F250" s="240"/>
      <c r="G250" s="240"/>
      <c r="H250" s="240"/>
      <c r="I250" s="240"/>
      <c r="J250" s="240"/>
      <c r="K250" s="240"/>
      <c r="L250" s="356"/>
      <c r="M250" s="356"/>
      <c r="N250" s="356"/>
      <c r="O250" s="356"/>
      <c r="P250" s="356"/>
      <c r="Q250" s="240"/>
      <c r="R250" s="240"/>
      <c r="S250" s="240"/>
      <c r="T250" s="240"/>
      <c r="U250" s="240"/>
      <c r="V250" s="240"/>
      <c r="W250" s="240"/>
      <c r="X250" s="240"/>
      <c r="Y250" s="240"/>
      <c r="Z250" s="240"/>
      <c r="AA250" s="240"/>
      <c r="AB250" s="240"/>
      <c r="AD250" s="240"/>
      <c r="AE250" s="240"/>
      <c r="AF250" s="240"/>
      <c r="AG250" s="240"/>
      <c r="AH250" s="240"/>
      <c r="AI250" s="240"/>
      <c r="AJ250" s="240"/>
      <c r="AK250" s="240"/>
      <c r="AL250" s="240"/>
      <c r="AM250" s="240"/>
    </row>
    <row r="251" spans="1:39" ht="27" customHeight="1" x14ac:dyDescent="0.35">
      <c r="A251" s="240"/>
      <c r="B251" s="240"/>
      <c r="C251" s="240"/>
      <c r="D251" s="240"/>
      <c r="E251" s="240"/>
      <c r="F251" s="240"/>
      <c r="G251" s="240"/>
      <c r="H251" s="240"/>
      <c r="I251" s="240"/>
      <c r="J251" s="240"/>
      <c r="K251" s="240"/>
      <c r="L251" s="240"/>
      <c r="M251" s="240"/>
      <c r="N251" s="240"/>
      <c r="O251" s="240"/>
      <c r="P251" s="240"/>
      <c r="Q251" s="240"/>
      <c r="R251" s="240"/>
      <c r="S251" s="240"/>
      <c r="T251" s="240"/>
      <c r="U251" s="240"/>
      <c r="V251" s="240"/>
      <c r="W251" s="240"/>
      <c r="X251" s="240"/>
      <c r="Y251" s="240"/>
      <c r="Z251" s="240"/>
      <c r="AA251" s="240"/>
      <c r="AB251" s="240"/>
      <c r="AD251" s="240"/>
      <c r="AE251" s="240"/>
      <c r="AF251" s="240"/>
      <c r="AG251" s="240"/>
      <c r="AH251" s="240"/>
      <c r="AI251" s="240"/>
      <c r="AJ251" s="240"/>
      <c r="AK251" s="240"/>
      <c r="AL251" s="240"/>
      <c r="AM251" s="240"/>
    </row>
    <row r="252" spans="1:39" ht="27" customHeight="1" x14ac:dyDescent="0.35">
      <c r="A252" s="240"/>
      <c r="B252" s="240"/>
      <c r="C252" s="240"/>
      <c r="D252" s="240"/>
      <c r="E252" s="240"/>
      <c r="F252" s="240"/>
      <c r="G252" s="240"/>
      <c r="H252" s="240"/>
      <c r="I252" s="240"/>
      <c r="J252" s="240"/>
      <c r="K252" s="360"/>
      <c r="L252" s="240"/>
      <c r="M252" s="240"/>
      <c r="N252" s="240"/>
      <c r="O252" s="240"/>
      <c r="P252" s="240"/>
      <c r="Q252" s="240"/>
      <c r="R252" s="240"/>
      <c r="S252" s="240"/>
      <c r="T252" s="240"/>
      <c r="U252" s="240"/>
      <c r="V252" s="240"/>
      <c r="W252" s="240"/>
      <c r="X252" s="240"/>
      <c r="Y252" s="240"/>
      <c r="Z252" s="240"/>
      <c r="AA252" s="240"/>
      <c r="AB252" s="240"/>
      <c r="AD252" s="240"/>
      <c r="AE252" s="240"/>
      <c r="AF252" s="240"/>
      <c r="AG252" s="240"/>
      <c r="AH252" s="240"/>
      <c r="AI252" s="240"/>
      <c r="AJ252" s="240"/>
      <c r="AK252" s="240"/>
      <c r="AL252" s="240"/>
      <c r="AM252" s="240"/>
    </row>
    <row r="253" spans="1:39" ht="27" customHeight="1" x14ac:dyDescent="0.35">
      <c r="A253" s="240"/>
      <c r="B253" s="240"/>
      <c r="C253" s="240"/>
      <c r="D253" s="240"/>
      <c r="E253" s="240"/>
      <c r="F253" s="240"/>
      <c r="G253" s="240"/>
      <c r="H253" s="240"/>
      <c r="I253" s="240"/>
      <c r="J253" s="240"/>
      <c r="K253" s="361"/>
      <c r="L253" s="240"/>
      <c r="M253" s="240"/>
      <c r="N253" s="240"/>
      <c r="O253" s="240"/>
      <c r="P253" s="240"/>
      <c r="Q253" s="240"/>
      <c r="R253" s="240"/>
      <c r="S253" s="240"/>
      <c r="T253" s="240"/>
      <c r="U253" s="240"/>
      <c r="V253" s="240"/>
      <c r="W253" s="240"/>
      <c r="X253" s="240"/>
      <c r="Y253" s="240"/>
      <c r="Z253" s="240"/>
      <c r="AA253" s="240"/>
      <c r="AB253" s="240"/>
      <c r="AD253" s="240"/>
      <c r="AE253" s="240"/>
      <c r="AF253" s="240"/>
      <c r="AG253" s="240"/>
      <c r="AH253" s="240"/>
      <c r="AI253" s="240"/>
      <c r="AJ253" s="240"/>
      <c r="AK253" s="240"/>
      <c r="AL253" s="240"/>
      <c r="AM253" s="240"/>
    </row>
    <row r="254" spans="1:39" ht="27" customHeight="1" x14ac:dyDescent="0.35">
      <c r="A254" s="240"/>
      <c r="B254" s="240"/>
      <c r="C254" s="240"/>
      <c r="D254" s="240"/>
      <c r="E254" s="240"/>
      <c r="F254" s="240"/>
      <c r="G254" s="240"/>
      <c r="H254" s="240"/>
      <c r="I254" s="240"/>
      <c r="J254" s="240"/>
      <c r="K254" s="362"/>
      <c r="L254" s="363"/>
      <c r="M254" s="363"/>
      <c r="N254" s="363"/>
      <c r="O254" s="362"/>
      <c r="P254" s="362"/>
      <c r="Q254" s="240"/>
      <c r="R254" s="240"/>
      <c r="S254" s="240"/>
      <c r="T254" s="240"/>
      <c r="U254" s="240"/>
      <c r="V254" s="240"/>
      <c r="W254" s="240"/>
      <c r="X254" s="240"/>
      <c r="Y254" s="240"/>
      <c r="Z254" s="240"/>
      <c r="AA254" s="240"/>
      <c r="AB254" s="240"/>
      <c r="AD254" s="240"/>
      <c r="AE254" s="240"/>
      <c r="AF254" s="240"/>
      <c r="AG254" s="240"/>
      <c r="AH254" s="240"/>
      <c r="AI254" s="240"/>
      <c r="AJ254" s="240"/>
      <c r="AK254" s="240"/>
      <c r="AL254" s="240"/>
      <c r="AM254" s="240"/>
    </row>
    <row r="255" spans="1:39" ht="27" customHeight="1" x14ac:dyDescent="0.35">
      <c r="A255" s="240"/>
      <c r="B255" s="240"/>
      <c r="C255" s="240"/>
      <c r="D255" s="240"/>
      <c r="E255" s="240"/>
      <c r="F255" s="240"/>
      <c r="G255" s="240"/>
      <c r="H255" s="240"/>
      <c r="I255" s="240"/>
      <c r="J255" s="240"/>
      <c r="K255" s="363"/>
      <c r="L255" s="362"/>
      <c r="M255" s="362"/>
      <c r="N255" s="362"/>
      <c r="O255" s="361"/>
      <c r="P255" s="361"/>
      <c r="Q255" s="240"/>
      <c r="R255" s="240"/>
      <c r="S255" s="240"/>
      <c r="T255" s="240"/>
      <c r="U255" s="240"/>
      <c r="V255" s="240"/>
      <c r="W255" s="240"/>
      <c r="X255" s="240"/>
      <c r="Y255" s="240"/>
      <c r="Z255" s="240"/>
      <c r="AA255" s="240"/>
      <c r="AB255" s="240"/>
      <c r="AD255" s="240"/>
      <c r="AE255" s="240"/>
      <c r="AF255" s="240"/>
      <c r="AG255" s="240"/>
      <c r="AH255" s="240"/>
      <c r="AI255" s="240"/>
      <c r="AJ255" s="240"/>
      <c r="AK255" s="240"/>
      <c r="AL255" s="240"/>
      <c r="AM255" s="240"/>
    </row>
    <row r="256" spans="1:39" ht="27" customHeight="1" x14ac:dyDescent="0.35">
      <c r="A256" s="240"/>
      <c r="B256" s="240"/>
      <c r="C256" s="240"/>
      <c r="D256" s="240"/>
      <c r="E256" s="240"/>
      <c r="F256" s="240"/>
      <c r="G256" s="240"/>
      <c r="H256" s="240"/>
      <c r="I256" s="240"/>
      <c r="J256" s="240"/>
      <c r="K256" s="361"/>
      <c r="L256" s="361"/>
      <c r="M256" s="361"/>
      <c r="N256" s="361"/>
      <c r="O256" s="361"/>
      <c r="P256" s="361"/>
      <c r="Q256" s="240"/>
      <c r="R256" s="240"/>
      <c r="S256" s="240"/>
      <c r="T256" s="240"/>
      <c r="U256" s="240"/>
      <c r="V256" s="240"/>
      <c r="W256" s="240"/>
      <c r="X256" s="240"/>
      <c r="Y256" s="240"/>
      <c r="Z256" s="240"/>
      <c r="AA256" s="240"/>
      <c r="AB256" s="240"/>
      <c r="AD256" s="240"/>
      <c r="AE256" s="240"/>
      <c r="AF256" s="240"/>
      <c r="AG256" s="240"/>
      <c r="AH256" s="240"/>
      <c r="AI256" s="240"/>
      <c r="AJ256" s="240"/>
      <c r="AK256" s="240"/>
      <c r="AL256" s="240"/>
      <c r="AM256" s="240"/>
    </row>
    <row r="257" spans="1:39" ht="27" customHeight="1" x14ac:dyDescent="0.35">
      <c r="A257" s="240"/>
      <c r="B257" s="240"/>
      <c r="C257" s="240"/>
      <c r="D257" s="240"/>
      <c r="E257" s="240"/>
      <c r="F257" s="240"/>
      <c r="G257" s="240"/>
      <c r="H257" s="240"/>
      <c r="I257" s="240"/>
      <c r="J257" s="240"/>
      <c r="K257" s="361"/>
      <c r="L257" s="361"/>
      <c r="M257" s="361"/>
      <c r="N257" s="361"/>
      <c r="O257" s="361"/>
      <c r="P257" s="361"/>
      <c r="Q257" s="240"/>
      <c r="R257" s="240"/>
      <c r="S257" s="240"/>
      <c r="T257" s="240"/>
      <c r="U257" s="240"/>
      <c r="V257" s="240"/>
      <c r="W257" s="240"/>
      <c r="X257" s="240"/>
      <c r="Y257" s="240"/>
      <c r="Z257" s="240"/>
      <c r="AA257" s="240"/>
      <c r="AB257" s="240"/>
      <c r="AD257" s="240"/>
      <c r="AE257" s="240"/>
      <c r="AF257" s="240"/>
      <c r="AG257" s="240"/>
      <c r="AH257" s="240"/>
      <c r="AI257" s="240"/>
      <c r="AJ257" s="240"/>
      <c r="AK257" s="240"/>
      <c r="AL257" s="240"/>
      <c r="AM257" s="240"/>
    </row>
    <row r="258" spans="1:39" ht="27" customHeight="1" x14ac:dyDescent="0.35">
      <c r="A258" s="240"/>
      <c r="B258" s="240"/>
      <c r="C258" s="240"/>
      <c r="D258" s="240"/>
      <c r="E258" s="240"/>
      <c r="F258" s="240"/>
      <c r="G258" s="240"/>
      <c r="H258" s="240"/>
      <c r="I258" s="240"/>
      <c r="J258" s="240"/>
      <c r="K258" s="361"/>
      <c r="L258" s="361"/>
      <c r="M258" s="361"/>
      <c r="N258" s="361"/>
      <c r="O258" s="361"/>
      <c r="P258" s="361"/>
      <c r="Q258" s="240"/>
      <c r="R258" s="240"/>
      <c r="S258" s="240"/>
      <c r="T258" s="240"/>
      <c r="U258" s="240"/>
      <c r="V258" s="240"/>
      <c r="W258" s="240"/>
      <c r="X258" s="240"/>
      <c r="Y258" s="240"/>
      <c r="Z258" s="240"/>
      <c r="AA258" s="240"/>
      <c r="AB258" s="240"/>
      <c r="AD258" s="240"/>
      <c r="AE258" s="240"/>
      <c r="AF258" s="240"/>
      <c r="AG258" s="240"/>
      <c r="AH258" s="240"/>
      <c r="AI258" s="240"/>
      <c r="AJ258" s="240"/>
      <c r="AK258" s="240"/>
      <c r="AL258" s="240"/>
      <c r="AM258" s="240"/>
    </row>
    <row r="259" spans="1:39" ht="27" customHeight="1" x14ac:dyDescent="0.35">
      <c r="A259" s="240"/>
      <c r="B259" s="240"/>
      <c r="C259" s="240"/>
      <c r="D259" s="240"/>
      <c r="E259" s="240"/>
      <c r="F259" s="240"/>
      <c r="G259" s="240"/>
      <c r="H259" s="240"/>
      <c r="I259" s="240"/>
      <c r="J259" s="240"/>
      <c r="K259" s="361"/>
      <c r="L259" s="361"/>
      <c r="M259" s="361"/>
      <c r="N259" s="361"/>
      <c r="O259" s="361"/>
      <c r="P259" s="361"/>
      <c r="Q259" s="240"/>
      <c r="R259" s="240"/>
      <c r="S259" s="240"/>
      <c r="T259" s="240"/>
      <c r="U259" s="240"/>
      <c r="V259" s="240"/>
      <c r="W259" s="240"/>
      <c r="X259" s="240"/>
      <c r="Y259" s="240"/>
      <c r="Z259" s="240"/>
      <c r="AA259" s="240"/>
      <c r="AB259" s="240"/>
      <c r="AD259" s="240"/>
      <c r="AE259" s="240"/>
      <c r="AF259" s="240"/>
      <c r="AG259" s="240"/>
      <c r="AH259" s="240"/>
      <c r="AI259" s="240"/>
      <c r="AJ259" s="240"/>
      <c r="AK259" s="240"/>
      <c r="AL259" s="240"/>
      <c r="AM259" s="240"/>
    </row>
    <row r="260" spans="1:39" ht="27" customHeight="1" x14ac:dyDescent="0.35">
      <c r="A260" s="240"/>
      <c r="B260" s="240"/>
      <c r="C260" s="240"/>
      <c r="D260" s="240"/>
      <c r="E260" s="240"/>
      <c r="F260" s="240"/>
      <c r="G260" s="240"/>
      <c r="H260" s="240"/>
      <c r="I260" s="240"/>
      <c r="J260" s="240"/>
      <c r="K260" s="361"/>
      <c r="L260" s="361"/>
      <c r="M260" s="361"/>
      <c r="N260" s="361"/>
      <c r="O260" s="361"/>
      <c r="P260" s="361"/>
      <c r="Q260" s="240"/>
      <c r="R260" s="240"/>
      <c r="S260" s="240"/>
      <c r="T260" s="240"/>
      <c r="U260" s="240"/>
      <c r="V260" s="240"/>
      <c r="W260" s="240"/>
      <c r="X260" s="240"/>
      <c r="Y260" s="240"/>
      <c r="Z260" s="240"/>
      <c r="AA260" s="240"/>
      <c r="AB260" s="240"/>
    </row>
    <row r="261" spans="1:39" ht="27" customHeight="1" x14ac:dyDescent="0.35">
      <c r="A261" s="240"/>
      <c r="B261" s="240"/>
      <c r="C261" s="240"/>
      <c r="D261" s="240"/>
      <c r="E261" s="240"/>
      <c r="F261" s="240"/>
      <c r="G261" s="240"/>
      <c r="H261" s="240"/>
      <c r="I261" s="240"/>
      <c r="J261" s="240"/>
      <c r="K261" s="361"/>
      <c r="L261" s="361"/>
      <c r="M261" s="361"/>
      <c r="N261" s="361"/>
      <c r="O261" s="361"/>
      <c r="P261" s="361"/>
      <c r="Q261" s="240"/>
      <c r="R261" s="240"/>
      <c r="S261" s="240"/>
      <c r="T261" s="240"/>
      <c r="U261" s="240"/>
      <c r="V261" s="240"/>
      <c r="W261" s="240"/>
      <c r="X261" s="240"/>
      <c r="Y261" s="240"/>
      <c r="Z261" s="240"/>
      <c r="AA261" s="240"/>
      <c r="AB261" s="240"/>
    </row>
    <row r="262" spans="1:39" ht="27" customHeight="1" x14ac:dyDescent="0.35">
      <c r="A262" s="240"/>
      <c r="B262" s="240"/>
      <c r="C262" s="240"/>
      <c r="D262" s="240"/>
      <c r="E262" s="240"/>
      <c r="F262" s="240"/>
      <c r="G262" s="240"/>
      <c r="H262" s="240"/>
      <c r="I262" s="240"/>
      <c r="J262" s="240"/>
      <c r="K262" s="361"/>
      <c r="L262" s="361"/>
      <c r="M262" s="361"/>
      <c r="N262" s="361"/>
      <c r="O262" s="361"/>
      <c r="P262" s="361"/>
      <c r="Q262" s="240"/>
      <c r="R262" s="240"/>
      <c r="S262" s="240"/>
      <c r="T262" s="240"/>
      <c r="U262" s="240"/>
      <c r="V262" s="240"/>
      <c r="W262" s="240"/>
      <c r="X262" s="240"/>
      <c r="Y262" s="240"/>
      <c r="Z262" s="240"/>
      <c r="AA262" s="240"/>
      <c r="AB262" s="240"/>
    </row>
    <row r="263" spans="1:39" ht="27" customHeight="1" x14ac:dyDescent="0.35">
      <c r="A263" s="240"/>
      <c r="B263" s="240"/>
      <c r="C263" s="240"/>
      <c r="D263" s="240"/>
      <c r="E263" s="240"/>
      <c r="F263" s="240"/>
      <c r="G263" s="240"/>
      <c r="H263" s="240"/>
      <c r="I263" s="240"/>
      <c r="J263" s="240"/>
      <c r="K263" s="361"/>
      <c r="L263" s="361"/>
      <c r="M263" s="361"/>
      <c r="N263" s="361"/>
      <c r="O263" s="361"/>
      <c r="P263" s="361"/>
      <c r="Q263" s="240"/>
      <c r="R263" s="240"/>
      <c r="S263" s="240"/>
      <c r="T263" s="240"/>
      <c r="U263" s="240"/>
      <c r="V263" s="240"/>
      <c r="W263" s="240"/>
      <c r="X263" s="240"/>
      <c r="Y263" s="240"/>
      <c r="Z263" s="240"/>
      <c r="AA263" s="240"/>
      <c r="AB263" s="240"/>
    </row>
    <row r="264" spans="1:39" ht="27" customHeight="1" x14ac:dyDescent="0.35">
      <c r="A264" s="240"/>
      <c r="B264" s="240"/>
      <c r="C264" s="240"/>
      <c r="D264" s="240"/>
      <c r="E264" s="240"/>
      <c r="F264" s="240"/>
      <c r="G264" s="240"/>
      <c r="H264" s="240"/>
      <c r="I264" s="240"/>
      <c r="J264" s="240"/>
      <c r="K264" s="240"/>
      <c r="L264" s="356"/>
      <c r="M264" s="356"/>
      <c r="N264" s="356"/>
      <c r="O264" s="356"/>
      <c r="P264" s="356"/>
      <c r="Q264" s="240"/>
      <c r="R264" s="240"/>
      <c r="S264" s="240"/>
      <c r="T264" s="240"/>
      <c r="U264" s="240"/>
      <c r="V264" s="240"/>
      <c r="W264" s="240"/>
      <c r="X264" s="240"/>
      <c r="Y264" s="240"/>
      <c r="Z264" s="240"/>
      <c r="AA264" s="240"/>
      <c r="AB264" s="240"/>
    </row>
    <row r="265" spans="1:39" ht="27" customHeight="1" x14ac:dyDescent="0.35">
      <c r="A265" s="240"/>
      <c r="B265" s="240"/>
      <c r="C265" s="240"/>
      <c r="D265" s="240"/>
      <c r="E265" s="240"/>
      <c r="F265" s="240"/>
      <c r="G265" s="240"/>
      <c r="H265" s="240"/>
      <c r="I265" s="240"/>
      <c r="J265" s="240"/>
      <c r="K265" s="240"/>
      <c r="L265" s="240"/>
      <c r="M265" s="240"/>
      <c r="N265" s="240"/>
      <c r="O265" s="240"/>
      <c r="P265" s="240"/>
      <c r="Q265" s="240"/>
      <c r="R265" s="240"/>
      <c r="S265" s="240"/>
      <c r="T265" s="240"/>
      <c r="U265" s="240"/>
      <c r="V265" s="240"/>
      <c r="W265" s="240"/>
      <c r="X265" s="240"/>
      <c r="Y265" s="240"/>
      <c r="Z265" s="240"/>
      <c r="AA265" s="240"/>
      <c r="AB265" s="240"/>
    </row>
    <row r="266" spans="1:39" ht="27" customHeight="1" x14ac:dyDescent="0.35">
      <c r="A266" s="240"/>
      <c r="B266" s="240"/>
      <c r="C266" s="240"/>
      <c r="D266" s="240"/>
      <c r="E266" s="240"/>
      <c r="F266" s="240"/>
      <c r="G266" s="240"/>
      <c r="H266" s="240"/>
      <c r="I266" s="240"/>
      <c r="J266" s="240"/>
      <c r="K266" s="240"/>
      <c r="L266" s="240"/>
      <c r="M266" s="240"/>
      <c r="N266" s="240"/>
      <c r="O266" s="240"/>
      <c r="P266" s="240"/>
      <c r="Q266" s="240"/>
      <c r="R266" s="240"/>
      <c r="S266" s="240"/>
      <c r="T266" s="240"/>
      <c r="U266" s="240"/>
      <c r="V266" s="240"/>
      <c r="W266" s="240"/>
      <c r="X266" s="240"/>
      <c r="Y266" s="240"/>
      <c r="Z266" s="240"/>
      <c r="AA266" s="240"/>
      <c r="AB266" s="240"/>
    </row>
    <row r="267" spans="1:39" ht="27" customHeight="1" x14ac:dyDescent="0.35">
      <c r="A267" s="240"/>
      <c r="B267" s="240"/>
      <c r="C267" s="240"/>
      <c r="D267" s="240"/>
      <c r="E267" s="240"/>
      <c r="F267" s="240"/>
      <c r="G267" s="240"/>
      <c r="H267" s="240"/>
      <c r="I267" s="240"/>
      <c r="J267" s="240"/>
      <c r="K267" s="240"/>
      <c r="L267" s="240"/>
      <c r="M267" s="240"/>
      <c r="N267" s="240"/>
      <c r="O267" s="240"/>
      <c r="P267" s="240"/>
      <c r="Q267" s="240"/>
      <c r="R267" s="240"/>
      <c r="S267" s="240"/>
      <c r="T267" s="240"/>
      <c r="U267" s="240"/>
      <c r="V267" s="240"/>
      <c r="W267" s="240"/>
      <c r="X267" s="240"/>
      <c r="Y267" s="240"/>
      <c r="Z267" s="240"/>
      <c r="AA267" s="240"/>
      <c r="AB267" s="240"/>
    </row>
    <row r="268" spans="1:39" ht="27" customHeight="1" x14ac:dyDescent="0.35">
      <c r="A268" s="240"/>
      <c r="B268" s="240"/>
      <c r="C268" s="240"/>
      <c r="D268" s="240"/>
      <c r="E268" s="240"/>
      <c r="F268" s="240"/>
      <c r="G268" s="240"/>
      <c r="H268" s="240"/>
      <c r="I268" s="240"/>
      <c r="J268" s="240"/>
      <c r="K268" s="240"/>
      <c r="L268" s="240"/>
      <c r="M268" s="240"/>
      <c r="N268" s="240"/>
      <c r="O268" s="240"/>
      <c r="P268" s="240"/>
      <c r="Q268" s="240"/>
      <c r="R268" s="240"/>
      <c r="S268" s="240"/>
      <c r="T268" s="240"/>
      <c r="U268" s="240"/>
      <c r="V268" s="240"/>
      <c r="W268" s="240"/>
      <c r="X268" s="240"/>
      <c r="Y268" s="240"/>
      <c r="Z268" s="240"/>
      <c r="AA268" s="240"/>
      <c r="AB268" s="240"/>
    </row>
    <row r="269" spans="1:39" ht="27" customHeight="1" x14ac:dyDescent="0.35">
      <c r="A269" s="240"/>
      <c r="B269" s="240"/>
      <c r="C269" s="240"/>
      <c r="D269" s="240"/>
      <c r="E269" s="240"/>
      <c r="F269" s="240"/>
      <c r="G269" s="240"/>
      <c r="H269" s="240"/>
      <c r="I269" s="240"/>
      <c r="J269" s="240"/>
      <c r="K269" s="240"/>
      <c r="L269" s="240"/>
      <c r="M269" s="240"/>
      <c r="N269" s="240"/>
      <c r="O269" s="240"/>
      <c r="P269" s="240"/>
      <c r="Q269" s="240"/>
      <c r="R269" s="240"/>
      <c r="S269" s="240"/>
      <c r="T269" s="240"/>
      <c r="U269" s="240"/>
      <c r="V269" s="240"/>
      <c r="W269" s="240"/>
      <c r="X269" s="240"/>
      <c r="Y269" s="240"/>
      <c r="Z269" s="240"/>
      <c r="AA269" s="240"/>
      <c r="AB269" s="240"/>
    </row>
    <row r="270" spans="1:39" ht="27" customHeight="1" x14ac:dyDescent="0.35">
      <c r="A270" s="240"/>
      <c r="B270" s="240"/>
      <c r="C270" s="240"/>
      <c r="D270" s="240"/>
      <c r="E270" s="240"/>
      <c r="F270" s="240"/>
      <c r="G270" s="240"/>
      <c r="H270" s="240"/>
      <c r="I270" s="240"/>
      <c r="J270" s="240"/>
      <c r="K270" s="240"/>
      <c r="L270" s="240"/>
      <c r="M270" s="240"/>
      <c r="N270" s="240"/>
      <c r="O270" s="240"/>
      <c r="P270" s="240"/>
      <c r="Q270" s="240"/>
      <c r="R270" s="240"/>
      <c r="S270" s="240"/>
      <c r="T270" s="240"/>
      <c r="U270" s="240"/>
      <c r="V270" s="240"/>
      <c r="W270" s="240"/>
      <c r="X270" s="240"/>
      <c r="Y270" s="240"/>
      <c r="Z270" s="240"/>
      <c r="AA270" s="240"/>
      <c r="AB270" s="240"/>
    </row>
    <row r="271" spans="1:39" ht="27" customHeight="1" x14ac:dyDescent="0.35">
      <c r="A271" s="240"/>
      <c r="B271" s="240"/>
      <c r="C271" s="240"/>
      <c r="D271" s="240"/>
      <c r="E271" s="240"/>
      <c r="F271" s="240"/>
      <c r="G271" s="240"/>
      <c r="H271" s="240"/>
      <c r="I271" s="240"/>
      <c r="J271" s="240"/>
      <c r="K271" s="240"/>
      <c r="L271" s="240"/>
      <c r="M271" s="240"/>
      <c r="N271" s="240"/>
      <c r="O271" s="240"/>
      <c r="P271" s="240"/>
      <c r="Q271" s="240"/>
      <c r="R271" s="240"/>
      <c r="S271" s="240"/>
      <c r="T271" s="240"/>
      <c r="U271" s="240"/>
      <c r="V271" s="240"/>
      <c r="W271" s="240"/>
      <c r="X271" s="240"/>
      <c r="Y271" s="240"/>
      <c r="Z271" s="240"/>
      <c r="AA271" s="240"/>
      <c r="AB271" s="240"/>
    </row>
    <row r="272" spans="1:39" ht="27" customHeight="1" x14ac:dyDescent="0.35">
      <c r="A272" s="240"/>
      <c r="B272" s="240"/>
      <c r="C272" s="240"/>
      <c r="D272" s="240"/>
      <c r="E272" s="240"/>
      <c r="F272" s="240"/>
      <c r="G272" s="240"/>
      <c r="H272" s="240"/>
      <c r="I272" s="240"/>
      <c r="J272" s="240"/>
      <c r="K272" s="240"/>
      <c r="L272" s="240"/>
      <c r="M272" s="240"/>
      <c r="N272" s="240"/>
      <c r="O272" s="240"/>
      <c r="P272" s="240"/>
      <c r="Q272" s="240"/>
      <c r="R272" s="240"/>
      <c r="S272" s="240"/>
      <c r="T272" s="240"/>
      <c r="U272" s="240"/>
      <c r="V272" s="240"/>
      <c r="W272" s="240"/>
      <c r="X272" s="240"/>
      <c r="Y272" s="240"/>
      <c r="Z272" s="240"/>
      <c r="AA272" s="240"/>
      <c r="AB272" s="240"/>
    </row>
    <row r="273" spans="1:28" ht="27" customHeight="1" x14ac:dyDescent="0.35">
      <c r="A273" s="240"/>
      <c r="B273" s="240"/>
      <c r="C273" s="240"/>
      <c r="D273" s="240"/>
      <c r="E273" s="240"/>
      <c r="F273" s="240"/>
      <c r="G273" s="240"/>
      <c r="H273" s="240"/>
      <c r="I273" s="240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  <c r="Z273" s="240"/>
      <c r="AA273" s="240"/>
      <c r="AB273" s="240"/>
    </row>
    <row r="274" spans="1:28" ht="27" customHeight="1" x14ac:dyDescent="0.35">
      <c r="A274" s="240"/>
      <c r="B274" s="240"/>
      <c r="C274" s="240"/>
      <c r="D274" s="240"/>
      <c r="E274" s="240"/>
      <c r="F274" s="240"/>
      <c r="G274" s="240"/>
      <c r="H274" s="240"/>
      <c r="I274" s="240"/>
      <c r="J274" s="240"/>
      <c r="K274" s="240"/>
      <c r="L274" s="240"/>
      <c r="M274" s="240"/>
      <c r="N274" s="240"/>
      <c r="O274" s="240"/>
      <c r="P274" s="240"/>
      <c r="Q274" s="240"/>
      <c r="R274" s="240"/>
      <c r="S274" s="240"/>
      <c r="T274" s="240"/>
      <c r="U274" s="240"/>
      <c r="V274" s="240"/>
      <c r="W274" s="240"/>
      <c r="X274" s="240"/>
      <c r="Y274" s="240"/>
      <c r="Z274" s="240"/>
      <c r="AA274" s="240"/>
      <c r="AB274" s="240"/>
    </row>
    <row r="275" spans="1:28" ht="27" customHeight="1" x14ac:dyDescent="0.35">
      <c r="A275" s="240"/>
      <c r="B275" s="240"/>
      <c r="C275" s="240"/>
      <c r="D275" s="240"/>
      <c r="E275" s="240"/>
      <c r="F275" s="240"/>
      <c r="G275" s="240"/>
      <c r="H275" s="240"/>
      <c r="I275" s="240"/>
      <c r="J275" s="240"/>
      <c r="K275" s="240"/>
      <c r="L275" s="240"/>
      <c r="M275" s="240"/>
      <c r="N275" s="240"/>
      <c r="O275" s="240"/>
      <c r="P275" s="240"/>
      <c r="Q275" s="240"/>
      <c r="R275" s="240"/>
      <c r="S275" s="240"/>
      <c r="T275" s="240"/>
      <c r="U275" s="240"/>
      <c r="V275" s="240"/>
      <c r="W275" s="240"/>
      <c r="X275" s="240"/>
      <c r="Y275" s="240"/>
      <c r="Z275" s="240"/>
      <c r="AA275" s="240"/>
      <c r="AB275" s="240"/>
    </row>
    <row r="276" spans="1:28" ht="27" customHeight="1" x14ac:dyDescent="0.35">
      <c r="A276" s="240"/>
      <c r="B276" s="240"/>
      <c r="C276" s="240"/>
      <c r="D276" s="240"/>
      <c r="E276" s="240"/>
      <c r="F276" s="240"/>
      <c r="G276" s="240"/>
      <c r="H276" s="240"/>
      <c r="I276" s="240"/>
      <c r="J276" s="240"/>
      <c r="K276" s="240"/>
      <c r="L276" s="240"/>
      <c r="M276" s="240"/>
      <c r="N276" s="240"/>
      <c r="O276" s="240"/>
      <c r="P276" s="240"/>
      <c r="Q276" s="240"/>
      <c r="R276" s="240"/>
      <c r="S276" s="240"/>
      <c r="T276" s="240"/>
      <c r="U276" s="240"/>
      <c r="V276" s="240"/>
      <c r="W276" s="240"/>
      <c r="X276" s="240"/>
      <c r="Y276" s="240"/>
      <c r="Z276" s="240"/>
      <c r="AA276" s="240"/>
      <c r="AB276" s="240"/>
    </row>
    <row r="277" spans="1:28" ht="27" customHeight="1" x14ac:dyDescent="0.35">
      <c r="A277" s="240"/>
      <c r="B277" s="240"/>
      <c r="C277" s="240"/>
      <c r="D277" s="240"/>
      <c r="E277" s="240"/>
      <c r="F277" s="240"/>
      <c r="G277" s="240"/>
      <c r="H277" s="240"/>
      <c r="I277" s="240"/>
      <c r="J277" s="240"/>
      <c r="K277" s="240"/>
      <c r="L277" s="240"/>
      <c r="M277" s="240"/>
      <c r="N277" s="240"/>
      <c r="O277" s="240"/>
      <c r="P277" s="240"/>
      <c r="Q277" s="240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</row>
    <row r="278" spans="1:28" ht="27" customHeight="1" x14ac:dyDescent="0.35">
      <c r="A278" s="240"/>
      <c r="B278" s="240"/>
      <c r="C278" s="240"/>
      <c r="D278" s="240"/>
      <c r="E278" s="240"/>
      <c r="F278" s="240"/>
      <c r="G278" s="240"/>
      <c r="H278" s="240"/>
      <c r="I278" s="240"/>
      <c r="J278" s="240"/>
      <c r="K278" s="240"/>
      <c r="L278" s="240"/>
      <c r="M278" s="240"/>
      <c r="N278" s="240"/>
      <c r="O278" s="240"/>
      <c r="P278" s="240"/>
      <c r="Q278" s="240"/>
      <c r="R278" s="240"/>
      <c r="S278" s="240"/>
      <c r="T278" s="240"/>
      <c r="U278" s="240"/>
      <c r="V278" s="240"/>
      <c r="W278" s="240"/>
      <c r="X278" s="240"/>
      <c r="Y278" s="240"/>
      <c r="Z278" s="240"/>
      <c r="AA278" s="240"/>
      <c r="AB278" s="240"/>
    </row>
    <row r="279" spans="1:28" ht="27" customHeight="1" x14ac:dyDescent="0.35">
      <c r="A279" s="240"/>
      <c r="B279" s="240"/>
      <c r="C279" s="240"/>
      <c r="D279" s="240"/>
      <c r="E279" s="240"/>
      <c r="F279" s="240"/>
      <c r="G279" s="240"/>
      <c r="H279" s="240"/>
      <c r="I279" s="240"/>
      <c r="J279" s="240"/>
      <c r="K279" s="240"/>
      <c r="L279" s="240"/>
      <c r="M279" s="240"/>
      <c r="N279" s="240"/>
      <c r="O279" s="240"/>
      <c r="P279" s="240"/>
      <c r="Q279" s="240"/>
      <c r="R279" s="240"/>
      <c r="S279" s="240"/>
      <c r="T279" s="240"/>
      <c r="U279" s="240"/>
      <c r="V279" s="240"/>
      <c r="W279" s="240"/>
      <c r="X279" s="240"/>
      <c r="Y279" s="240"/>
      <c r="Z279" s="240"/>
      <c r="AA279" s="240"/>
      <c r="AB279" s="240"/>
    </row>
    <row r="280" spans="1:28" ht="27" customHeight="1" x14ac:dyDescent="0.35">
      <c r="A280" s="240"/>
      <c r="B280" s="240"/>
      <c r="C280" s="240"/>
      <c r="D280" s="240"/>
      <c r="E280" s="240"/>
      <c r="F280" s="240"/>
      <c r="G280" s="240"/>
      <c r="H280" s="240"/>
      <c r="I280" s="240"/>
      <c r="J280" s="240"/>
      <c r="K280" s="240"/>
      <c r="L280" s="240"/>
      <c r="M280" s="240"/>
      <c r="N280" s="240"/>
      <c r="O280" s="240"/>
      <c r="P280" s="240"/>
      <c r="Q280" s="240"/>
      <c r="R280" s="240"/>
      <c r="S280" s="240"/>
      <c r="T280" s="240"/>
      <c r="U280" s="240"/>
      <c r="V280" s="240"/>
      <c r="W280" s="240"/>
      <c r="X280" s="240"/>
      <c r="Y280" s="240"/>
      <c r="Z280" s="240"/>
      <c r="AA280" s="240"/>
      <c r="AB280" s="240"/>
    </row>
    <row r="281" spans="1:28" ht="27" customHeight="1" x14ac:dyDescent="0.35">
      <c r="A281" s="240"/>
      <c r="B281" s="240"/>
      <c r="C281" s="240"/>
      <c r="D281" s="240"/>
      <c r="E281" s="240"/>
      <c r="F281" s="240"/>
      <c r="G281" s="240"/>
      <c r="H281" s="240"/>
      <c r="I281" s="240"/>
      <c r="J281" s="240"/>
      <c r="K281" s="240"/>
      <c r="L281" s="240"/>
      <c r="M281" s="240"/>
      <c r="N281" s="240"/>
      <c r="O281" s="240"/>
      <c r="P281" s="240"/>
      <c r="Q281" s="240"/>
      <c r="R281" s="240"/>
      <c r="S281" s="240"/>
      <c r="T281" s="240"/>
      <c r="U281" s="240"/>
      <c r="V281" s="240"/>
      <c r="W281" s="240"/>
      <c r="X281" s="240"/>
      <c r="Y281" s="240"/>
      <c r="Z281" s="240"/>
      <c r="AA281" s="240"/>
      <c r="AB281" s="240"/>
    </row>
    <row r="282" spans="1:28" ht="27" customHeight="1" x14ac:dyDescent="0.35">
      <c r="A282" s="240"/>
      <c r="B282" s="240"/>
      <c r="C282" s="240"/>
      <c r="D282" s="240"/>
      <c r="E282" s="240"/>
      <c r="F282" s="240"/>
      <c r="G282" s="240"/>
      <c r="H282" s="240"/>
      <c r="I282" s="240"/>
      <c r="J282" s="240"/>
      <c r="K282" s="240"/>
      <c r="L282" s="240"/>
      <c r="M282" s="240"/>
      <c r="N282" s="240"/>
      <c r="O282" s="240"/>
      <c r="P282" s="240"/>
      <c r="Q282" s="240"/>
      <c r="R282" s="240"/>
      <c r="S282" s="240"/>
      <c r="T282" s="240"/>
      <c r="U282" s="240"/>
      <c r="V282" s="240"/>
      <c r="W282" s="240"/>
      <c r="X282" s="240"/>
      <c r="Y282" s="240"/>
      <c r="Z282" s="240"/>
      <c r="AA282" s="240"/>
      <c r="AB282" s="240"/>
    </row>
    <row r="283" spans="1:28" ht="27" customHeight="1" x14ac:dyDescent="0.35">
      <c r="A283" s="240"/>
      <c r="B283" s="240"/>
      <c r="C283" s="240"/>
      <c r="D283" s="240"/>
      <c r="E283" s="240"/>
      <c r="F283" s="240"/>
      <c r="G283" s="240"/>
      <c r="H283" s="240"/>
      <c r="I283" s="240"/>
      <c r="J283" s="240"/>
      <c r="K283" s="240"/>
      <c r="L283" s="240"/>
      <c r="M283" s="240"/>
      <c r="N283" s="240"/>
      <c r="O283" s="240"/>
      <c r="P283" s="240"/>
      <c r="Q283" s="240"/>
      <c r="R283" s="240"/>
      <c r="S283" s="240"/>
      <c r="T283" s="240"/>
      <c r="U283" s="240"/>
      <c r="V283" s="240"/>
      <c r="W283" s="240"/>
      <c r="X283" s="240"/>
      <c r="Y283" s="240"/>
      <c r="Z283" s="240"/>
      <c r="AA283" s="240"/>
      <c r="AB283" s="240"/>
    </row>
    <row r="284" spans="1:28" ht="27" customHeight="1" x14ac:dyDescent="0.35">
      <c r="A284" s="240"/>
      <c r="B284" s="240"/>
      <c r="C284" s="240"/>
      <c r="D284" s="240"/>
      <c r="E284" s="240"/>
      <c r="F284" s="240"/>
      <c r="G284" s="240"/>
      <c r="H284" s="240"/>
      <c r="I284" s="240"/>
      <c r="J284" s="240"/>
      <c r="K284" s="240"/>
      <c r="L284" s="240"/>
      <c r="M284" s="240"/>
      <c r="N284" s="240"/>
      <c r="O284" s="240"/>
      <c r="P284" s="240"/>
      <c r="Q284" s="240"/>
      <c r="R284" s="240"/>
      <c r="S284" s="240"/>
      <c r="T284" s="240"/>
      <c r="U284" s="240"/>
      <c r="V284" s="240"/>
      <c r="W284" s="240"/>
      <c r="X284" s="240"/>
      <c r="Y284" s="240"/>
      <c r="Z284" s="240"/>
      <c r="AA284" s="240"/>
      <c r="AB284" s="240"/>
    </row>
    <row r="285" spans="1:28" ht="27" customHeight="1" x14ac:dyDescent="0.35">
      <c r="A285" s="240"/>
      <c r="B285" s="240"/>
      <c r="C285" s="240"/>
      <c r="D285" s="240"/>
      <c r="E285" s="240"/>
      <c r="F285" s="240"/>
      <c r="G285" s="240"/>
      <c r="H285" s="240"/>
      <c r="I285" s="240"/>
      <c r="J285" s="240"/>
      <c r="K285" s="240"/>
      <c r="L285" s="240"/>
      <c r="M285" s="240"/>
      <c r="N285" s="240"/>
      <c r="O285" s="240"/>
      <c r="P285" s="240"/>
      <c r="Q285" s="240"/>
      <c r="R285" s="240"/>
      <c r="S285" s="240"/>
      <c r="T285" s="240"/>
      <c r="U285" s="240"/>
      <c r="V285" s="240"/>
      <c r="W285" s="240"/>
      <c r="X285" s="240"/>
      <c r="Y285" s="240"/>
      <c r="Z285" s="240"/>
      <c r="AA285" s="240"/>
      <c r="AB285" s="240"/>
    </row>
    <row r="286" spans="1:28" ht="27" customHeight="1" x14ac:dyDescent="0.35">
      <c r="A286" s="240"/>
      <c r="B286" s="240"/>
      <c r="C286" s="240"/>
      <c r="D286" s="240"/>
      <c r="E286" s="240"/>
      <c r="F286" s="240"/>
      <c r="G286" s="240"/>
      <c r="H286" s="240"/>
      <c r="I286" s="240"/>
      <c r="J286" s="240"/>
      <c r="K286" s="240"/>
      <c r="L286" s="240"/>
      <c r="M286" s="240"/>
      <c r="N286" s="240"/>
      <c r="O286" s="240"/>
      <c r="P286" s="240"/>
      <c r="Q286" s="240"/>
      <c r="R286" s="240"/>
      <c r="S286" s="240"/>
      <c r="T286" s="240"/>
      <c r="U286" s="240"/>
      <c r="V286" s="240"/>
      <c r="W286" s="240"/>
      <c r="X286" s="240"/>
      <c r="Y286" s="240"/>
      <c r="Z286" s="240"/>
      <c r="AA286" s="240"/>
      <c r="AB286" s="240"/>
    </row>
    <row r="287" spans="1:28" ht="27" customHeight="1" x14ac:dyDescent="0.35">
      <c r="A287" s="240"/>
      <c r="B287" s="240"/>
      <c r="C287" s="240"/>
      <c r="D287" s="240"/>
      <c r="E287" s="240"/>
      <c r="F287" s="240"/>
      <c r="G287" s="240"/>
      <c r="H287" s="240"/>
      <c r="I287" s="240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  <c r="Z287" s="240"/>
      <c r="AA287" s="240"/>
      <c r="AB287" s="240"/>
    </row>
    <row r="288" spans="1:28" ht="27" customHeight="1" x14ac:dyDescent="0.35">
      <c r="A288" s="240"/>
      <c r="B288" s="240"/>
      <c r="C288" s="240"/>
      <c r="D288" s="240"/>
      <c r="E288" s="240"/>
      <c r="F288" s="240"/>
      <c r="G288" s="240"/>
      <c r="H288" s="240"/>
      <c r="I288" s="240"/>
      <c r="J288" s="240"/>
      <c r="K288" s="240"/>
      <c r="L288" s="240"/>
      <c r="M288" s="240"/>
      <c r="N288" s="240"/>
      <c r="O288" s="240"/>
      <c r="P288" s="240"/>
      <c r="Q288" s="240"/>
      <c r="R288" s="240"/>
      <c r="S288" s="240"/>
      <c r="T288" s="240"/>
      <c r="U288" s="240"/>
      <c r="V288" s="240"/>
      <c r="W288" s="240"/>
      <c r="X288" s="240"/>
      <c r="Y288" s="240"/>
      <c r="Z288" s="240"/>
      <c r="AA288" s="240"/>
      <c r="AB288" s="240"/>
    </row>
    <row r="289" spans="1:28" ht="27" customHeight="1" x14ac:dyDescent="0.35">
      <c r="A289" s="240"/>
      <c r="B289" s="240"/>
      <c r="C289" s="240"/>
      <c r="D289" s="240"/>
      <c r="E289" s="240"/>
      <c r="F289" s="240"/>
      <c r="G289" s="240"/>
      <c r="H289" s="240"/>
      <c r="I289" s="240"/>
      <c r="J289" s="240"/>
      <c r="K289" s="240"/>
      <c r="L289" s="240"/>
      <c r="M289" s="240"/>
      <c r="N289" s="240"/>
      <c r="O289" s="240"/>
      <c r="P289" s="240"/>
      <c r="Q289" s="240"/>
      <c r="R289" s="240"/>
      <c r="S289" s="240"/>
      <c r="T289" s="240"/>
      <c r="U289" s="240"/>
      <c r="V289" s="240"/>
      <c r="W289" s="240"/>
      <c r="X289" s="240"/>
      <c r="Y289" s="240"/>
      <c r="Z289" s="240"/>
      <c r="AA289" s="240"/>
      <c r="AB289" s="240"/>
    </row>
    <row r="290" spans="1:28" ht="27" customHeight="1" x14ac:dyDescent="0.35">
      <c r="A290" s="240"/>
      <c r="B290" s="240"/>
      <c r="C290" s="240"/>
      <c r="D290" s="240"/>
      <c r="E290" s="240"/>
      <c r="F290" s="240"/>
      <c r="G290" s="240"/>
      <c r="H290" s="240"/>
      <c r="I290" s="240"/>
      <c r="J290" s="240"/>
      <c r="K290" s="240"/>
      <c r="L290" s="240"/>
      <c r="M290" s="240"/>
      <c r="N290" s="240"/>
      <c r="O290" s="240"/>
      <c r="P290" s="240"/>
      <c r="Q290" s="240"/>
      <c r="R290" s="240"/>
      <c r="S290" s="240"/>
      <c r="T290" s="240"/>
      <c r="U290" s="240"/>
      <c r="V290" s="240"/>
      <c r="W290" s="240"/>
      <c r="X290" s="240"/>
      <c r="Y290" s="240"/>
      <c r="Z290" s="240"/>
      <c r="AA290" s="240"/>
      <c r="AB290" s="240"/>
    </row>
    <row r="291" spans="1:28" ht="27" customHeight="1" x14ac:dyDescent="0.35">
      <c r="A291" s="240"/>
      <c r="B291" s="240"/>
      <c r="C291" s="240"/>
      <c r="D291" s="240"/>
      <c r="E291" s="240"/>
      <c r="F291" s="240"/>
      <c r="G291" s="240"/>
      <c r="H291" s="240"/>
      <c r="I291" s="240"/>
      <c r="J291" s="240"/>
      <c r="K291" s="240"/>
      <c r="L291" s="240"/>
      <c r="M291" s="240"/>
      <c r="N291" s="240"/>
      <c r="O291" s="240"/>
      <c r="P291" s="240"/>
      <c r="Q291" s="240"/>
      <c r="R291" s="240"/>
      <c r="S291" s="240"/>
      <c r="T291" s="240"/>
      <c r="U291" s="240"/>
      <c r="V291" s="240"/>
      <c r="W291" s="240"/>
      <c r="X291" s="240"/>
      <c r="Y291" s="240"/>
      <c r="Z291" s="240"/>
      <c r="AA291" s="240"/>
      <c r="AB291" s="240"/>
    </row>
    <row r="292" spans="1:28" ht="27" customHeight="1" x14ac:dyDescent="0.35">
      <c r="A292" s="240"/>
      <c r="B292" s="240"/>
      <c r="C292" s="240"/>
      <c r="D292" s="240"/>
      <c r="E292" s="240"/>
      <c r="F292" s="240"/>
      <c r="G292" s="240"/>
      <c r="H292" s="240"/>
      <c r="I292" s="240"/>
      <c r="J292" s="240"/>
      <c r="K292" s="240"/>
      <c r="L292" s="240"/>
      <c r="M292" s="240"/>
      <c r="N292" s="240"/>
      <c r="O292" s="240"/>
      <c r="P292" s="240"/>
      <c r="Q292" s="240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</row>
    <row r="293" spans="1:28" ht="27" customHeight="1" x14ac:dyDescent="0.35">
      <c r="A293" s="240"/>
      <c r="B293" s="240"/>
      <c r="C293" s="240"/>
      <c r="D293" s="240"/>
      <c r="E293" s="240"/>
      <c r="F293" s="240"/>
      <c r="G293" s="240"/>
      <c r="H293" s="240"/>
      <c r="I293" s="240"/>
      <c r="J293" s="240"/>
      <c r="K293" s="240"/>
      <c r="L293" s="240"/>
      <c r="M293" s="240"/>
      <c r="N293" s="240"/>
      <c r="O293" s="240"/>
      <c r="P293" s="240"/>
      <c r="Q293" s="240"/>
      <c r="R293" s="240"/>
      <c r="S293" s="240"/>
      <c r="T293" s="240"/>
      <c r="U293" s="240"/>
      <c r="V293" s="240"/>
      <c r="W293" s="240"/>
      <c r="X293" s="240"/>
      <c r="Y293" s="240"/>
      <c r="Z293" s="240"/>
      <c r="AA293" s="240"/>
      <c r="AB293" s="240"/>
    </row>
    <row r="294" spans="1:28" ht="27" customHeight="1" x14ac:dyDescent="0.35">
      <c r="A294" s="240"/>
      <c r="B294" s="240"/>
      <c r="C294" s="240"/>
      <c r="D294" s="240"/>
      <c r="E294" s="240"/>
      <c r="F294" s="240"/>
      <c r="G294" s="240"/>
      <c r="H294" s="240"/>
      <c r="I294" s="240"/>
      <c r="J294" s="240"/>
      <c r="K294" s="240"/>
      <c r="L294" s="240"/>
      <c r="M294" s="240"/>
      <c r="N294" s="240"/>
      <c r="O294" s="240"/>
      <c r="P294" s="240"/>
      <c r="Q294" s="240"/>
      <c r="R294" s="240"/>
      <c r="S294" s="240"/>
      <c r="T294" s="240"/>
      <c r="U294" s="240"/>
      <c r="V294" s="240"/>
      <c r="W294" s="240"/>
      <c r="X294" s="240"/>
      <c r="Y294" s="240"/>
      <c r="Z294" s="240"/>
      <c r="AA294" s="240"/>
      <c r="AB294" s="240"/>
    </row>
    <row r="295" spans="1:28" ht="27" customHeight="1" x14ac:dyDescent="0.35">
      <c r="A295" s="240"/>
      <c r="B295" s="240"/>
      <c r="C295" s="240"/>
      <c r="D295" s="240"/>
      <c r="E295" s="240"/>
      <c r="F295" s="240"/>
      <c r="G295" s="240"/>
      <c r="H295" s="240"/>
      <c r="I295" s="240"/>
      <c r="J295" s="240"/>
      <c r="K295" s="240"/>
      <c r="L295" s="240"/>
      <c r="M295" s="240"/>
      <c r="N295" s="240"/>
      <c r="O295" s="240"/>
      <c r="P295" s="240"/>
      <c r="Q295" s="240"/>
      <c r="R295" s="240"/>
      <c r="S295" s="240"/>
      <c r="T295" s="240"/>
      <c r="U295" s="240"/>
      <c r="V295" s="240"/>
      <c r="W295" s="240"/>
      <c r="X295" s="240"/>
      <c r="Y295" s="240"/>
      <c r="Z295" s="240"/>
      <c r="AA295" s="240"/>
      <c r="AB295" s="240"/>
    </row>
    <row r="296" spans="1:28" ht="27" customHeight="1" x14ac:dyDescent="0.35">
      <c r="A296" s="240"/>
      <c r="B296" s="240"/>
      <c r="C296" s="240"/>
      <c r="D296" s="240"/>
      <c r="E296" s="240"/>
      <c r="F296" s="240"/>
      <c r="G296" s="240"/>
      <c r="H296" s="240"/>
      <c r="I296" s="240"/>
      <c r="J296" s="240"/>
      <c r="K296" s="240"/>
      <c r="L296" s="240"/>
      <c r="M296" s="240"/>
      <c r="N296" s="240"/>
      <c r="O296" s="240"/>
      <c r="P296" s="240"/>
      <c r="Q296" s="240"/>
      <c r="R296" s="240"/>
      <c r="S296" s="240"/>
      <c r="T296" s="240"/>
      <c r="U296" s="240"/>
      <c r="V296" s="240"/>
      <c r="W296" s="240"/>
      <c r="X296" s="240"/>
      <c r="Y296" s="240"/>
      <c r="Z296" s="240"/>
      <c r="AA296" s="240"/>
      <c r="AB296" s="240"/>
    </row>
    <row r="297" spans="1:28" ht="27" customHeight="1" x14ac:dyDescent="0.35">
      <c r="A297" s="240"/>
      <c r="B297" s="240"/>
      <c r="C297" s="240"/>
      <c r="D297" s="240"/>
      <c r="E297" s="240"/>
      <c r="F297" s="240"/>
      <c r="G297" s="240"/>
      <c r="H297" s="240"/>
      <c r="I297" s="240"/>
      <c r="J297" s="240"/>
      <c r="K297" s="240"/>
      <c r="L297" s="240"/>
      <c r="M297" s="240"/>
      <c r="N297" s="240"/>
      <c r="O297" s="240"/>
      <c r="P297" s="240"/>
      <c r="Q297" s="240"/>
      <c r="R297" s="240"/>
      <c r="S297" s="240"/>
      <c r="T297" s="240"/>
      <c r="U297" s="240"/>
      <c r="V297" s="240"/>
      <c r="W297" s="240"/>
      <c r="X297" s="240"/>
      <c r="Y297" s="240"/>
      <c r="Z297" s="240"/>
      <c r="AA297" s="240"/>
      <c r="AB297" s="240"/>
    </row>
    <row r="298" spans="1:28" ht="27" customHeight="1" x14ac:dyDescent="0.35">
      <c r="A298" s="240"/>
      <c r="B298" s="240"/>
      <c r="C298" s="240"/>
      <c r="D298" s="240"/>
      <c r="E298" s="240"/>
      <c r="F298" s="240"/>
      <c r="G298" s="240"/>
      <c r="H298" s="240"/>
      <c r="I298" s="240"/>
      <c r="J298" s="240"/>
      <c r="K298" s="240"/>
      <c r="L298" s="240"/>
      <c r="M298" s="240"/>
      <c r="N298" s="240"/>
      <c r="O298" s="240"/>
      <c r="P298" s="240"/>
      <c r="Q298" s="240"/>
      <c r="R298" s="240"/>
      <c r="S298" s="240"/>
      <c r="T298" s="240"/>
      <c r="U298" s="240"/>
      <c r="V298" s="240"/>
      <c r="W298" s="240"/>
      <c r="X298" s="240"/>
      <c r="Y298" s="240"/>
      <c r="Z298" s="240"/>
      <c r="AA298" s="240"/>
      <c r="AB298" s="240"/>
    </row>
    <row r="299" spans="1:28" ht="27" customHeight="1" x14ac:dyDescent="0.35">
      <c r="A299" s="240"/>
      <c r="B299" s="240"/>
      <c r="C299" s="240"/>
      <c r="D299" s="240"/>
      <c r="E299" s="240"/>
      <c r="F299" s="240"/>
      <c r="G299" s="240"/>
      <c r="H299" s="240"/>
      <c r="I299" s="240"/>
      <c r="J299" s="240"/>
      <c r="K299" s="240"/>
      <c r="L299" s="240"/>
      <c r="M299" s="240"/>
      <c r="N299" s="240"/>
      <c r="O299" s="240"/>
      <c r="P299" s="240"/>
      <c r="Q299" s="240"/>
      <c r="R299" s="240"/>
      <c r="S299" s="240"/>
      <c r="T299" s="240"/>
      <c r="U299" s="240"/>
      <c r="V299" s="240"/>
      <c r="W299" s="240"/>
      <c r="X299" s="240"/>
      <c r="Y299" s="240"/>
      <c r="Z299" s="240"/>
      <c r="AA299" s="240"/>
      <c r="AB299" s="240"/>
    </row>
    <row r="300" spans="1:28" ht="27" customHeight="1" x14ac:dyDescent="0.35">
      <c r="A300" s="240"/>
      <c r="B300" s="240"/>
      <c r="C300" s="240"/>
      <c r="D300" s="240"/>
      <c r="E300" s="240"/>
      <c r="F300" s="240"/>
      <c r="G300" s="240"/>
      <c r="H300" s="240"/>
      <c r="I300" s="240"/>
      <c r="J300" s="240"/>
      <c r="K300" s="240"/>
      <c r="L300" s="240"/>
      <c r="M300" s="240"/>
      <c r="N300" s="240"/>
      <c r="O300" s="240"/>
      <c r="P300" s="240"/>
      <c r="Q300" s="240"/>
      <c r="R300" s="240"/>
      <c r="S300" s="240"/>
      <c r="T300" s="240"/>
      <c r="U300" s="240"/>
      <c r="V300" s="240"/>
      <c r="W300" s="240"/>
      <c r="X300" s="240"/>
      <c r="Y300" s="240"/>
      <c r="Z300" s="240"/>
      <c r="AA300" s="240"/>
      <c r="AB300" s="240"/>
    </row>
    <row r="301" spans="1:28" ht="27" customHeight="1" x14ac:dyDescent="0.35">
      <c r="A301" s="240"/>
      <c r="B301" s="240"/>
      <c r="C301" s="240"/>
      <c r="D301" s="240"/>
      <c r="E301" s="240"/>
      <c r="F301" s="240"/>
      <c r="G301" s="240"/>
      <c r="H301" s="240"/>
      <c r="I301" s="240"/>
      <c r="J301" s="240"/>
      <c r="K301" s="240"/>
      <c r="L301" s="240"/>
      <c r="M301" s="240"/>
      <c r="N301" s="240"/>
      <c r="O301" s="240"/>
      <c r="P301" s="240"/>
      <c r="Q301" s="240"/>
      <c r="R301" s="240"/>
      <c r="S301" s="240"/>
      <c r="T301" s="240"/>
      <c r="U301" s="240"/>
      <c r="V301" s="240"/>
      <c r="W301" s="240"/>
      <c r="X301" s="240"/>
      <c r="Y301" s="240"/>
      <c r="Z301" s="240"/>
      <c r="AA301" s="240"/>
      <c r="AB301" s="240"/>
    </row>
    <row r="302" spans="1:28" ht="27" customHeight="1" x14ac:dyDescent="0.35">
      <c r="A302" s="240"/>
      <c r="B302" s="240"/>
      <c r="C302" s="240"/>
      <c r="D302" s="240"/>
      <c r="E302" s="240"/>
      <c r="F302" s="240"/>
      <c r="G302" s="240"/>
      <c r="H302" s="240"/>
      <c r="I302" s="240"/>
      <c r="J302" s="240"/>
      <c r="K302" s="240"/>
      <c r="L302" s="240"/>
      <c r="M302" s="240"/>
      <c r="N302" s="240"/>
      <c r="O302" s="240"/>
      <c r="P302" s="240"/>
      <c r="Q302" s="240"/>
      <c r="R302" s="240"/>
      <c r="S302" s="240"/>
      <c r="T302" s="240"/>
      <c r="U302" s="240"/>
      <c r="V302" s="240"/>
      <c r="W302" s="240"/>
      <c r="X302" s="240"/>
      <c r="Y302" s="240"/>
      <c r="Z302" s="240"/>
      <c r="AA302" s="240"/>
      <c r="AB302" s="240"/>
    </row>
    <row r="303" spans="1:28" ht="27" customHeight="1" x14ac:dyDescent="0.35">
      <c r="A303" s="240"/>
      <c r="B303" s="240"/>
      <c r="C303" s="240"/>
      <c r="D303" s="240"/>
      <c r="E303" s="240"/>
      <c r="F303" s="240"/>
      <c r="G303" s="240"/>
      <c r="H303" s="240"/>
      <c r="I303" s="240"/>
      <c r="J303" s="240"/>
      <c r="K303" s="240"/>
      <c r="L303" s="240"/>
      <c r="M303" s="240"/>
      <c r="N303" s="240"/>
      <c r="O303" s="240"/>
      <c r="P303" s="240"/>
      <c r="Q303" s="240"/>
      <c r="R303" s="240"/>
      <c r="S303" s="240"/>
      <c r="T303" s="240"/>
      <c r="U303" s="240"/>
      <c r="V303" s="240"/>
      <c r="W303" s="240"/>
      <c r="X303" s="240"/>
      <c r="Y303" s="240"/>
      <c r="Z303" s="240"/>
      <c r="AA303" s="240"/>
      <c r="AB303" s="240"/>
    </row>
    <row r="304" spans="1:28" ht="27" customHeight="1" x14ac:dyDescent="0.35">
      <c r="A304" s="240"/>
      <c r="B304" s="240"/>
      <c r="C304" s="240"/>
      <c r="D304" s="240"/>
      <c r="E304" s="240"/>
      <c r="F304" s="240"/>
      <c r="G304" s="240"/>
      <c r="H304" s="240"/>
      <c r="I304" s="240"/>
      <c r="J304" s="240"/>
      <c r="K304" s="240"/>
      <c r="L304" s="240"/>
      <c r="M304" s="240"/>
      <c r="N304" s="240"/>
      <c r="O304" s="240"/>
      <c r="P304" s="240"/>
      <c r="Q304" s="240"/>
      <c r="R304" s="240"/>
      <c r="S304" s="240"/>
      <c r="T304" s="240"/>
      <c r="U304" s="240"/>
      <c r="V304" s="240"/>
      <c r="W304" s="240"/>
      <c r="X304" s="240"/>
      <c r="Y304" s="240"/>
      <c r="Z304" s="240"/>
      <c r="AA304" s="240"/>
      <c r="AB304" s="240"/>
    </row>
    <row r="305" spans="1:28" ht="27" customHeight="1" x14ac:dyDescent="0.35">
      <c r="A305" s="240"/>
      <c r="B305" s="240"/>
      <c r="C305" s="240"/>
      <c r="D305" s="240"/>
      <c r="E305" s="240"/>
      <c r="F305" s="240"/>
      <c r="G305" s="240"/>
      <c r="H305" s="240"/>
      <c r="I305" s="240"/>
      <c r="J305" s="240"/>
      <c r="K305" s="240"/>
      <c r="L305" s="240"/>
      <c r="M305" s="240"/>
      <c r="N305" s="240"/>
      <c r="O305" s="240"/>
      <c r="P305" s="240"/>
      <c r="Q305" s="240"/>
      <c r="R305" s="240"/>
      <c r="S305" s="240"/>
      <c r="T305" s="240"/>
      <c r="U305" s="240"/>
      <c r="V305" s="240"/>
      <c r="W305" s="240"/>
      <c r="X305" s="240"/>
      <c r="Y305" s="240"/>
      <c r="Z305" s="240"/>
      <c r="AA305" s="240"/>
      <c r="AB305" s="240"/>
    </row>
    <row r="306" spans="1:28" ht="27" customHeight="1" x14ac:dyDescent="0.35">
      <c r="A306" s="240"/>
      <c r="B306" s="240"/>
      <c r="C306" s="240"/>
      <c r="D306" s="240"/>
      <c r="E306" s="240"/>
      <c r="F306" s="240"/>
      <c r="G306" s="240"/>
      <c r="H306" s="240"/>
      <c r="I306" s="240"/>
      <c r="J306" s="240"/>
      <c r="K306" s="240"/>
      <c r="L306" s="240"/>
      <c r="M306" s="240"/>
      <c r="N306" s="240"/>
      <c r="O306" s="240"/>
      <c r="P306" s="240"/>
      <c r="Q306" s="240"/>
      <c r="R306" s="240"/>
      <c r="S306" s="240"/>
      <c r="T306" s="240"/>
      <c r="U306" s="240"/>
      <c r="V306" s="240"/>
      <c r="W306" s="240"/>
      <c r="X306" s="240"/>
      <c r="Y306" s="240"/>
      <c r="Z306" s="240"/>
      <c r="AA306" s="240"/>
      <c r="AB306" s="240"/>
    </row>
  </sheetData>
  <mergeCells count="58">
    <mergeCell ref="K23:M23"/>
    <mergeCell ref="A23:C23"/>
    <mergeCell ref="AE23:AG23"/>
    <mergeCell ref="K2:M2"/>
    <mergeCell ref="A2:C2"/>
    <mergeCell ref="X2:Z2"/>
    <mergeCell ref="X23:Z23"/>
    <mergeCell ref="D23:F23"/>
    <mergeCell ref="N23:P23"/>
    <mergeCell ref="D2:F2"/>
    <mergeCell ref="N2:P2"/>
    <mergeCell ref="AR23:AT23"/>
    <mergeCell ref="AR2:AT2"/>
    <mergeCell ref="U2:W2"/>
    <mergeCell ref="AE2:AG2"/>
    <mergeCell ref="U23:W23"/>
    <mergeCell ref="DG41:DI41"/>
    <mergeCell ref="A63:F63"/>
    <mergeCell ref="K63:P63"/>
    <mergeCell ref="BB2:BD2"/>
    <mergeCell ref="BB23:BD23"/>
    <mergeCell ref="BB44:BD44"/>
    <mergeCell ref="AR44:AT44"/>
    <mergeCell ref="AH44:AJ44"/>
    <mergeCell ref="AY23:BA23"/>
    <mergeCell ref="AO23:AQ23"/>
    <mergeCell ref="AO44:AQ44"/>
    <mergeCell ref="AY44:BA44"/>
    <mergeCell ref="AY2:BA2"/>
    <mergeCell ref="AO2:AQ2"/>
    <mergeCell ref="AH23:AJ23"/>
    <mergeCell ref="AH2:AJ2"/>
    <mergeCell ref="CY1:DG1"/>
    <mergeCell ref="DI1:DQ1"/>
    <mergeCell ref="A1:I1"/>
    <mergeCell ref="K1:S1"/>
    <mergeCell ref="U1:AC1"/>
    <mergeCell ref="AE1:AM1"/>
    <mergeCell ref="AO1:AW1"/>
    <mergeCell ref="AY1:BG1"/>
    <mergeCell ref="BK1:BS1"/>
    <mergeCell ref="BU1:CC1"/>
    <mergeCell ref="CE1:CM1"/>
    <mergeCell ref="CO1:CW1"/>
    <mergeCell ref="CM82:CO82"/>
    <mergeCell ref="A87:F87"/>
    <mergeCell ref="K87:P87"/>
    <mergeCell ref="K89:P89"/>
    <mergeCell ref="BS41:BU41"/>
    <mergeCell ref="CM41:CO41"/>
    <mergeCell ref="X44:Z44"/>
    <mergeCell ref="AE44:AG44"/>
    <mergeCell ref="U44:W44"/>
    <mergeCell ref="K44:M44"/>
    <mergeCell ref="A44:C44"/>
    <mergeCell ref="N44:P44"/>
    <mergeCell ref="K65:P65"/>
    <mergeCell ref="D44:F44"/>
  </mergeCells>
  <printOptions horizontalCentered="1" verticalCentered="1"/>
  <pageMargins left="0.28999999999999998" right="0.24" top="0.32" bottom="0.39370078740157483" header="0.19685039370078741" footer="0.19685039370078741"/>
  <pageSetup paperSize="9" scale="46" orientation="landscape" blackAndWhite="1" r:id="rId1"/>
  <headerFooter alignWithMargins="0">
    <oddHeader>&amp;RMaintained &amp;&amp; Compiled by Raw Materials Group, Ranchi</oddHeader>
    <oddFooter xml:space="preserve">&amp;LSend a request mail to access shared Google Drive&amp;RReport error(s)  if noticed at  rmgranchi.sail@sail.in
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>
    <pageSetUpPr fitToPage="1"/>
  </sheetPr>
  <dimension ref="A1:BH267"/>
  <sheetViews>
    <sheetView showGridLines="0" showZeros="0" tabSelected="1" zoomScale="62" zoomScaleNormal="62" zoomScaleSheetLayoutView="55" workbookViewId="0">
      <selection sqref="A1:AC10"/>
    </sheetView>
  </sheetViews>
  <sheetFormatPr defaultColWidth="12.7265625" defaultRowHeight="13" x14ac:dyDescent="0.3"/>
  <cols>
    <col min="1" max="1" width="13.90625" style="6" customWidth="1"/>
    <col min="2" max="2" width="7.81640625" style="6" customWidth="1"/>
    <col min="3" max="3" width="6.36328125" style="6" customWidth="1"/>
    <col min="4" max="4" width="8.26953125" style="6" customWidth="1"/>
    <col min="5" max="6" width="7.81640625" style="6" customWidth="1"/>
    <col min="7" max="7" width="7.26953125" style="6" customWidth="1"/>
    <col min="8" max="8" width="7.08984375" style="6" customWidth="1"/>
    <col min="9" max="9" width="10.08984375" style="102" customWidth="1"/>
    <col min="10" max="10" width="5" style="6" customWidth="1"/>
    <col min="11" max="11" width="13.90625" style="6" customWidth="1"/>
    <col min="12" max="12" width="7.81640625" style="6" customWidth="1"/>
    <col min="13" max="13" width="6.36328125" style="6" customWidth="1"/>
    <col min="14" max="14" width="8.26953125" style="6" customWidth="1"/>
    <col min="15" max="15" width="6.36328125" style="6" customWidth="1"/>
    <col min="16" max="16" width="7.81640625" style="6" customWidth="1"/>
    <col min="17" max="17" width="7.26953125" style="6" customWidth="1"/>
    <col min="18" max="18" width="7.08984375" style="6" customWidth="1"/>
    <col min="19" max="19" width="11.54296875" style="6" bestFit="1" customWidth="1"/>
    <col min="20" max="20" width="3.81640625" style="6" customWidth="1"/>
    <col min="21" max="21" width="13.90625" style="6" bestFit="1" customWidth="1"/>
    <col min="22" max="22" width="7.81640625" style="6" customWidth="1"/>
    <col min="23" max="23" width="6.36328125" style="6" customWidth="1"/>
    <col min="24" max="24" width="8.26953125" style="6" customWidth="1"/>
    <col min="25" max="27" width="7.81640625" style="6" customWidth="1"/>
    <col min="28" max="28" width="7.08984375" style="6" customWidth="1"/>
    <col min="29" max="29" width="10.08984375" style="6" bestFit="1" customWidth="1"/>
    <col min="30" max="30" width="4.6328125" style="6" customWidth="1"/>
    <col min="31" max="31" width="13.90625" style="6" customWidth="1"/>
    <col min="32" max="32" width="7.81640625" style="6" customWidth="1"/>
    <col min="33" max="33" width="6.36328125" style="6" customWidth="1"/>
    <col min="34" max="34" width="8.26953125" style="6" customWidth="1"/>
    <col min="35" max="35" width="6.36328125" style="6" customWidth="1"/>
    <col min="36" max="36" width="7.81640625" style="6" customWidth="1"/>
    <col min="37" max="37" width="7.26953125" style="6" customWidth="1"/>
    <col min="38" max="38" width="7.08984375" style="6" customWidth="1"/>
    <col min="39" max="39" width="10.08984375" style="6" customWidth="1"/>
    <col min="40" max="40" width="4.6328125" style="6" customWidth="1"/>
    <col min="41" max="41" width="13.90625" style="6" customWidth="1"/>
    <col min="42" max="42" width="7.81640625" style="6" customWidth="1"/>
    <col min="43" max="43" width="6.36328125" style="6" customWidth="1"/>
    <col min="44" max="44" width="8.26953125" style="6" customWidth="1"/>
    <col min="45" max="46" width="7.81640625" style="6" customWidth="1"/>
    <col min="47" max="47" width="7.26953125" style="6" customWidth="1"/>
    <col min="48" max="48" width="7.08984375" style="6" customWidth="1"/>
    <col min="49" max="49" width="11.54296875" style="6" bestFit="1" customWidth="1"/>
    <col min="50" max="50" width="4.81640625" style="6" customWidth="1"/>
    <col min="51" max="51" width="13.90625" style="6" customWidth="1"/>
    <col min="52" max="52" width="7.81640625" style="6" customWidth="1"/>
    <col min="53" max="53" width="6.36328125" style="6" customWidth="1"/>
    <col min="54" max="54" width="8.26953125" style="6" customWidth="1"/>
    <col min="55" max="55" width="6.36328125" style="6" customWidth="1"/>
    <col min="56" max="56" width="7.81640625" style="6" customWidth="1"/>
    <col min="57" max="57" width="7.81640625" style="6" bestFit="1" customWidth="1"/>
    <col min="58" max="58" width="7.08984375" style="6" customWidth="1"/>
    <col min="59" max="59" width="11.54296875" style="6" bestFit="1" customWidth="1"/>
    <col min="60" max="16384" width="12.7265625" style="6"/>
  </cols>
  <sheetData>
    <row r="1" spans="1:59" ht="22.5" x14ac:dyDescent="0.45">
      <c r="A1" s="593" t="s">
        <v>63</v>
      </c>
      <c r="B1" s="593"/>
      <c r="C1" s="593"/>
      <c r="D1" s="593"/>
      <c r="E1" s="593"/>
      <c r="F1" s="593"/>
      <c r="G1" s="593"/>
      <c r="H1" s="593"/>
      <c r="I1" s="593"/>
      <c r="J1" s="4"/>
      <c r="K1" s="593" t="s">
        <v>63</v>
      </c>
      <c r="L1" s="593"/>
      <c r="M1" s="593"/>
      <c r="N1" s="593"/>
      <c r="O1" s="593"/>
      <c r="P1" s="593"/>
      <c r="Q1" s="593"/>
      <c r="R1" s="593"/>
      <c r="S1" s="593"/>
      <c r="T1" s="5"/>
      <c r="U1" s="593" t="s">
        <v>63</v>
      </c>
      <c r="V1" s="593"/>
      <c r="W1" s="593"/>
      <c r="X1" s="593"/>
      <c r="Y1" s="593"/>
      <c r="Z1" s="593"/>
      <c r="AA1" s="593"/>
      <c r="AB1" s="593"/>
      <c r="AC1" s="593"/>
      <c r="AD1" s="5"/>
      <c r="AE1" s="593" t="s">
        <v>63</v>
      </c>
      <c r="AF1" s="593"/>
      <c r="AG1" s="593"/>
      <c r="AH1" s="593"/>
      <c r="AI1" s="593"/>
      <c r="AJ1" s="593"/>
      <c r="AK1" s="593"/>
      <c r="AL1" s="593"/>
      <c r="AM1" s="593"/>
      <c r="AN1" s="5"/>
      <c r="AO1" s="593" t="s">
        <v>63</v>
      </c>
      <c r="AP1" s="593"/>
      <c r="AQ1" s="593"/>
      <c r="AR1" s="593"/>
      <c r="AS1" s="593"/>
      <c r="AT1" s="593"/>
      <c r="AU1" s="593"/>
      <c r="AV1" s="593"/>
      <c r="AW1" s="593"/>
      <c r="AX1" s="5"/>
      <c r="AY1" s="593" t="s">
        <v>63</v>
      </c>
      <c r="AZ1" s="593"/>
      <c r="BA1" s="593"/>
      <c r="BB1" s="593"/>
      <c r="BC1" s="593"/>
      <c r="BD1" s="593"/>
      <c r="BE1" s="593"/>
      <c r="BF1" s="593"/>
      <c r="BG1" s="593"/>
    </row>
    <row r="2" spans="1:59" ht="28.5" x14ac:dyDescent="0.6">
      <c r="A2" s="586" t="s">
        <v>29</v>
      </c>
      <c r="B2" s="586"/>
      <c r="C2" s="586"/>
      <c r="D2" s="585" t="s">
        <v>30</v>
      </c>
      <c r="E2" s="585"/>
      <c r="F2" s="585"/>
      <c r="G2" s="110"/>
      <c r="H2" s="110"/>
      <c r="I2" s="110"/>
      <c r="J2" s="109"/>
      <c r="K2" s="586" t="s">
        <v>29</v>
      </c>
      <c r="L2" s="586"/>
      <c r="M2" s="586"/>
      <c r="N2" s="585" t="s">
        <v>31</v>
      </c>
      <c r="O2" s="585"/>
      <c r="P2" s="585"/>
      <c r="Q2" s="110"/>
      <c r="R2" s="110"/>
      <c r="S2" s="110"/>
      <c r="T2" s="111"/>
      <c r="U2" s="586" t="s">
        <v>32</v>
      </c>
      <c r="V2" s="586"/>
      <c r="W2" s="586"/>
      <c r="X2" s="585" t="s">
        <v>30</v>
      </c>
      <c r="Y2" s="585"/>
      <c r="Z2" s="585"/>
      <c r="AA2" s="110"/>
      <c r="AB2" s="110"/>
      <c r="AC2" s="110"/>
      <c r="AD2" s="111"/>
      <c r="AE2" s="586" t="s">
        <v>32</v>
      </c>
      <c r="AF2" s="586"/>
      <c r="AG2" s="586"/>
      <c r="AH2" s="585" t="s">
        <v>31</v>
      </c>
      <c r="AI2" s="585"/>
      <c r="AJ2" s="585"/>
      <c r="AK2" s="110"/>
      <c r="AL2" s="110"/>
      <c r="AM2" s="110"/>
      <c r="AN2" s="111"/>
      <c r="AO2" s="586" t="s">
        <v>33</v>
      </c>
      <c r="AP2" s="586"/>
      <c r="AQ2" s="586"/>
      <c r="AR2" s="585" t="s">
        <v>30</v>
      </c>
      <c r="AS2" s="585"/>
      <c r="AT2" s="585"/>
      <c r="AU2" s="110"/>
      <c r="AV2" s="110"/>
      <c r="AW2" s="110"/>
      <c r="AX2" s="111"/>
      <c r="AY2" s="586" t="s">
        <v>33</v>
      </c>
      <c r="AZ2" s="586"/>
      <c r="BA2" s="586"/>
      <c r="BB2" s="585" t="s">
        <v>31</v>
      </c>
      <c r="BC2" s="585"/>
      <c r="BD2" s="585"/>
      <c r="BE2" s="110"/>
      <c r="BF2" s="110"/>
      <c r="BG2" s="111"/>
    </row>
    <row r="3" spans="1:59" ht="9" customHeight="1" thickBot="1" x14ac:dyDescent="0.3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4"/>
      <c r="U3" s="103"/>
      <c r="V3" s="103"/>
      <c r="W3" s="103"/>
      <c r="X3" s="103"/>
      <c r="Y3" s="103"/>
      <c r="Z3" s="103"/>
      <c r="AA3" s="103"/>
      <c r="AB3" s="103"/>
      <c r="AC3" s="103"/>
      <c r="AD3" s="104"/>
      <c r="AE3" s="103"/>
      <c r="AF3" s="103"/>
      <c r="AG3" s="103"/>
      <c r="AH3" s="103"/>
      <c r="AI3" s="103"/>
      <c r="AJ3" s="103"/>
      <c r="AK3" s="103"/>
      <c r="AL3" s="103"/>
      <c r="AM3" s="103"/>
      <c r="AN3" s="104"/>
      <c r="AO3" s="103"/>
      <c r="AP3" s="103"/>
      <c r="AQ3" s="103"/>
      <c r="AR3" s="103"/>
      <c r="AS3" s="103"/>
      <c r="AT3" s="103"/>
      <c r="AU3" s="103"/>
      <c r="AV3" s="103"/>
      <c r="AW3" s="103"/>
      <c r="AX3" s="104"/>
      <c r="AY3" s="103"/>
      <c r="AZ3" s="103"/>
      <c r="BA3" s="103"/>
      <c r="BB3" s="103"/>
      <c r="BC3" s="103"/>
      <c r="BD3" s="103"/>
      <c r="BE3" s="103"/>
      <c r="BF3" s="103"/>
      <c r="BG3" s="104"/>
    </row>
    <row r="4" spans="1:59" ht="25" thickBot="1" x14ac:dyDescent="0.3">
      <c r="A4" s="119"/>
      <c r="B4" s="120" t="s">
        <v>34</v>
      </c>
      <c r="C4" s="121" t="s">
        <v>35</v>
      </c>
      <c r="D4" s="121" t="s">
        <v>36</v>
      </c>
      <c r="E4" s="121" t="s">
        <v>37</v>
      </c>
      <c r="F4" s="121" t="s">
        <v>38</v>
      </c>
      <c r="G4" s="121" t="s">
        <v>39</v>
      </c>
      <c r="H4" s="122" t="s">
        <v>40</v>
      </c>
      <c r="I4" s="123" t="s">
        <v>41</v>
      </c>
      <c r="J4" s="103"/>
      <c r="K4" s="119"/>
      <c r="L4" s="120" t="s">
        <v>34</v>
      </c>
      <c r="M4" s="121" t="s">
        <v>35</v>
      </c>
      <c r="N4" s="121" t="s">
        <v>36</v>
      </c>
      <c r="O4" s="121" t="s">
        <v>37</v>
      </c>
      <c r="P4" s="121" t="s">
        <v>38</v>
      </c>
      <c r="Q4" s="124" t="s">
        <v>39</v>
      </c>
      <c r="R4" s="125" t="s">
        <v>40</v>
      </c>
      <c r="S4" s="123" t="s">
        <v>41</v>
      </c>
      <c r="T4" s="104"/>
      <c r="U4" s="119"/>
      <c r="V4" s="120" t="s">
        <v>34</v>
      </c>
      <c r="W4" s="121" t="s">
        <v>35</v>
      </c>
      <c r="X4" s="121" t="s">
        <v>36</v>
      </c>
      <c r="Y4" s="121" t="s">
        <v>37</v>
      </c>
      <c r="Z4" s="121" t="s">
        <v>38</v>
      </c>
      <c r="AA4" s="124" t="s">
        <v>39</v>
      </c>
      <c r="AB4" s="121" t="s">
        <v>40</v>
      </c>
      <c r="AC4" s="123" t="s">
        <v>41</v>
      </c>
      <c r="AD4" s="104"/>
      <c r="AE4" s="126"/>
      <c r="AF4" s="120" t="s">
        <v>34</v>
      </c>
      <c r="AG4" s="121" t="s">
        <v>35</v>
      </c>
      <c r="AH4" s="121" t="s">
        <v>36</v>
      </c>
      <c r="AI4" s="121" t="s">
        <v>37</v>
      </c>
      <c r="AJ4" s="125" t="s">
        <v>38</v>
      </c>
      <c r="AK4" s="121" t="s">
        <v>39</v>
      </c>
      <c r="AL4" s="121" t="s">
        <v>40</v>
      </c>
      <c r="AM4" s="123" t="s">
        <v>41</v>
      </c>
      <c r="AN4" s="104"/>
      <c r="AO4" s="126"/>
      <c r="AP4" s="120" t="s">
        <v>34</v>
      </c>
      <c r="AQ4" s="121" t="s">
        <v>35</v>
      </c>
      <c r="AR4" s="121" t="s">
        <v>36</v>
      </c>
      <c r="AS4" s="121" t="s">
        <v>37</v>
      </c>
      <c r="AT4" s="125" t="s">
        <v>38</v>
      </c>
      <c r="AU4" s="121" t="s">
        <v>39</v>
      </c>
      <c r="AV4" s="121" t="s">
        <v>40</v>
      </c>
      <c r="AW4" s="123" t="s">
        <v>41</v>
      </c>
      <c r="AX4" s="104"/>
      <c r="AY4" s="126"/>
      <c r="AZ4" s="120" t="s">
        <v>34</v>
      </c>
      <c r="BA4" s="121" t="s">
        <v>35</v>
      </c>
      <c r="BB4" s="121" t="s">
        <v>36</v>
      </c>
      <c r="BC4" s="121" t="s">
        <v>37</v>
      </c>
      <c r="BD4" s="125" t="s">
        <v>38</v>
      </c>
      <c r="BE4" s="121" t="s">
        <v>39</v>
      </c>
      <c r="BF4" s="121" t="s">
        <v>40</v>
      </c>
      <c r="BG4" s="123" t="s">
        <v>41</v>
      </c>
    </row>
    <row r="5" spans="1:59" ht="21.5" thickBot="1" x14ac:dyDescent="0.3">
      <c r="A5" s="132" t="str">
        <f t="array" ref="A5:A18">BSP!A5:A18</f>
        <v>Act 20-21</v>
      </c>
      <c r="B5" s="133">
        <v>62.26</v>
      </c>
      <c r="C5" s="133">
        <v>3.92</v>
      </c>
      <c r="D5" s="133">
        <v>2.1800000000000002</v>
      </c>
      <c r="E5" s="133">
        <v>18.77</v>
      </c>
      <c r="F5" s="133">
        <v>20.83</v>
      </c>
      <c r="G5" s="134">
        <f t="shared" ref="G5:G19" si="0">IF(C5&gt;0,+D5+C5,"")</f>
        <v>6.1</v>
      </c>
      <c r="H5" s="134">
        <f t="shared" ref="H5:H19" si="1">IF(C5&gt;0,+D5/C5,"")</f>
        <v>0.55612244897959184</v>
      </c>
      <c r="I5" s="135"/>
      <c r="J5" s="119"/>
      <c r="K5" s="136" t="str">
        <f>A5</f>
        <v>Act 20-21</v>
      </c>
      <c r="L5" s="133">
        <v>61.4</v>
      </c>
      <c r="M5" s="133">
        <v>4.88</v>
      </c>
      <c r="N5" s="133">
        <v>2.52</v>
      </c>
      <c r="O5" s="133">
        <v>6.02</v>
      </c>
      <c r="P5" s="133">
        <v>40.380000000000003</v>
      </c>
      <c r="Q5" s="134">
        <f>IF(M5&gt;0,+N5+M5,"")</f>
        <v>7.4</v>
      </c>
      <c r="R5" s="134">
        <f>IF(M5&gt;0,+N5/M5,"")</f>
        <v>0.51639344262295084</v>
      </c>
      <c r="S5" s="137"/>
      <c r="T5" s="138"/>
      <c r="U5" s="136" t="str">
        <f>A5</f>
        <v>Act 20-21</v>
      </c>
      <c r="V5" s="133">
        <v>62.52</v>
      </c>
      <c r="W5" s="133">
        <v>3.47</v>
      </c>
      <c r="X5" s="133">
        <v>2.2200000000000002</v>
      </c>
      <c r="Y5" s="133">
        <v>22.01</v>
      </c>
      <c r="Z5" s="133">
        <v>20.04</v>
      </c>
      <c r="AA5" s="134">
        <f t="shared" ref="AA5:AA19" si="2">IF(W5&gt;0,+X5+W5,"")</f>
        <v>5.69</v>
      </c>
      <c r="AB5" s="134">
        <f t="shared" ref="AB5:AB19" si="3">IF(W5&gt;0,+X5/W5,"")</f>
        <v>0.63976945244956773</v>
      </c>
      <c r="AC5" s="135"/>
      <c r="AD5" s="104"/>
      <c r="AE5" s="136" t="str">
        <f t="shared" ref="AE5:AE19" si="4">K5</f>
        <v>Act 20-21</v>
      </c>
      <c r="AF5" s="139">
        <v>61.74</v>
      </c>
      <c r="AG5" s="134">
        <v>4.3099999999999996</v>
      </c>
      <c r="AH5" s="134">
        <v>2.59</v>
      </c>
      <c r="AI5" s="134">
        <v>6.19</v>
      </c>
      <c r="AJ5" s="134">
        <v>38.840000000000003</v>
      </c>
      <c r="AK5" s="134">
        <f t="shared" ref="AK5:AK19" si="5">IF(AG5&gt;0,+AH5+AG5,"")</f>
        <v>6.8999999999999995</v>
      </c>
      <c r="AL5" s="134">
        <f t="shared" ref="AL5:AL19" si="6">IF(AG5&gt;0,+AH5/AG5,"")</f>
        <v>0.60092807424593975</v>
      </c>
      <c r="AM5" s="140"/>
      <c r="AN5" s="104"/>
      <c r="AO5" s="136" t="str">
        <f t="shared" ref="AO5:AO18" si="7">A5</f>
        <v>Act 20-21</v>
      </c>
      <c r="AP5" s="133">
        <v>61.89</v>
      </c>
      <c r="AQ5" s="133">
        <v>4.25</v>
      </c>
      <c r="AR5" s="133">
        <v>2.4</v>
      </c>
      <c r="AS5" s="133">
        <v>16.739999999999998</v>
      </c>
      <c r="AT5" s="133">
        <v>24.25</v>
      </c>
      <c r="AU5" s="134">
        <f t="shared" ref="AU5:AU19" si="8">IF(AQ5&gt;0,+AR5+AQ5,"")</f>
        <v>6.65</v>
      </c>
      <c r="AV5" s="134">
        <f t="shared" ref="AV5:AV19" si="9">IF(AQ5&gt;0,+AR5/AQ5,"")</f>
        <v>0.56470588235294117</v>
      </c>
      <c r="AW5" s="140"/>
      <c r="AX5" s="104"/>
      <c r="AY5" s="136" t="str">
        <f t="shared" ref="AY5:AY19" si="10">K26</f>
        <v>Act 20-21</v>
      </c>
      <c r="AZ5" s="133">
        <v>60.98</v>
      </c>
      <c r="BA5" s="133">
        <v>5.24</v>
      </c>
      <c r="BB5" s="133">
        <v>2.84</v>
      </c>
      <c r="BC5" s="133">
        <v>5.88</v>
      </c>
      <c r="BD5" s="133">
        <v>39.49</v>
      </c>
      <c r="BE5" s="134">
        <f t="shared" ref="BE5:BE19" si="11">IF(BA5&gt;0,+BB5+BA5,"")</f>
        <v>8.08</v>
      </c>
      <c r="BF5" s="134">
        <f t="shared" ref="BF5:BF19" si="12">IF(BA5&gt;0,+BB5/BA5,"")</f>
        <v>0.54198473282442738</v>
      </c>
      <c r="BG5" s="140"/>
    </row>
    <row r="6" spans="1:59" s="7" customFormat="1" ht="21" x14ac:dyDescent="0.25">
      <c r="A6" s="145" t="str">
        <v>APP 21-22</v>
      </c>
      <c r="B6" s="146">
        <f t="array" ref="B6:F6">BSP!B6:F6</f>
        <v>62.3</v>
      </c>
      <c r="C6" s="147">
        <v>3.9</v>
      </c>
      <c r="D6" s="147">
        <v>2.2000000000000002</v>
      </c>
      <c r="E6" s="147">
        <v>10</v>
      </c>
      <c r="F6" s="147">
        <v>10</v>
      </c>
      <c r="G6" s="147">
        <f t="shared" si="0"/>
        <v>6.1</v>
      </c>
      <c r="H6" s="148">
        <f t="shared" si="1"/>
        <v>0.56410256410256421</v>
      </c>
      <c r="I6" s="149"/>
      <c r="J6" s="150"/>
      <c r="K6" s="151" t="str">
        <f>A6</f>
        <v>APP 21-22</v>
      </c>
      <c r="L6" s="146">
        <f t="array" ref="L6:R6">BSP!L6:R6</f>
        <v>61.5</v>
      </c>
      <c r="M6" s="147">
        <v>4.8</v>
      </c>
      <c r="N6" s="147">
        <v>3</v>
      </c>
      <c r="O6" s="147">
        <v>7</v>
      </c>
      <c r="P6" s="147">
        <v>40</v>
      </c>
      <c r="Q6" s="147">
        <v>7.8</v>
      </c>
      <c r="R6" s="148">
        <v>0.625</v>
      </c>
      <c r="S6" s="149"/>
      <c r="T6" s="152"/>
      <c r="U6" s="151" t="str">
        <f>A6</f>
        <v>APP 21-22</v>
      </c>
      <c r="V6" s="146">
        <f t="array" ref="V6:Z6">BSP!V6:Z6</f>
        <v>62.5</v>
      </c>
      <c r="W6" s="147">
        <v>3</v>
      </c>
      <c r="X6" s="147">
        <v>2.2000000000000002</v>
      </c>
      <c r="Y6" s="147">
        <v>10</v>
      </c>
      <c r="Z6" s="147">
        <v>10</v>
      </c>
      <c r="AA6" s="147">
        <f t="shared" si="2"/>
        <v>5.2</v>
      </c>
      <c r="AB6" s="148">
        <f t="shared" si="3"/>
        <v>0.73333333333333339</v>
      </c>
      <c r="AC6" s="149"/>
      <c r="AD6" s="153"/>
      <c r="AE6" s="151" t="str">
        <f t="shared" si="4"/>
        <v>APP 21-22</v>
      </c>
      <c r="AF6" s="147">
        <f t="array" ref="AF6:AJ6">BSP!AF6:AJ6</f>
        <v>62.1</v>
      </c>
      <c r="AG6" s="147">
        <v>3.5</v>
      </c>
      <c r="AH6" s="147">
        <v>2.5</v>
      </c>
      <c r="AI6" s="147">
        <v>7</v>
      </c>
      <c r="AJ6" s="147">
        <v>40</v>
      </c>
      <c r="AK6" s="147">
        <f t="shared" si="5"/>
        <v>6</v>
      </c>
      <c r="AL6" s="154">
        <f t="shared" si="6"/>
        <v>0.7142857142857143</v>
      </c>
      <c r="AM6" s="155"/>
      <c r="AN6" s="152"/>
      <c r="AO6" s="151" t="str">
        <f t="shared" si="7"/>
        <v>APP 21-22</v>
      </c>
      <c r="AP6" s="146">
        <f t="array" ref="AP6:AT6">BSP!AP6:AT6</f>
        <v>62</v>
      </c>
      <c r="AQ6" s="147">
        <v>4.2</v>
      </c>
      <c r="AR6" s="147">
        <v>2.4</v>
      </c>
      <c r="AS6" s="147">
        <v>10</v>
      </c>
      <c r="AT6" s="147">
        <v>10</v>
      </c>
      <c r="AU6" s="147">
        <f t="shared" si="8"/>
        <v>6.6</v>
      </c>
      <c r="AV6" s="148">
        <f t="shared" si="9"/>
        <v>0.5714285714285714</v>
      </c>
      <c r="AW6" s="155"/>
      <c r="AX6" s="152"/>
      <c r="AY6" s="156" t="str">
        <f t="shared" si="10"/>
        <v>APP 21-22</v>
      </c>
      <c r="AZ6" s="146">
        <f t="array" ref="AZ6:BD6">BSP!AZ6:BD6</f>
        <v>61</v>
      </c>
      <c r="BA6" s="147">
        <v>5</v>
      </c>
      <c r="BB6" s="147">
        <v>3</v>
      </c>
      <c r="BC6" s="147">
        <v>7</v>
      </c>
      <c r="BD6" s="147">
        <v>40</v>
      </c>
      <c r="BE6" s="147">
        <f t="shared" si="11"/>
        <v>8</v>
      </c>
      <c r="BF6" s="148">
        <f t="shared" si="12"/>
        <v>0.6</v>
      </c>
      <c r="BG6" s="157"/>
    </row>
    <row r="7" spans="1:59" ht="21" x14ac:dyDescent="0.25">
      <c r="A7" s="166">
        <v>44287</v>
      </c>
      <c r="B7" s="167">
        <v>62.16</v>
      </c>
      <c r="C7" s="168">
        <v>3.75</v>
      </c>
      <c r="D7" s="168">
        <v>2.4300000000000002</v>
      </c>
      <c r="E7" s="168">
        <v>14.51</v>
      </c>
      <c r="F7" s="168">
        <v>29.19</v>
      </c>
      <c r="G7" s="168">
        <f t="shared" si="0"/>
        <v>6.18</v>
      </c>
      <c r="H7" s="169">
        <f t="shared" si="1"/>
        <v>0.64800000000000002</v>
      </c>
      <c r="I7" s="170">
        <f>IF(D7&gt;0,IFERROR(GETPIVOTDATA("act_qty",RECPT!$A$3,"yymm","202104","unit","KRB","comm","L"),0),)</f>
        <v>56045</v>
      </c>
      <c r="J7" s="119"/>
      <c r="K7" s="166">
        <f>A7</f>
        <v>44287</v>
      </c>
      <c r="L7" s="167">
        <v>61.36</v>
      </c>
      <c r="M7" s="168">
        <v>4.7699999999999996</v>
      </c>
      <c r="N7" s="168">
        <v>2.74</v>
      </c>
      <c r="O7" s="168">
        <v>6.03</v>
      </c>
      <c r="P7" s="168">
        <v>42.43</v>
      </c>
      <c r="Q7" s="168">
        <f t="shared" ref="Q7:Q19" si="13">IF(M7&gt;0,+N7+M7,"")</f>
        <v>7.51</v>
      </c>
      <c r="R7" s="169">
        <f t="shared" ref="R7:R19" si="14">IF(M7&gt;0,+N7/M7,"")</f>
        <v>0.57442348008385757</v>
      </c>
      <c r="S7" s="170">
        <f>IF(N7&gt;0,IFERROR(GETPIVOTDATA("act_qty",RECPT!$A$3,"yymm","202104","unit","KRB","comm","F"),0),)</f>
        <v>99799</v>
      </c>
      <c r="T7" s="104"/>
      <c r="U7" s="166">
        <f>A7</f>
        <v>44287</v>
      </c>
      <c r="V7" s="167">
        <v>62.69</v>
      </c>
      <c r="W7" s="168">
        <v>7.65</v>
      </c>
      <c r="X7" s="168">
        <v>2.41</v>
      </c>
      <c r="Y7" s="168">
        <v>31.3</v>
      </c>
      <c r="Z7" s="168">
        <v>26.1</v>
      </c>
      <c r="AA7" s="168">
        <f t="shared" si="2"/>
        <v>10.06</v>
      </c>
      <c r="AB7" s="169">
        <f t="shared" si="3"/>
        <v>0.31503267973856208</v>
      </c>
      <c r="AC7" s="170">
        <f>IF(X7&gt;0,IFERROR(GETPIVOTDATA("act_qty",RECPT!$A$3,"yymm","202104","unit","BOL","comm","L"),0),)</f>
        <v>27637</v>
      </c>
      <c r="AD7" s="171"/>
      <c r="AE7" s="172">
        <f t="shared" si="4"/>
        <v>44287</v>
      </c>
      <c r="AF7" s="167">
        <v>61.37</v>
      </c>
      <c r="AG7" s="168">
        <v>4.6399999999999997</v>
      </c>
      <c r="AH7" s="168">
        <v>2.85</v>
      </c>
      <c r="AI7" s="168">
        <v>6.19</v>
      </c>
      <c r="AJ7" s="168">
        <v>21.03</v>
      </c>
      <c r="AK7" s="168">
        <f t="shared" si="5"/>
        <v>7.49</v>
      </c>
      <c r="AL7" s="169">
        <f t="shared" si="6"/>
        <v>0.61422413793103459</v>
      </c>
      <c r="AM7" s="170">
        <f>IF(AH7&gt;0,IFERROR(GETPIVOTDATA("act_qty",RECPT!$A$3,"yymm","202104","unit","BOL","comm","F"),0),)</f>
        <v>55645</v>
      </c>
      <c r="AN7" s="104"/>
      <c r="AO7" s="172">
        <f t="shared" si="7"/>
        <v>44287</v>
      </c>
      <c r="AP7" s="167">
        <v>61.39</v>
      </c>
      <c r="AQ7" s="168">
        <v>5.14</v>
      </c>
      <c r="AR7" s="168">
        <v>2.2000000000000002</v>
      </c>
      <c r="AS7" s="168">
        <v>18.41</v>
      </c>
      <c r="AT7" s="168">
        <v>23.69</v>
      </c>
      <c r="AU7" s="168">
        <f t="shared" si="8"/>
        <v>7.34</v>
      </c>
      <c r="AV7" s="169">
        <f t="shared" si="9"/>
        <v>0.42801556420233466</v>
      </c>
      <c r="AW7" s="170">
        <f>IF(AR7&gt;0,IFERROR(GETPIVOTDATA("act_qty",RECPT!$A$3,"yymm","202104","unit","MBR","comm","L"),0),)</f>
        <v>64728</v>
      </c>
      <c r="AX7" s="104"/>
      <c r="AY7" s="172">
        <f t="shared" si="10"/>
        <v>44287</v>
      </c>
      <c r="AZ7" s="167">
        <v>60.4</v>
      </c>
      <c r="BA7" s="168">
        <v>6.58</v>
      </c>
      <c r="BB7" s="168">
        <v>2.41</v>
      </c>
      <c r="BC7" s="168">
        <v>6.15</v>
      </c>
      <c r="BD7" s="168">
        <v>42.65</v>
      </c>
      <c r="BE7" s="168">
        <f t="shared" si="11"/>
        <v>8.99</v>
      </c>
      <c r="BF7" s="169">
        <f t="shared" si="12"/>
        <v>0.36626139817629183</v>
      </c>
      <c r="BG7" s="170">
        <f>IF(BB7&gt;0,IFERROR(GETPIVOTDATA("act_qty",RECPT!$A$3,"yymm","202104","unit","MBR","comm","F"),0),)</f>
        <v>180638</v>
      </c>
    </row>
    <row r="8" spans="1:59" ht="21" x14ac:dyDescent="0.25">
      <c r="A8" s="166">
        <v>44317</v>
      </c>
      <c r="B8" s="167">
        <v>62.15</v>
      </c>
      <c r="C8" s="168">
        <v>3.77</v>
      </c>
      <c r="D8" s="168">
        <v>2.5499999999999998</v>
      </c>
      <c r="E8" s="168">
        <v>12.53</v>
      </c>
      <c r="F8" s="168">
        <v>25.64</v>
      </c>
      <c r="G8" s="168">
        <f t="shared" si="0"/>
        <v>6.32</v>
      </c>
      <c r="H8" s="169">
        <f t="shared" si="1"/>
        <v>0.676392572944297</v>
      </c>
      <c r="I8" s="170">
        <f>IF(D8&gt;0,IFERROR(GETPIVOTDATA("act_qty",RECPT!$A$3,"yymm","202105","unit","KRB","comm","L"),0),)</f>
        <v>46459</v>
      </c>
      <c r="J8" s="119"/>
      <c r="K8" s="166">
        <f t="shared" ref="K8:K18" si="15">A8</f>
        <v>44317</v>
      </c>
      <c r="L8" s="167">
        <v>61.23</v>
      </c>
      <c r="M8" s="168">
        <v>4.99</v>
      </c>
      <c r="N8" s="168">
        <v>2.76</v>
      </c>
      <c r="O8" s="168">
        <v>5.43</v>
      </c>
      <c r="P8" s="168">
        <v>43.56</v>
      </c>
      <c r="Q8" s="168">
        <f t="shared" si="13"/>
        <v>7.75</v>
      </c>
      <c r="R8" s="169">
        <f t="shared" si="14"/>
        <v>0.55310621242484959</v>
      </c>
      <c r="S8" s="170">
        <f>IF(N8&gt;0,IFERROR(GETPIVOTDATA("act_qty",RECPT!$A$3,"yymm","202105","unit","KRB","comm","F"),0),)</f>
        <v>68146</v>
      </c>
      <c r="T8" s="104"/>
      <c r="U8" s="166">
        <f t="shared" ref="U8:U18" si="16">A8</f>
        <v>44317</v>
      </c>
      <c r="V8" s="167">
        <v>62.3</v>
      </c>
      <c r="W8" s="168">
        <v>3.34</v>
      </c>
      <c r="X8" s="168">
        <v>2.64</v>
      </c>
      <c r="Y8" s="168">
        <v>20.95</v>
      </c>
      <c r="Z8" s="168">
        <v>21.19</v>
      </c>
      <c r="AA8" s="168">
        <f t="shared" si="2"/>
        <v>5.98</v>
      </c>
      <c r="AB8" s="169">
        <f t="shared" si="3"/>
        <v>0.79041916167664683</v>
      </c>
      <c r="AC8" s="170">
        <f>IF(X8&gt;0,IFERROR(GETPIVOTDATA("act_qty",RECPT!$A$3,"yymm","202105","unit","BOL","comm","L"),0),)</f>
        <v>57164</v>
      </c>
      <c r="AD8" s="171"/>
      <c r="AE8" s="172">
        <f t="shared" si="4"/>
        <v>44317</v>
      </c>
      <c r="AF8" s="167">
        <v>61.35</v>
      </c>
      <c r="AG8" s="168">
        <v>4.66</v>
      </c>
      <c r="AH8" s="168">
        <v>2.89</v>
      </c>
      <c r="AI8" s="168">
        <v>5.23</v>
      </c>
      <c r="AJ8" s="168">
        <v>43.07</v>
      </c>
      <c r="AK8" s="168">
        <f t="shared" si="5"/>
        <v>7.5500000000000007</v>
      </c>
      <c r="AL8" s="169">
        <f t="shared" si="6"/>
        <v>0.62017167381974247</v>
      </c>
      <c r="AM8" s="170">
        <f>IF(AH8&gt;0,IFERROR(GETPIVOTDATA("act_qty",RECPT!$A$3,"yymm","202105","unit","BOL","comm","F"),0),)</f>
        <v>77143</v>
      </c>
      <c r="AN8" s="104"/>
      <c r="AO8" s="172">
        <f t="shared" si="7"/>
        <v>44317</v>
      </c>
      <c r="AP8" s="167">
        <v>61.97</v>
      </c>
      <c r="AQ8" s="168">
        <v>3.93</v>
      </c>
      <c r="AR8" s="168">
        <v>2.57</v>
      </c>
      <c r="AS8" s="168">
        <v>15.56</v>
      </c>
      <c r="AT8" s="168">
        <v>25.04</v>
      </c>
      <c r="AU8" s="168">
        <f t="shared" si="8"/>
        <v>6.5</v>
      </c>
      <c r="AV8" s="169">
        <f t="shared" si="9"/>
        <v>0.653944020356234</v>
      </c>
      <c r="AW8" s="170">
        <f>IF(AR8&gt;0,IFERROR(GETPIVOTDATA("act_qty",RECPT!$A$3,"yymm","202105","unit","MBR","comm","L"),0),)</f>
        <v>59821</v>
      </c>
      <c r="AX8" s="104"/>
      <c r="AY8" s="172">
        <f t="shared" si="10"/>
        <v>44317</v>
      </c>
      <c r="AZ8" s="167">
        <v>60.75</v>
      </c>
      <c r="BA8" s="168">
        <v>5.94</v>
      </c>
      <c r="BB8" s="168">
        <v>2.54</v>
      </c>
      <c r="BC8" s="168">
        <v>5.23</v>
      </c>
      <c r="BD8" s="168">
        <v>42.33</v>
      </c>
      <c r="BE8" s="168">
        <f t="shared" si="11"/>
        <v>8.48</v>
      </c>
      <c r="BF8" s="169">
        <f t="shared" si="12"/>
        <v>0.42760942760942761</v>
      </c>
      <c r="BG8" s="170">
        <f>IF(BB8&gt;0,IFERROR(GETPIVOTDATA("act_qty",RECPT!$A$3,"yymm","202105","unit","MBR","comm","F"),0),)</f>
        <v>68286</v>
      </c>
    </row>
    <row r="9" spans="1:59" ht="21" x14ac:dyDescent="0.25">
      <c r="A9" s="166">
        <v>44348</v>
      </c>
      <c r="B9" s="167">
        <v>62.06</v>
      </c>
      <c r="C9" s="168">
        <v>3.99</v>
      </c>
      <c r="D9" s="168">
        <v>2.4900000000000002</v>
      </c>
      <c r="E9" s="168">
        <v>12.02</v>
      </c>
      <c r="F9" s="168">
        <v>26.16</v>
      </c>
      <c r="G9" s="168">
        <f t="shared" si="0"/>
        <v>6.48</v>
      </c>
      <c r="H9" s="169">
        <f t="shared" si="1"/>
        <v>0.62406015037593987</v>
      </c>
      <c r="I9" s="170">
        <f>IF(D9&gt;0,IFERROR(GETPIVOTDATA("act_qty",RECPT!$A$3,"yymm","202106","unit","KRB","comm","L"),0),)</f>
        <v>62630</v>
      </c>
      <c r="J9" s="119"/>
      <c r="K9" s="166">
        <f t="shared" si="15"/>
        <v>44348</v>
      </c>
      <c r="L9" s="167">
        <v>61.15</v>
      </c>
      <c r="M9" s="168">
        <v>5.35</v>
      </c>
      <c r="N9" s="168">
        <v>2.6</v>
      </c>
      <c r="O9" s="168">
        <v>5.48</v>
      </c>
      <c r="P9" s="168">
        <v>43.32</v>
      </c>
      <c r="Q9" s="168">
        <f t="shared" si="13"/>
        <v>7.9499999999999993</v>
      </c>
      <c r="R9" s="169">
        <f t="shared" si="14"/>
        <v>0.48598130841121501</v>
      </c>
      <c r="S9" s="170">
        <f>IF(N9&gt;0,IFERROR(GETPIVOTDATA("act_qty",RECPT!$A$3,"yymm","202106","unit","KRB","comm","F"),0),)</f>
        <v>116788</v>
      </c>
      <c r="T9" s="104"/>
      <c r="U9" s="166">
        <f t="shared" si="16"/>
        <v>44348</v>
      </c>
      <c r="V9" s="167">
        <v>62.31</v>
      </c>
      <c r="W9" s="168">
        <v>3.44</v>
      </c>
      <c r="X9" s="168">
        <v>2.57</v>
      </c>
      <c r="Y9" s="168">
        <v>15.48</v>
      </c>
      <c r="Z9" s="168">
        <v>27.68</v>
      </c>
      <c r="AA9" s="168">
        <f t="shared" si="2"/>
        <v>6.01</v>
      </c>
      <c r="AB9" s="169">
        <f t="shared" si="3"/>
        <v>0.74709302325581395</v>
      </c>
      <c r="AC9" s="170">
        <f>IF(X9&gt;0,IFERROR(GETPIVOTDATA("act_qty",RECPT!$A$3,"yymm","202106","unit","BOL","comm","L"),0),)</f>
        <v>57534</v>
      </c>
      <c r="AD9" s="171"/>
      <c r="AE9" s="172">
        <f t="shared" si="4"/>
        <v>44348</v>
      </c>
      <c r="AF9" s="167">
        <v>61.33</v>
      </c>
      <c r="AG9" s="168">
        <v>4.75</v>
      </c>
      <c r="AH9" s="168">
        <v>2.87</v>
      </c>
      <c r="AI9" s="168">
        <v>5.38</v>
      </c>
      <c r="AJ9" s="168">
        <v>43.3</v>
      </c>
      <c r="AK9" s="168">
        <f t="shared" si="5"/>
        <v>7.62</v>
      </c>
      <c r="AL9" s="169">
        <f t="shared" si="6"/>
        <v>0.60421052631578953</v>
      </c>
      <c r="AM9" s="170">
        <f>IF(AH9&gt;0,IFERROR(GETPIVOTDATA("act_qty",RECPT!$A$3,"yymm","202106","unit","BOL","comm","F"),0),)</f>
        <v>70613</v>
      </c>
      <c r="AN9" s="104"/>
      <c r="AO9" s="172">
        <f t="shared" si="7"/>
        <v>44348</v>
      </c>
      <c r="AP9" s="167">
        <v>61.54</v>
      </c>
      <c r="AQ9" s="168">
        <v>4.7300000000000004</v>
      </c>
      <c r="AR9" s="168">
        <v>2.42</v>
      </c>
      <c r="AS9" s="168">
        <v>11</v>
      </c>
      <c r="AT9" s="168">
        <v>30.92</v>
      </c>
      <c r="AU9" s="168">
        <f t="shared" si="8"/>
        <v>7.15</v>
      </c>
      <c r="AV9" s="169">
        <f t="shared" si="9"/>
        <v>0.5116279069767441</v>
      </c>
      <c r="AW9" s="170">
        <f>IF(AR9&gt;0,IFERROR(GETPIVOTDATA("act_qty",RECPT!$A$3,"yymm","202106","unit","MBR","comm","L"),0),)</f>
        <v>79307</v>
      </c>
      <c r="AX9" s="104"/>
      <c r="AY9" s="172">
        <f t="shared" si="10"/>
        <v>44348</v>
      </c>
      <c r="AZ9" s="167">
        <v>60.75</v>
      </c>
      <c r="BA9" s="168">
        <v>5.89</v>
      </c>
      <c r="BB9" s="168">
        <v>2.65</v>
      </c>
      <c r="BC9" s="168">
        <v>5.42</v>
      </c>
      <c r="BD9" s="168">
        <v>42.65</v>
      </c>
      <c r="BE9" s="168">
        <f t="shared" si="11"/>
        <v>8.5399999999999991</v>
      </c>
      <c r="BF9" s="169">
        <f t="shared" si="12"/>
        <v>0.44991511035653653</v>
      </c>
      <c r="BG9" s="170">
        <f>IF(BB9&gt;0,IFERROR(GETPIVOTDATA("act_qty",RECPT!$A$3,"yymm","202106","unit","MBR","comm","F"),0),)</f>
        <v>120686</v>
      </c>
    </row>
    <row r="10" spans="1:59" ht="21" x14ac:dyDescent="0.25">
      <c r="A10" s="166">
        <v>44378</v>
      </c>
      <c r="B10" s="167">
        <v>61.75</v>
      </c>
      <c r="C10" s="168">
        <v>4.2699999999999996</v>
      </c>
      <c r="D10" s="168">
        <v>2.5499999999999998</v>
      </c>
      <c r="E10" s="168">
        <v>10.99</v>
      </c>
      <c r="F10" s="168">
        <v>30.39</v>
      </c>
      <c r="G10" s="168">
        <f t="shared" si="0"/>
        <v>6.8199999999999994</v>
      </c>
      <c r="H10" s="169">
        <f t="shared" si="1"/>
        <v>0.59718969555035128</v>
      </c>
      <c r="I10" s="170">
        <f>IF(D10&gt;0,IFERROR(GETPIVOTDATA("act_qty",RECPT!$A$3,"yymm","202107","unit","KRB","comm","L"),0),)</f>
        <v>104950</v>
      </c>
      <c r="J10" s="119"/>
      <c r="K10" s="166">
        <f t="shared" si="15"/>
        <v>44378</v>
      </c>
      <c r="L10" s="167">
        <v>60.94</v>
      </c>
      <c r="M10" s="168">
        <v>5.44</v>
      </c>
      <c r="N10" s="168">
        <v>2.66</v>
      </c>
      <c r="O10" s="168">
        <v>5.13</v>
      </c>
      <c r="P10" s="168">
        <v>43.4</v>
      </c>
      <c r="Q10" s="168">
        <f t="shared" si="13"/>
        <v>8.1000000000000014</v>
      </c>
      <c r="R10" s="169">
        <f t="shared" si="14"/>
        <v>0.4889705882352941</v>
      </c>
      <c r="S10" s="170">
        <f>IF(N10&gt;0,IFERROR(GETPIVOTDATA("act_qty",RECPT!$A$3,"yymm","202107","unit","KRB","comm","F"),0),)</f>
        <v>165905</v>
      </c>
      <c r="T10" s="104"/>
      <c r="U10" s="166">
        <f t="shared" si="16"/>
        <v>44378</v>
      </c>
      <c r="V10" s="167">
        <v>61.92</v>
      </c>
      <c r="W10" s="168">
        <v>3.78</v>
      </c>
      <c r="X10" s="168">
        <v>2.54</v>
      </c>
      <c r="Y10" s="168">
        <v>17.14</v>
      </c>
      <c r="Z10" s="168">
        <v>27.86</v>
      </c>
      <c r="AA10" s="168">
        <f t="shared" si="2"/>
        <v>6.32</v>
      </c>
      <c r="AB10" s="169">
        <f t="shared" si="3"/>
        <v>0.67195767195767198</v>
      </c>
      <c r="AC10" s="170">
        <f>IF(X10&gt;0,IFERROR(GETPIVOTDATA("act_qty",RECPT!$A$3,"yymm","202107","unit","BOL","comm","L"),0),)</f>
        <v>42939</v>
      </c>
      <c r="AD10" s="171"/>
      <c r="AE10" s="172">
        <f t="shared" si="4"/>
        <v>44378</v>
      </c>
      <c r="AF10" s="167">
        <v>61.11</v>
      </c>
      <c r="AG10" s="168">
        <v>4.95</v>
      </c>
      <c r="AH10" s="168">
        <v>2.85</v>
      </c>
      <c r="AI10" s="168">
        <v>5.0599999999999996</v>
      </c>
      <c r="AJ10" s="168">
        <v>44.1</v>
      </c>
      <c r="AK10" s="168">
        <f t="shared" si="5"/>
        <v>7.8000000000000007</v>
      </c>
      <c r="AL10" s="169">
        <f t="shared" si="6"/>
        <v>0.5757575757575758</v>
      </c>
      <c r="AM10" s="170">
        <f>IF(AH10&gt;0,IFERROR(GETPIVOTDATA("act_qty",RECPT!$A$3,"yymm","202107","unit","BOL","comm","F"),0),)</f>
        <v>47951</v>
      </c>
      <c r="AN10" s="104"/>
      <c r="AO10" s="172">
        <f t="shared" si="7"/>
        <v>44378</v>
      </c>
      <c r="AP10" s="167">
        <v>61.25</v>
      </c>
      <c r="AQ10" s="168">
        <v>4.9000000000000004</v>
      </c>
      <c r="AR10" s="168">
        <v>2.65</v>
      </c>
      <c r="AS10" s="168">
        <v>12.84</v>
      </c>
      <c r="AT10" s="168">
        <v>29.49</v>
      </c>
      <c r="AU10" s="168">
        <f t="shared" si="8"/>
        <v>7.5500000000000007</v>
      </c>
      <c r="AV10" s="169">
        <f t="shared" si="9"/>
        <v>0.54081632653061218</v>
      </c>
      <c r="AW10" s="170">
        <f>IF(AR10&gt;0,IFERROR(GETPIVOTDATA("act_qty",RECPT!$A$3,"yymm","202107","unit","MBR","comm","L"),0),)</f>
        <v>90752</v>
      </c>
      <c r="AX10" s="104"/>
      <c r="AY10" s="172">
        <f t="shared" si="10"/>
        <v>44378</v>
      </c>
      <c r="AZ10" s="167">
        <v>60.09</v>
      </c>
      <c r="BA10" s="168">
        <v>6.58</v>
      </c>
      <c r="BB10" s="168">
        <v>2.87</v>
      </c>
      <c r="BC10" s="168">
        <v>5.51</v>
      </c>
      <c r="BD10" s="168">
        <v>42.6</v>
      </c>
      <c r="BE10" s="168">
        <f t="shared" si="11"/>
        <v>9.4499999999999993</v>
      </c>
      <c r="BF10" s="169">
        <f t="shared" si="12"/>
        <v>0.43617021276595747</v>
      </c>
      <c r="BG10" s="170">
        <f>IF(BB10&gt;0,IFERROR(GETPIVOTDATA("act_qty",RECPT!$A$3,"yymm","202107","unit","MBR","comm","F"),0),)</f>
        <v>131035</v>
      </c>
    </row>
    <row r="11" spans="1:59" ht="21" x14ac:dyDescent="0.25">
      <c r="A11" s="166">
        <v>44409</v>
      </c>
      <c r="B11" s="167">
        <v>61.74</v>
      </c>
      <c r="C11" s="168">
        <v>4.21</v>
      </c>
      <c r="D11" s="168">
        <v>2.4700000000000002</v>
      </c>
      <c r="E11" s="168">
        <v>9.76</v>
      </c>
      <c r="F11" s="168">
        <v>30</v>
      </c>
      <c r="G11" s="168">
        <f t="shared" si="0"/>
        <v>6.68</v>
      </c>
      <c r="H11" s="169">
        <f t="shared" si="1"/>
        <v>0.58669833729216159</v>
      </c>
      <c r="I11" s="170">
        <f>IF(D11&gt;0,IFERROR(GETPIVOTDATA("act_qty",RECPT!$A$3,"yymm","202108","unit","KRB","comm","L"),0),)</f>
        <v>58442</v>
      </c>
      <c r="J11" s="119"/>
      <c r="K11" s="166">
        <f t="shared" si="15"/>
        <v>44409</v>
      </c>
      <c r="L11" s="167">
        <v>61.14</v>
      </c>
      <c r="M11" s="168">
        <v>5.0199999999999996</v>
      </c>
      <c r="N11" s="168">
        <v>2.71</v>
      </c>
      <c r="O11" s="168">
        <v>5.47</v>
      </c>
      <c r="P11" s="168">
        <v>42.64</v>
      </c>
      <c r="Q11" s="168">
        <f t="shared" si="13"/>
        <v>7.7299999999999995</v>
      </c>
      <c r="R11" s="169">
        <f t="shared" si="14"/>
        <v>0.53984063745019928</v>
      </c>
      <c r="S11" s="170">
        <f>IF(N11&gt;0,IFERROR(GETPIVOTDATA("act_qty",RECPT!$A$3,"yymm","202108","unit","KRB","comm","F"),0),)</f>
        <v>134743</v>
      </c>
      <c r="T11" s="104"/>
      <c r="U11" s="166">
        <f t="shared" si="16"/>
        <v>44409</v>
      </c>
      <c r="V11" s="167">
        <v>61.95</v>
      </c>
      <c r="W11" s="168">
        <v>3.8</v>
      </c>
      <c r="X11" s="168">
        <v>2.5499999999999998</v>
      </c>
      <c r="Y11" s="168">
        <v>15.29</v>
      </c>
      <c r="Z11" s="168">
        <v>28.87</v>
      </c>
      <c r="AA11" s="168">
        <f t="shared" si="2"/>
        <v>6.35</v>
      </c>
      <c r="AB11" s="169">
        <f t="shared" si="3"/>
        <v>0.67105263157894735</v>
      </c>
      <c r="AC11" s="170">
        <f>IF(X11&gt;0,IFERROR(GETPIVOTDATA("act_qty",RECPT!$A$3,"yymm","202108","unit","BOL","comm","L"),0),)</f>
        <v>106272</v>
      </c>
      <c r="AD11" s="171"/>
      <c r="AE11" s="172">
        <f t="shared" si="4"/>
        <v>44409</v>
      </c>
      <c r="AF11" s="167">
        <v>61.06</v>
      </c>
      <c r="AG11" s="168">
        <v>4.9800000000000004</v>
      </c>
      <c r="AH11" s="168">
        <v>2.89</v>
      </c>
      <c r="AI11" s="168">
        <v>4.87</v>
      </c>
      <c r="AJ11" s="168">
        <v>43.41</v>
      </c>
      <c r="AK11" s="168">
        <f t="shared" si="5"/>
        <v>7.870000000000001</v>
      </c>
      <c r="AL11" s="169">
        <f t="shared" si="6"/>
        <v>0.58032128514056225</v>
      </c>
      <c r="AM11" s="170">
        <f>IF(AH11&gt;0,IFERROR(GETPIVOTDATA("act_qty",RECPT!$A$3,"yymm","202108","unit","BOL","comm","F"),0),)</f>
        <v>83934</v>
      </c>
      <c r="AN11" s="104"/>
      <c r="AO11" s="172">
        <f t="shared" si="7"/>
        <v>44409</v>
      </c>
      <c r="AP11" s="167">
        <v>61.44</v>
      </c>
      <c r="AQ11" s="168">
        <v>4.42</v>
      </c>
      <c r="AR11" s="168">
        <v>2.73</v>
      </c>
      <c r="AS11" s="168">
        <v>13.07</v>
      </c>
      <c r="AT11" s="168">
        <v>29.23</v>
      </c>
      <c r="AU11" s="168">
        <f t="shared" si="8"/>
        <v>7.15</v>
      </c>
      <c r="AV11" s="169">
        <f t="shared" si="9"/>
        <v>0.61764705882352944</v>
      </c>
      <c r="AW11" s="170">
        <f>IF(AR11&gt;0,IFERROR(GETPIVOTDATA("act_qty",RECPT!$A$3,"yymm","202108","unit","MBR","comm","L"),0),)</f>
        <v>60436</v>
      </c>
      <c r="AX11" s="104"/>
      <c r="AY11" s="172">
        <f t="shared" si="10"/>
        <v>44409</v>
      </c>
      <c r="AZ11" s="167">
        <v>60.63</v>
      </c>
      <c r="BA11" s="168">
        <v>5.7</v>
      </c>
      <c r="BB11" s="168">
        <v>2.88</v>
      </c>
      <c r="BC11" s="168">
        <v>5.23</v>
      </c>
      <c r="BD11" s="168">
        <v>42.08</v>
      </c>
      <c r="BE11" s="168">
        <f t="shared" si="11"/>
        <v>8.58</v>
      </c>
      <c r="BF11" s="169">
        <f t="shared" si="12"/>
        <v>0.50526315789473686</v>
      </c>
      <c r="BG11" s="170">
        <f>IF(BB11&gt;0,IFERROR(GETPIVOTDATA("act_qty",RECPT!$A$3,"yymm","202108","unit","MBR","comm","F"),0),)</f>
        <v>89032</v>
      </c>
    </row>
    <row r="12" spans="1:59" ht="21" x14ac:dyDescent="0.25">
      <c r="A12" s="166">
        <v>44440</v>
      </c>
      <c r="B12" s="167">
        <v>61.45</v>
      </c>
      <c r="C12" s="168">
        <v>4.49</v>
      </c>
      <c r="D12" s="168">
        <v>2.57</v>
      </c>
      <c r="E12" s="168">
        <v>13.8</v>
      </c>
      <c r="F12" s="168">
        <v>29.08</v>
      </c>
      <c r="G12" s="168">
        <f t="shared" si="0"/>
        <v>7.0600000000000005</v>
      </c>
      <c r="H12" s="169">
        <f t="shared" si="1"/>
        <v>0.57238307349665918</v>
      </c>
      <c r="I12" s="170">
        <f>IF(D12&gt;0,IFERROR(GETPIVOTDATA("act_qty",RECPT!$A$3,"yymm","202109","unit","KRB","comm","L"),0),)</f>
        <v>58533</v>
      </c>
      <c r="J12" s="119"/>
      <c r="K12" s="166">
        <f t="shared" si="15"/>
        <v>44440</v>
      </c>
      <c r="L12" s="167">
        <v>60.69</v>
      </c>
      <c r="M12" s="168">
        <v>5.92</v>
      </c>
      <c r="N12" s="168">
        <v>2.63</v>
      </c>
      <c r="O12" s="168">
        <v>5.17</v>
      </c>
      <c r="P12" s="168">
        <v>42.44</v>
      </c>
      <c r="Q12" s="168">
        <f t="shared" si="13"/>
        <v>8.5500000000000007</v>
      </c>
      <c r="R12" s="169">
        <f t="shared" si="14"/>
        <v>0.44425675675675674</v>
      </c>
      <c r="S12" s="170">
        <f>IF(N12&gt;0,IFERROR(GETPIVOTDATA("act_qty",RECPT!$A$3,"yymm","202109","unit","KRB","comm","F"),0),)</f>
        <v>101502</v>
      </c>
      <c r="T12" s="104"/>
      <c r="U12" s="166">
        <f t="shared" si="16"/>
        <v>44440</v>
      </c>
      <c r="V12" s="167">
        <v>61.5</v>
      </c>
      <c r="W12" s="168">
        <v>4.29</v>
      </c>
      <c r="X12" s="168">
        <v>2.67</v>
      </c>
      <c r="Y12" s="168">
        <v>16.13</v>
      </c>
      <c r="Z12" s="168">
        <v>28.27</v>
      </c>
      <c r="AA12" s="168">
        <f t="shared" si="2"/>
        <v>6.96</v>
      </c>
      <c r="AB12" s="169">
        <f t="shared" si="3"/>
        <v>0.6223776223776224</v>
      </c>
      <c r="AC12" s="170">
        <f>IF(X12&gt;0,IFERROR(GETPIVOTDATA("act_qty",RECPT!$A$3,"yymm","202109","unit","BOL","comm","L"),0),)</f>
        <v>68201</v>
      </c>
      <c r="AD12" s="171"/>
      <c r="AE12" s="172">
        <f t="shared" si="4"/>
        <v>44440</v>
      </c>
      <c r="AF12" s="167">
        <v>60.69</v>
      </c>
      <c r="AG12" s="168">
        <v>5.52</v>
      </c>
      <c r="AH12" s="168">
        <v>2.88</v>
      </c>
      <c r="AI12" s="168">
        <v>5.64</v>
      </c>
      <c r="AJ12" s="168">
        <v>41.59</v>
      </c>
      <c r="AK12" s="168">
        <f t="shared" si="5"/>
        <v>8.3999999999999986</v>
      </c>
      <c r="AL12" s="169">
        <f t="shared" si="6"/>
        <v>0.52173913043478259</v>
      </c>
      <c r="AM12" s="170">
        <f>IF(AH12&gt;0,IFERROR(GETPIVOTDATA("act_qty",RECPT!$A$3,"yymm","202109","unit","BOL","comm","F"),0),)</f>
        <v>59308</v>
      </c>
      <c r="AN12" s="104"/>
      <c r="AO12" s="172">
        <f t="shared" si="7"/>
        <v>44440</v>
      </c>
      <c r="AP12" s="167">
        <v>60.96</v>
      </c>
      <c r="AQ12" s="168">
        <v>5.32</v>
      </c>
      <c r="AR12" s="168">
        <v>2.4700000000000002</v>
      </c>
      <c r="AS12" s="168">
        <v>12.5</v>
      </c>
      <c r="AT12" s="168">
        <v>30.35</v>
      </c>
      <c r="AU12" s="168">
        <f t="shared" si="8"/>
        <v>7.7900000000000009</v>
      </c>
      <c r="AV12" s="169">
        <f t="shared" si="9"/>
        <v>0.4642857142857143</v>
      </c>
      <c r="AW12" s="170">
        <f>IF(AR12&gt;0,IFERROR(GETPIVOTDATA("act_qty",RECPT!$A$3,"yymm","202109","unit","MBR","comm","L"),0),)</f>
        <v>92819</v>
      </c>
      <c r="AX12" s="104"/>
      <c r="AY12" s="172">
        <f t="shared" si="10"/>
        <v>44440</v>
      </c>
      <c r="AZ12" s="167">
        <v>60.31</v>
      </c>
      <c r="BA12" s="168">
        <v>6.23</v>
      </c>
      <c r="BB12" s="168">
        <v>2.74</v>
      </c>
      <c r="BC12" s="168">
        <v>5.66</v>
      </c>
      <c r="BD12" s="168">
        <v>40.9</v>
      </c>
      <c r="BE12" s="168">
        <f t="shared" si="11"/>
        <v>8.9700000000000006</v>
      </c>
      <c r="BF12" s="169">
        <f t="shared" si="12"/>
        <v>0.43980738362760835</v>
      </c>
      <c r="BG12" s="170">
        <f>IF(BB12&gt;0,IFERROR(GETPIVOTDATA("act_qty",RECPT!$A$3,"yymm","202109","unit","MBR","comm","F"),0),)</f>
        <v>109011</v>
      </c>
    </row>
    <row r="13" spans="1:59" ht="21" x14ac:dyDescent="0.25">
      <c r="A13" s="166">
        <v>44470</v>
      </c>
      <c r="B13" s="167">
        <v>61.39</v>
      </c>
      <c r="C13" s="168">
        <v>4.3600000000000003</v>
      </c>
      <c r="D13" s="168">
        <v>2.69</v>
      </c>
      <c r="E13" s="168">
        <v>15.86</v>
      </c>
      <c r="F13" s="168">
        <v>26.92</v>
      </c>
      <c r="G13" s="168">
        <f t="shared" si="0"/>
        <v>7.0500000000000007</v>
      </c>
      <c r="H13" s="169">
        <f t="shared" si="1"/>
        <v>0.61697247706422009</v>
      </c>
      <c r="I13" s="170">
        <f>IF(D13&gt;0,IFERROR(GETPIVOTDATA("act_qty",RECPT!$A$3,"yymm","202110","unit","KRB","comm","L"),0),)</f>
        <v>50327.3</v>
      </c>
      <c r="J13" s="119"/>
      <c r="K13" s="166">
        <f t="shared" si="15"/>
        <v>44470</v>
      </c>
      <c r="L13" s="167">
        <v>60.48</v>
      </c>
      <c r="M13" s="168">
        <v>5.75</v>
      </c>
      <c r="N13" s="168">
        <v>2.78</v>
      </c>
      <c r="O13" s="168">
        <v>6.24</v>
      </c>
      <c r="P13" s="168">
        <v>41.96</v>
      </c>
      <c r="Q13" s="168">
        <f t="shared" si="13"/>
        <v>8.5299999999999994</v>
      </c>
      <c r="R13" s="169">
        <f t="shared" si="14"/>
        <v>0.48347826086956519</v>
      </c>
      <c r="S13" s="170">
        <f>IF(N13&gt;0,IFERROR(GETPIVOTDATA("act_qty",RECPT!$A$3,"yymm","202110","unit","KRB","comm","F"),0),)</f>
        <v>104439.2</v>
      </c>
      <c r="T13" s="104"/>
      <c r="U13" s="166">
        <f t="shared" si="16"/>
        <v>44470</v>
      </c>
      <c r="V13" s="167">
        <v>61.44</v>
      </c>
      <c r="W13" s="168">
        <v>4.32</v>
      </c>
      <c r="X13" s="168">
        <v>2.65</v>
      </c>
      <c r="Y13" s="168">
        <v>18.59</v>
      </c>
      <c r="Z13" s="168">
        <v>24.54</v>
      </c>
      <c r="AA13" s="168">
        <f t="shared" si="2"/>
        <v>6.9700000000000006</v>
      </c>
      <c r="AB13" s="169">
        <f t="shared" si="3"/>
        <v>0.61342592592592582</v>
      </c>
      <c r="AC13" s="170">
        <f>IF(X13&gt;0,IFERROR(GETPIVOTDATA("act_qty",RECPT!$A$3,"yymm","202110","unit","BOL","comm","L"),0),)</f>
        <v>85397.69</v>
      </c>
      <c r="AD13" s="119"/>
      <c r="AE13" s="172">
        <f t="shared" si="4"/>
        <v>44470</v>
      </c>
      <c r="AF13" s="167">
        <v>60.74</v>
      </c>
      <c r="AG13" s="168">
        <v>5.32</v>
      </c>
      <c r="AH13" s="168">
        <v>2.8</v>
      </c>
      <c r="AI13" s="168">
        <v>5.45</v>
      </c>
      <c r="AJ13" s="168">
        <v>43.37</v>
      </c>
      <c r="AK13" s="168">
        <f t="shared" si="5"/>
        <v>8.120000000000001</v>
      </c>
      <c r="AL13" s="169">
        <f t="shared" si="6"/>
        <v>0.52631578947368418</v>
      </c>
      <c r="AM13" s="170">
        <f>IF(AH13&gt;0,IFERROR(GETPIVOTDATA("act_qty",RECPT!$A$3,"yymm","202110","unit","BOL","comm","F"),0),)</f>
        <v>105419.18</v>
      </c>
      <c r="AN13" s="104"/>
      <c r="AO13" s="172">
        <f t="shared" si="7"/>
        <v>44470</v>
      </c>
      <c r="AP13" s="167">
        <v>60.57</v>
      </c>
      <c r="AQ13" s="168">
        <v>5.77</v>
      </c>
      <c r="AR13" s="168">
        <v>2.56</v>
      </c>
      <c r="AS13" s="168">
        <v>13.68</v>
      </c>
      <c r="AT13" s="168">
        <v>28.28</v>
      </c>
      <c r="AU13" s="168">
        <f t="shared" si="8"/>
        <v>8.33</v>
      </c>
      <c r="AV13" s="169">
        <f t="shared" si="9"/>
        <v>0.44367417677642984</v>
      </c>
      <c r="AW13" s="170">
        <f>IF(AR13&gt;0,IFERROR(GETPIVOTDATA("act_qty",RECPT!$A$3,"yymm","202110","unit","MBR","comm","L"),0),)</f>
        <v>85242.4</v>
      </c>
      <c r="AX13" s="104"/>
      <c r="AY13" s="172">
        <f t="shared" si="10"/>
        <v>44470</v>
      </c>
      <c r="AZ13" s="167">
        <v>59.87</v>
      </c>
      <c r="BA13" s="168">
        <v>6.62</v>
      </c>
      <c r="BB13" s="168">
        <v>2.85</v>
      </c>
      <c r="BC13" s="168">
        <v>5.49</v>
      </c>
      <c r="BD13" s="168">
        <v>43.4</v>
      </c>
      <c r="BE13" s="168">
        <f t="shared" si="11"/>
        <v>9.4700000000000006</v>
      </c>
      <c r="BF13" s="169">
        <f t="shared" si="12"/>
        <v>0.43051359516616317</v>
      </c>
      <c r="BG13" s="170">
        <f>IF(BB13&gt;0,IFERROR(GETPIVOTDATA("act_qty",RECPT!$A$3,"yymm","202110","unit","MBR","comm","F"),0),)</f>
        <v>153656</v>
      </c>
    </row>
    <row r="14" spans="1:59" ht="21" x14ac:dyDescent="0.25">
      <c r="A14" s="166">
        <v>44501</v>
      </c>
      <c r="B14" s="167">
        <v>61.15</v>
      </c>
      <c r="C14" s="168">
        <v>4.41</v>
      </c>
      <c r="D14" s="168">
        <v>2.87</v>
      </c>
      <c r="E14" s="168">
        <v>14.93</v>
      </c>
      <c r="F14" s="168">
        <v>26.21</v>
      </c>
      <c r="G14" s="168">
        <f t="shared" si="0"/>
        <v>7.28</v>
      </c>
      <c r="H14" s="169">
        <f t="shared" si="1"/>
        <v>0.65079365079365081</v>
      </c>
      <c r="I14" s="170">
        <f>IF(D14&gt;0,IFERROR(GETPIVOTDATA("act_qty",RECPT!$A$3,"yymm","202111","unit","KRB","comm","L"),0),)</f>
        <v>75710.100000000006</v>
      </c>
      <c r="J14" s="119"/>
      <c r="K14" s="166">
        <f t="shared" si="15"/>
        <v>44501</v>
      </c>
      <c r="L14" s="167">
        <v>60.58</v>
      </c>
      <c r="M14" s="168">
        <v>5.58</v>
      </c>
      <c r="N14" s="168">
        <v>2.91</v>
      </c>
      <c r="O14" s="168">
        <v>5.4</v>
      </c>
      <c r="P14" s="168">
        <v>40.78</v>
      </c>
      <c r="Q14" s="168">
        <f t="shared" si="13"/>
        <v>8.49</v>
      </c>
      <c r="R14" s="169">
        <f t="shared" si="14"/>
        <v>0.521505376344086</v>
      </c>
      <c r="S14" s="170">
        <f>IF(N14&gt;0,IFERROR(GETPIVOTDATA("act_qty",RECPT!$A$3,"yymm","202111","unit","KRB","comm","F"),0),)</f>
        <v>120169.2</v>
      </c>
      <c r="T14" s="104"/>
      <c r="U14" s="166">
        <f t="shared" si="16"/>
        <v>44501</v>
      </c>
      <c r="V14" s="167">
        <v>61.37</v>
      </c>
      <c r="W14" s="168">
        <v>4.21</v>
      </c>
      <c r="X14" s="168">
        <v>2.86</v>
      </c>
      <c r="Y14" s="168">
        <v>17.989999999999998</v>
      </c>
      <c r="Z14" s="168">
        <v>25.91</v>
      </c>
      <c r="AA14" s="168">
        <f t="shared" si="2"/>
        <v>7.07</v>
      </c>
      <c r="AB14" s="169">
        <f t="shared" si="3"/>
        <v>0.67933491686460801</v>
      </c>
      <c r="AC14" s="170">
        <f>IF(X14&gt;0,IFERROR(GETPIVOTDATA("act_qty",RECPT!$A$3,"yymm","202111","unit","BOL","comm","L"),0),)</f>
        <v>30111.59</v>
      </c>
      <c r="AD14" s="119"/>
      <c r="AE14" s="172">
        <f t="shared" si="4"/>
        <v>44501</v>
      </c>
      <c r="AF14" s="167">
        <v>60.59</v>
      </c>
      <c r="AG14" s="168">
        <v>5.44</v>
      </c>
      <c r="AH14" s="168">
        <v>3</v>
      </c>
      <c r="AI14" s="168">
        <v>4.99</v>
      </c>
      <c r="AJ14" s="168">
        <v>43.51</v>
      </c>
      <c r="AK14" s="168">
        <f t="shared" si="5"/>
        <v>8.4400000000000013</v>
      </c>
      <c r="AL14" s="169">
        <f t="shared" si="6"/>
        <v>0.55147058823529405</v>
      </c>
      <c r="AM14" s="170">
        <f>IF(AH14&gt;0,IFERROR(GETPIVOTDATA("act_qty",RECPT!$A$3,"yymm","202111","unit","BOL","comm","F"),0),)</f>
        <v>90341.8</v>
      </c>
      <c r="AN14" s="104"/>
      <c r="AO14" s="172">
        <f t="shared" si="7"/>
        <v>44501</v>
      </c>
      <c r="AP14" s="167">
        <v>60.39</v>
      </c>
      <c r="AQ14" s="168">
        <v>5.68</v>
      </c>
      <c r="AR14" s="168">
        <v>2.8</v>
      </c>
      <c r="AS14" s="168">
        <v>14.42</v>
      </c>
      <c r="AT14" s="168">
        <v>27.86</v>
      </c>
      <c r="AU14" s="168">
        <f t="shared" si="8"/>
        <v>8.48</v>
      </c>
      <c r="AV14" s="169">
        <f t="shared" si="9"/>
        <v>0.49295774647887325</v>
      </c>
      <c r="AW14" s="170">
        <f>IF(AR14&gt;0,IFERROR(GETPIVOTDATA("act_qty",RECPT!$A$3,"yymm","202111","unit","MBR","comm","L"),0),)</f>
        <v>102783.1</v>
      </c>
      <c r="AX14" s="104"/>
      <c r="AY14" s="172">
        <f t="shared" si="10"/>
        <v>44501</v>
      </c>
      <c r="AZ14" s="167">
        <v>59.83</v>
      </c>
      <c r="BA14" s="168">
        <v>6.66</v>
      </c>
      <c r="BB14" s="168">
        <v>2.91</v>
      </c>
      <c r="BC14" s="168">
        <v>4.68</v>
      </c>
      <c r="BD14" s="168">
        <v>43.16</v>
      </c>
      <c r="BE14" s="168">
        <f t="shared" si="11"/>
        <v>9.57</v>
      </c>
      <c r="BF14" s="169">
        <f t="shared" si="12"/>
        <v>0.43693693693693697</v>
      </c>
      <c r="BG14" s="170">
        <f>IF(BB14&gt;0,IFERROR(GETPIVOTDATA("act_qty",RECPT!$A$3,"yymm","202111","unit","MBR","comm","F"),0),)</f>
        <v>148886.70000000001</v>
      </c>
    </row>
    <row r="15" spans="1:59" ht="21" x14ac:dyDescent="0.25">
      <c r="A15" s="166">
        <v>44531</v>
      </c>
      <c r="B15" s="167">
        <v>59.85</v>
      </c>
      <c r="C15" s="168">
        <v>6.47</v>
      </c>
      <c r="D15" s="168">
        <v>2.79</v>
      </c>
      <c r="E15" s="168">
        <v>14.46</v>
      </c>
      <c r="F15" s="168">
        <v>26.21</v>
      </c>
      <c r="G15" s="168">
        <f t="shared" si="0"/>
        <v>9.26</v>
      </c>
      <c r="H15" s="169">
        <f t="shared" si="1"/>
        <v>0.43122102009273572</v>
      </c>
      <c r="I15" s="170">
        <f>IF(D15&gt;0,IFERROR(GETPIVOTDATA("act_qty",RECPT!$A$3,"yymm","202112","unit","KRB","comm","L"),0),)</f>
        <v>74888.899999999994</v>
      </c>
      <c r="J15" s="119"/>
      <c r="K15" s="166">
        <f t="shared" si="15"/>
        <v>44531</v>
      </c>
      <c r="L15" s="167">
        <v>59.83</v>
      </c>
      <c r="M15" s="168">
        <v>6.64</v>
      </c>
      <c r="N15" s="168">
        <v>2.93</v>
      </c>
      <c r="O15" s="168">
        <v>5.55</v>
      </c>
      <c r="P15" s="168">
        <v>40.78</v>
      </c>
      <c r="Q15" s="168">
        <f t="shared" si="13"/>
        <v>9.57</v>
      </c>
      <c r="R15" s="169">
        <f t="shared" si="14"/>
        <v>0.4412650602409639</v>
      </c>
      <c r="S15" s="170">
        <f>IF(N15&gt;0,IFERROR(GETPIVOTDATA("act_qty",RECPT!$A$3,"yymm","202112","unit","KRB","comm","F"),0),)</f>
        <v>147760</v>
      </c>
      <c r="T15" s="104"/>
      <c r="U15" s="166">
        <f t="shared" si="16"/>
        <v>44531</v>
      </c>
      <c r="V15" s="167">
        <v>60.6</v>
      </c>
      <c r="W15" s="168">
        <v>5.22</v>
      </c>
      <c r="X15" s="168">
        <v>2.85</v>
      </c>
      <c r="Y15" s="168">
        <v>17.100000000000001</v>
      </c>
      <c r="Z15" s="168">
        <v>25.91</v>
      </c>
      <c r="AA15" s="168">
        <f t="shared" si="2"/>
        <v>8.07</v>
      </c>
      <c r="AB15" s="169">
        <f t="shared" si="3"/>
        <v>0.54597701149425293</v>
      </c>
      <c r="AC15" s="170">
        <f>IF(X15&gt;0,IFERROR(GETPIVOTDATA("act_qty",RECPT!$A$3,"yymm","202112","unit","BOL","comm","L"),0),)</f>
        <v>43592.46</v>
      </c>
      <c r="AD15" s="119"/>
      <c r="AE15" s="172">
        <f t="shared" si="4"/>
        <v>44531</v>
      </c>
      <c r="AF15" s="167">
        <v>60.41</v>
      </c>
      <c r="AG15" s="168">
        <v>5.72</v>
      </c>
      <c r="AH15" s="168">
        <v>2.94</v>
      </c>
      <c r="AI15" s="168">
        <v>5.62</v>
      </c>
      <c r="AJ15" s="168">
        <v>43.51</v>
      </c>
      <c r="AK15" s="168">
        <f t="shared" si="5"/>
        <v>8.66</v>
      </c>
      <c r="AL15" s="169">
        <f t="shared" si="6"/>
        <v>0.51398601398601396</v>
      </c>
      <c r="AM15" s="170">
        <f>IF(AH15&gt;0,IFERROR(GETPIVOTDATA("act_qty",RECPT!$A$3,"yymm","202112","unit","BOL","comm","F"),0),)</f>
        <v>46933.8</v>
      </c>
      <c r="AN15" s="104"/>
      <c r="AO15" s="172">
        <f t="shared" si="7"/>
        <v>44531</v>
      </c>
      <c r="AP15" s="167">
        <v>59.78</v>
      </c>
      <c r="AQ15" s="168">
        <v>6.55</v>
      </c>
      <c r="AR15" s="168">
        <v>2.82</v>
      </c>
      <c r="AS15" s="168">
        <v>19.79</v>
      </c>
      <c r="AT15" s="168">
        <v>27.86</v>
      </c>
      <c r="AU15" s="168">
        <f t="shared" si="8"/>
        <v>9.3699999999999992</v>
      </c>
      <c r="AV15" s="169">
        <f t="shared" si="9"/>
        <v>0.43053435114503813</v>
      </c>
      <c r="AW15" s="170">
        <f>IF(AR15&gt;0,IFERROR(GETPIVOTDATA("act_qty",RECPT!$A$3,"yymm","202112","unit","MBR","comm","L"),0),)</f>
        <v>96274.4</v>
      </c>
      <c r="AX15" s="104"/>
      <c r="AY15" s="172">
        <f t="shared" si="10"/>
        <v>44531</v>
      </c>
      <c r="AZ15" s="167">
        <v>59.12</v>
      </c>
      <c r="BA15" s="168">
        <v>7.92</v>
      </c>
      <c r="BB15" s="168">
        <v>2.76</v>
      </c>
      <c r="BC15" s="168">
        <v>4.8899999999999997</v>
      </c>
      <c r="BD15" s="168">
        <v>43.16</v>
      </c>
      <c r="BE15" s="168">
        <f t="shared" si="11"/>
        <v>10.68</v>
      </c>
      <c r="BF15" s="169">
        <f t="shared" si="12"/>
        <v>0.34848484848484845</v>
      </c>
      <c r="BG15" s="170">
        <f>IF(BB15&gt;0,IFERROR(GETPIVOTDATA("act_qty",RECPT!$A$3,"yymm","202112","unit","MBR","comm","F"),0),)</f>
        <v>141443.20000000001</v>
      </c>
    </row>
    <row r="16" spans="1:59" ht="21" x14ac:dyDescent="0.25">
      <c r="A16" s="166">
        <v>44562</v>
      </c>
      <c r="B16" s="167">
        <v>60.95</v>
      </c>
      <c r="C16" s="168">
        <v>4.7</v>
      </c>
      <c r="D16" s="168">
        <v>2.89</v>
      </c>
      <c r="E16" s="168">
        <v>13.81</v>
      </c>
      <c r="F16" s="168">
        <v>29.26</v>
      </c>
      <c r="G16" s="168">
        <f t="shared" si="0"/>
        <v>7.59</v>
      </c>
      <c r="H16" s="169">
        <f t="shared" si="1"/>
        <v>0.61489361702127665</v>
      </c>
      <c r="I16" s="170">
        <f>IF(D16&gt;0,IFERROR(GETPIVOTDATA("act_qty",RECPT!$A$3,"yymm","202201","unit","KRB","comm","L"),0),)</f>
        <v>93390.9</v>
      </c>
      <c r="J16" s="119"/>
      <c r="K16" s="166">
        <f t="shared" si="15"/>
        <v>44562</v>
      </c>
      <c r="L16" s="167">
        <v>60.07</v>
      </c>
      <c r="M16" s="168">
        <v>6.4</v>
      </c>
      <c r="N16" s="168">
        <v>2.91</v>
      </c>
      <c r="O16" s="168">
        <v>5.48</v>
      </c>
      <c r="P16" s="168">
        <v>42.96</v>
      </c>
      <c r="Q16" s="168">
        <f t="shared" si="13"/>
        <v>9.31</v>
      </c>
      <c r="R16" s="169">
        <f t="shared" si="14"/>
        <v>0.45468750000000002</v>
      </c>
      <c r="S16" s="170">
        <f>IF(N16&gt;0,IFERROR(GETPIVOTDATA("act_qty",RECPT!$A$3,"yymm","202201","unit","KRB","comm","F"),0),)</f>
        <v>119770.1</v>
      </c>
      <c r="T16" s="104"/>
      <c r="U16" s="166">
        <f t="shared" si="16"/>
        <v>44562</v>
      </c>
      <c r="V16" s="167">
        <v>60.94</v>
      </c>
      <c r="W16" s="168">
        <v>4.7</v>
      </c>
      <c r="X16" s="168">
        <v>2.92</v>
      </c>
      <c r="Y16" s="168">
        <v>16.149999999999999</v>
      </c>
      <c r="Z16" s="168">
        <v>25.91</v>
      </c>
      <c r="AA16" s="168">
        <f t="shared" si="2"/>
        <v>7.62</v>
      </c>
      <c r="AB16" s="169">
        <f t="shared" si="3"/>
        <v>0.62127659574468086</v>
      </c>
      <c r="AC16" s="170">
        <f>IF(X16&gt;0,IFERROR(GETPIVOTDATA("act_qty",RECPT!$A$3,"yymm","202201","unit","BOL","comm","L"),0),)</f>
        <v>63698.15</v>
      </c>
      <c r="AD16" s="119"/>
      <c r="AE16" s="172">
        <f t="shared" si="4"/>
        <v>44562</v>
      </c>
      <c r="AF16" s="167">
        <v>60.52</v>
      </c>
      <c r="AG16" s="168">
        <v>5.66</v>
      </c>
      <c r="AH16" s="168">
        <v>2.99</v>
      </c>
      <c r="AI16" s="168">
        <v>4.87</v>
      </c>
      <c r="AJ16" s="168">
        <v>40.75</v>
      </c>
      <c r="AK16" s="168">
        <f t="shared" si="5"/>
        <v>8.65</v>
      </c>
      <c r="AL16" s="169">
        <f t="shared" si="6"/>
        <v>0.5282685512367491</v>
      </c>
      <c r="AM16" s="170">
        <f>IF(AH16&gt;0,IFERROR(GETPIVOTDATA("act_qty",RECPT!$A$3,"yymm","202201","unit","BOL","comm","F"),0),)</f>
        <v>56517.599999999999</v>
      </c>
      <c r="AN16" s="104"/>
      <c r="AO16" s="172">
        <f t="shared" si="7"/>
        <v>44562</v>
      </c>
      <c r="AP16" s="167">
        <v>60.02</v>
      </c>
      <c r="AQ16" s="168">
        <v>6.13</v>
      </c>
      <c r="AR16" s="168">
        <v>2.86</v>
      </c>
      <c r="AS16" s="168">
        <v>13.51</v>
      </c>
      <c r="AT16" s="168">
        <v>29.58</v>
      </c>
      <c r="AU16" s="168">
        <f t="shared" si="8"/>
        <v>8.99</v>
      </c>
      <c r="AV16" s="169">
        <f t="shared" si="9"/>
        <v>0.46655791190864598</v>
      </c>
      <c r="AW16" s="170">
        <f>IF(AR16&gt;0,IFERROR(GETPIVOTDATA("act_qty",RECPT!$A$3,"yymm","202201","unit","MBR","comm","L"),0),)</f>
        <v>69279.5</v>
      </c>
      <c r="AX16" s="104"/>
      <c r="AY16" s="172">
        <f t="shared" si="10"/>
        <v>44562</v>
      </c>
      <c r="AZ16" s="167">
        <v>59.56</v>
      </c>
      <c r="BA16" s="168">
        <v>7.26</v>
      </c>
      <c r="BB16" s="168">
        <v>2.86</v>
      </c>
      <c r="BC16" s="168">
        <v>4.97</v>
      </c>
      <c r="BD16" s="168">
        <v>42.94</v>
      </c>
      <c r="BE16" s="168">
        <f t="shared" si="11"/>
        <v>10.119999999999999</v>
      </c>
      <c r="BF16" s="169">
        <f t="shared" si="12"/>
        <v>0.39393939393939392</v>
      </c>
      <c r="BG16" s="170">
        <f>IF(BB16&gt;0,IFERROR(GETPIVOTDATA("act_qty",RECPT!$A$3,"yymm","202201","unit","MBR","comm","F"),0),)</f>
        <v>176321.3</v>
      </c>
    </row>
    <row r="17" spans="1:59" ht="21" x14ac:dyDescent="0.25">
      <c r="A17" s="166">
        <v>44593</v>
      </c>
      <c r="B17" s="167">
        <v>60.92</v>
      </c>
      <c r="C17" s="168">
        <v>4.7300000000000004</v>
      </c>
      <c r="D17" s="168">
        <v>2.88</v>
      </c>
      <c r="E17" s="168">
        <v>12.67</v>
      </c>
      <c r="F17" s="168">
        <v>27.89</v>
      </c>
      <c r="G17" s="168">
        <f t="shared" si="0"/>
        <v>7.61</v>
      </c>
      <c r="H17" s="169">
        <f t="shared" si="1"/>
        <v>0.60887949260042273</v>
      </c>
      <c r="I17" s="170">
        <f>IF(D17&gt;0,IFERROR(GETPIVOTDATA("act_qty",RECPT!$A$3,"yymm","202202","unit","KRB","comm","L"),0),)</f>
        <v>86851.6</v>
      </c>
      <c r="J17" s="119"/>
      <c r="K17" s="166">
        <f t="shared" si="15"/>
        <v>44593</v>
      </c>
      <c r="L17" s="167">
        <v>60.65</v>
      </c>
      <c r="M17" s="168">
        <v>5.66</v>
      </c>
      <c r="N17" s="168">
        <v>2.85</v>
      </c>
      <c r="O17" s="168">
        <v>5.24</v>
      </c>
      <c r="P17" s="168">
        <v>43.88</v>
      </c>
      <c r="Q17" s="168">
        <f t="shared" si="13"/>
        <v>8.51</v>
      </c>
      <c r="R17" s="169">
        <f t="shared" si="14"/>
        <v>0.50353356890459366</v>
      </c>
      <c r="S17" s="170">
        <f>IF(N17&gt;0,IFERROR(GETPIVOTDATA("act_qty",RECPT!$A$3,"yymm","202202","unit","KRB","comm","F"),0),)</f>
        <v>102105.8</v>
      </c>
      <c r="T17" s="104"/>
      <c r="U17" s="166">
        <f t="shared" si="16"/>
        <v>44593</v>
      </c>
      <c r="V17" s="167">
        <v>61.15</v>
      </c>
      <c r="W17" s="168">
        <v>4.33</v>
      </c>
      <c r="X17" s="168">
        <v>2.92</v>
      </c>
      <c r="Y17" s="168">
        <v>15.19</v>
      </c>
      <c r="Z17" s="168">
        <v>26.98</v>
      </c>
      <c r="AA17" s="168">
        <f t="shared" si="2"/>
        <v>7.25</v>
      </c>
      <c r="AB17" s="169">
        <f t="shared" si="3"/>
        <v>0.67436489607390293</v>
      </c>
      <c r="AC17" s="170">
        <f>IF(X17&gt;0,IFERROR(GETPIVOTDATA("act_qty",RECPT!$A$3,"yymm","202202","unit","BOL","comm","L"),0),)</f>
        <v>72153.5</v>
      </c>
      <c r="AD17" s="119"/>
      <c r="AE17" s="172">
        <f t="shared" si="4"/>
        <v>44593</v>
      </c>
      <c r="AF17" s="167">
        <v>60.8</v>
      </c>
      <c r="AG17" s="168">
        <v>5.36</v>
      </c>
      <c r="AH17" s="168">
        <v>2.99</v>
      </c>
      <c r="AI17" s="168">
        <v>5.39</v>
      </c>
      <c r="AJ17" s="168">
        <v>43.02</v>
      </c>
      <c r="AK17" s="168">
        <f t="shared" si="5"/>
        <v>8.3500000000000014</v>
      </c>
      <c r="AL17" s="169">
        <f t="shared" si="6"/>
        <v>0.55783582089552242</v>
      </c>
      <c r="AM17" s="170">
        <f>IF(AH17&gt;0,IFERROR(GETPIVOTDATA("act_qty",RECPT!$A$3,"yymm","202202","unit","BOL","comm","F"),0),)</f>
        <v>61890.9</v>
      </c>
      <c r="AN17" s="104"/>
      <c r="AO17" s="172">
        <f t="shared" si="7"/>
        <v>44593</v>
      </c>
      <c r="AP17" s="167">
        <v>60.38</v>
      </c>
      <c r="AQ17" s="168">
        <v>5.71</v>
      </c>
      <c r="AR17" s="168">
        <v>2.79</v>
      </c>
      <c r="AS17" s="168">
        <v>13.53</v>
      </c>
      <c r="AT17" s="168">
        <v>29.19</v>
      </c>
      <c r="AU17" s="168">
        <f t="shared" si="8"/>
        <v>8.5</v>
      </c>
      <c r="AV17" s="169">
        <f t="shared" si="9"/>
        <v>0.48861646234676009</v>
      </c>
      <c r="AW17" s="170">
        <f>IF(AR17&gt;0,IFERROR(GETPIVOTDATA("act_qty",RECPT!$A$3,"yymm","202202","unit","MBR","comm","L"),0),)</f>
        <v>79132.5</v>
      </c>
      <c r="AX17" s="104"/>
      <c r="AY17" s="172">
        <f t="shared" si="10"/>
        <v>44593</v>
      </c>
      <c r="AZ17" s="167">
        <v>59.83</v>
      </c>
      <c r="BA17" s="168">
        <v>6.86</v>
      </c>
      <c r="BB17" s="168">
        <v>2.88</v>
      </c>
      <c r="BC17" s="168">
        <v>4.96</v>
      </c>
      <c r="BD17" s="168">
        <v>42.98</v>
      </c>
      <c r="BE17" s="168">
        <f t="shared" si="11"/>
        <v>9.74</v>
      </c>
      <c r="BF17" s="169">
        <f t="shared" si="12"/>
        <v>0.41982507288629733</v>
      </c>
      <c r="BG17" s="170">
        <f>IF(BB17&gt;0,IFERROR(GETPIVOTDATA("act_qty",RECPT!$A$3,"yymm","202202","unit","MBR","comm","F"),0),)</f>
        <v>98744.2</v>
      </c>
    </row>
    <row r="18" spans="1:59" ht="21.5" thickBot="1" x14ac:dyDescent="0.3">
      <c r="A18" s="166">
        <v>44621</v>
      </c>
      <c r="B18" s="183">
        <v>61.85</v>
      </c>
      <c r="C18" s="184">
        <v>4.22</v>
      </c>
      <c r="D18" s="184">
        <v>2.74</v>
      </c>
      <c r="E18" s="168">
        <v>11.73</v>
      </c>
      <c r="F18" s="168">
        <v>29.6</v>
      </c>
      <c r="G18" s="168">
        <f t="shared" si="0"/>
        <v>6.96</v>
      </c>
      <c r="H18" s="169">
        <f t="shared" si="1"/>
        <v>0.64928909952606639</v>
      </c>
      <c r="I18" s="170">
        <f>IF(D18&gt;0,IFERROR(GETPIVOTDATA("act_qty",RECPT!$A$3,"yymm","202203","unit","KRB","comm","L"),0),)</f>
        <v>86045.4</v>
      </c>
      <c r="J18" s="119"/>
      <c r="K18" s="166">
        <f t="shared" si="15"/>
        <v>44621</v>
      </c>
      <c r="L18" s="183">
        <v>61.35</v>
      </c>
      <c r="M18" s="184">
        <v>5.16</v>
      </c>
      <c r="N18" s="184">
        <v>2.86</v>
      </c>
      <c r="O18" s="168">
        <v>5.27</v>
      </c>
      <c r="P18" s="168">
        <v>43.26</v>
      </c>
      <c r="Q18" s="168">
        <f t="shared" si="13"/>
        <v>8.02</v>
      </c>
      <c r="R18" s="169">
        <f t="shared" si="14"/>
        <v>0.55426356589147285</v>
      </c>
      <c r="S18" s="170">
        <f>IF(N18&gt;0,IFERROR(GETPIVOTDATA("act_qty",RECPT!$A$3,"yymm","202203","unit","KRB","comm","F"),0),)</f>
        <v>117003.6</v>
      </c>
      <c r="T18" s="104"/>
      <c r="U18" s="166">
        <f t="shared" si="16"/>
        <v>44621</v>
      </c>
      <c r="V18" s="183">
        <v>62.02</v>
      </c>
      <c r="W18" s="184">
        <v>3.98</v>
      </c>
      <c r="X18" s="184">
        <v>2.75</v>
      </c>
      <c r="Y18" s="168">
        <v>13.81</v>
      </c>
      <c r="Z18" s="168">
        <v>27.5</v>
      </c>
      <c r="AA18" s="168">
        <f t="shared" si="2"/>
        <v>6.73</v>
      </c>
      <c r="AB18" s="169">
        <f t="shared" si="3"/>
        <v>0.69095477386934678</v>
      </c>
      <c r="AC18" s="170">
        <f>IF(X18&gt;0,IFERROR(GETPIVOTDATA("act_qty",RECPT!$A$3,"yymm","202203","unit","BOL","comm","L"),0),)</f>
        <v>70274.399999999994</v>
      </c>
      <c r="AD18" s="119"/>
      <c r="AE18" s="185">
        <f t="shared" si="4"/>
        <v>44621</v>
      </c>
      <c r="AF18" s="183">
        <v>61.2</v>
      </c>
      <c r="AG18" s="184">
        <v>5.45</v>
      </c>
      <c r="AH18" s="184">
        <v>2.77</v>
      </c>
      <c r="AI18" s="168">
        <v>5.57</v>
      </c>
      <c r="AJ18" s="168">
        <v>41.74</v>
      </c>
      <c r="AK18" s="168">
        <f t="shared" si="5"/>
        <v>8.2200000000000006</v>
      </c>
      <c r="AL18" s="169">
        <f t="shared" si="6"/>
        <v>0.50825688073394493</v>
      </c>
      <c r="AM18" s="170">
        <f>IF(AH18&gt;0,IFERROR(GETPIVOTDATA("act_qty",RECPT!$A$3,"yymm","202203","unit","BOL","comm","F"),0),)</f>
        <v>87215.4</v>
      </c>
      <c r="AN18" s="104"/>
      <c r="AO18" s="172">
        <f t="shared" si="7"/>
        <v>44621</v>
      </c>
      <c r="AP18" s="183">
        <v>61.09</v>
      </c>
      <c r="AQ18" s="184">
        <v>5.41</v>
      </c>
      <c r="AR18" s="184">
        <v>2.7</v>
      </c>
      <c r="AS18" s="168">
        <v>12.99</v>
      </c>
      <c r="AT18" s="168">
        <v>28.94</v>
      </c>
      <c r="AU18" s="168">
        <f t="shared" si="8"/>
        <v>8.11</v>
      </c>
      <c r="AV18" s="169">
        <f t="shared" si="9"/>
        <v>0.49907578558225513</v>
      </c>
      <c r="AW18" s="170">
        <f>IF(AR18&gt;0,IFERROR(GETPIVOTDATA("act_qty",RECPT!$A$3,"yymm","202203","unit","MBR","comm","L"),0),)</f>
        <v>111817.3</v>
      </c>
      <c r="AX18" s="104"/>
      <c r="AY18" s="172">
        <f t="shared" si="10"/>
        <v>44621</v>
      </c>
      <c r="AZ18" s="183">
        <v>60.34</v>
      </c>
      <c r="BA18" s="184">
        <v>6.65</v>
      </c>
      <c r="BB18" s="184">
        <v>2.93</v>
      </c>
      <c r="BC18" s="168">
        <v>4.93</v>
      </c>
      <c r="BD18" s="168">
        <v>42.97</v>
      </c>
      <c r="BE18" s="168">
        <f t="shared" si="11"/>
        <v>9.58</v>
      </c>
      <c r="BF18" s="169">
        <f t="shared" si="12"/>
        <v>0.44060150375939849</v>
      </c>
      <c r="BG18" s="170">
        <f>IF(BB18&gt;0,IFERROR(GETPIVOTDATA("act_qty",RECPT!$A$3,"yymm","202203","unit","MBR","comm","F"),0),)</f>
        <v>159234.70000000001</v>
      </c>
    </row>
    <row r="19" spans="1:59" ht="21.5" thickBot="1" x14ac:dyDescent="0.3">
      <c r="A19" s="191" t="s">
        <v>42</v>
      </c>
      <c r="B19" s="192">
        <v>61.4</v>
      </c>
      <c r="C19" s="192">
        <v>4.49</v>
      </c>
      <c r="D19" s="192">
        <v>2.68</v>
      </c>
      <c r="E19" s="192">
        <v>12.98</v>
      </c>
      <c r="F19" s="192">
        <v>28.43</v>
      </c>
      <c r="G19" s="193">
        <f t="shared" si="0"/>
        <v>7.17</v>
      </c>
      <c r="H19" s="194">
        <f t="shared" si="1"/>
        <v>0.5968819599109132</v>
      </c>
      <c r="I19" s="195">
        <f>SUM(I7:I18)</f>
        <v>854273.20000000007</v>
      </c>
      <c r="J19" s="119"/>
      <c r="K19" s="191" t="s">
        <v>42</v>
      </c>
      <c r="L19" s="192">
        <v>60.74</v>
      </c>
      <c r="M19" s="192">
        <v>5.61</v>
      </c>
      <c r="N19" s="192">
        <v>2.78</v>
      </c>
      <c r="O19" s="192">
        <v>5.48</v>
      </c>
      <c r="P19" s="192">
        <v>42.76</v>
      </c>
      <c r="Q19" s="193">
        <f t="shared" si="13"/>
        <v>8.39</v>
      </c>
      <c r="R19" s="194">
        <f t="shared" si="14"/>
        <v>0.49554367201426019</v>
      </c>
      <c r="S19" s="195">
        <f>SUM(S7:S18)</f>
        <v>1398130.9000000001</v>
      </c>
      <c r="T19" s="104"/>
      <c r="U19" s="191" t="s">
        <v>42</v>
      </c>
      <c r="V19" s="192">
        <v>61.64</v>
      </c>
      <c r="W19" s="192">
        <v>4.2300000000000004</v>
      </c>
      <c r="X19" s="192">
        <v>2.71</v>
      </c>
      <c r="Y19" s="192">
        <v>17.12</v>
      </c>
      <c r="Z19" s="192">
        <v>26.54</v>
      </c>
      <c r="AA19" s="193">
        <f t="shared" si="2"/>
        <v>6.94</v>
      </c>
      <c r="AB19" s="194">
        <f t="shared" si="3"/>
        <v>0.64066193853427889</v>
      </c>
      <c r="AC19" s="195">
        <f>SUM(AC7:AC18)</f>
        <v>724974.79</v>
      </c>
      <c r="AD19" s="171"/>
      <c r="AE19" s="196" t="str">
        <f t="shared" si="4"/>
        <v>CUMML</v>
      </c>
      <c r="AF19" s="192">
        <v>60.96</v>
      </c>
      <c r="AG19" s="192">
        <v>5.18</v>
      </c>
      <c r="AH19" s="192">
        <v>2.88</v>
      </c>
      <c r="AI19" s="192">
        <v>5.35</v>
      </c>
      <c r="AJ19" s="192">
        <v>41.22</v>
      </c>
      <c r="AK19" s="193">
        <f t="shared" si="5"/>
        <v>8.0599999999999987</v>
      </c>
      <c r="AL19" s="194">
        <f t="shared" si="6"/>
        <v>0.55598455598455598</v>
      </c>
      <c r="AM19" s="195">
        <f>SUM(AM7:AM18)</f>
        <v>842912.68</v>
      </c>
      <c r="AN19" s="104"/>
      <c r="AO19" s="197" t="s">
        <v>42</v>
      </c>
      <c r="AP19" s="192">
        <v>60.84</v>
      </c>
      <c r="AQ19" s="192">
        <v>5.38</v>
      </c>
      <c r="AR19" s="192">
        <v>2.64</v>
      </c>
      <c r="AS19" s="192">
        <v>14.22</v>
      </c>
      <c r="AT19" s="192">
        <v>28.42</v>
      </c>
      <c r="AU19" s="193">
        <f t="shared" si="8"/>
        <v>8.02</v>
      </c>
      <c r="AV19" s="194">
        <f t="shared" si="9"/>
        <v>0.49070631970260226</v>
      </c>
      <c r="AW19" s="195">
        <f>SUM(AW7:AW18)</f>
        <v>992392.20000000007</v>
      </c>
      <c r="AX19" s="104"/>
      <c r="AY19" s="197" t="str">
        <f t="shared" si="10"/>
        <v>CUMML</v>
      </c>
      <c r="AZ19" s="192">
        <v>60.07</v>
      </c>
      <c r="BA19" s="192">
        <v>6.66</v>
      </c>
      <c r="BB19" s="192">
        <v>2.77</v>
      </c>
      <c r="BC19" s="192">
        <v>5.28</v>
      </c>
      <c r="BD19" s="192">
        <v>42.76</v>
      </c>
      <c r="BE19" s="193">
        <f t="shared" si="11"/>
        <v>9.43</v>
      </c>
      <c r="BF19" s="194">
        <f t="shared" si="12"/>
        <v>0.41591591591591592</v>
      </c>
      <c r="BG19" s="195">
        <f>SUM(BG7:BG18)</f>
        <v>1576974.0999999999</v>
      </c>
    </row>
    <row r="20" spans="1:59" s="7" customFormat="1" ht="21" x14ac:dyDescent="0.25">
      <c r="A20" s="205"/>
      <c r="B20" s="205">
        <f>B14*1.4298+G14</f>
        <v>94.712270000000004</v>
      </c>
      <c r="C20" s="205"/>
      <c r="D20" s="205"/>
      <c r="E20" s="205"/>
      <c r="F20" s="205"/>
      <c r="G20" s="205"/>
      <c r="H20" s="205"/>
      <c r="I20" s="205"/>
      <c r="J20" s="205"/>
      <c r="K20" s="205"/>
      <c r="L20" s="205">
        <f>L14*1.4298+Q14</f>
        <v>95.107283999999993</v>
      </c>
      <c r="M20" s="205"/>
      <c r="N20" s="205"/>
      <c r="O20" s="205"/>
      <c r="P20" s="205"/>
      <c r="Q20" s="205"/>
      <c r="R20" s="205"/>
      <c r="S20" s="205"/>
      <c r="T20" s="152"/>
      <c r="U20" s="104"/>
      <c r="V20" s="205">
        <f>V14*1.4298+AA14</f>
        <v>94.816825999999992</v>
      </c>
      <c r="W20" s="104"/>
      <c r="X20" s="104"/>
      <c r="Y20" s="104"/>
      <c r="Z20" s="104"/>
      <c r="AA20" s="104"/>
      <c r="AB20" s="119"/>
      <c r="AC20" s="119"/>
      <c r="AD20" s="104"/>
      <c r="AE20" s="104"/>
      <c r="AF20" s="205">
        <f>AF14*1.4298+AK14</f>
        <v>95.071582000000006</v>
      </c>
      <c r="AG20" s="104"/>
      <c r="AH20" s="104"/>
      <c r="AI20" s="104"/>
      <c r="AJ20" s="104"/>
      <c r="AK20" s="104"/>
      <c r="AL20" s="104"/>
      <c r="AM20" s="104"/>
      <c r="AN20" s="205"/>
      <c r="AO20" s="205"/>
      <c r="AP20" s="205">
        <f>AP14*1.4298+AU14</f>
        <v>94.825621999999996</v>
      </c>
      <c r="AQ20" s="205"/>
      <c r="AR20" s="205"/>
      <c r="AS20" s="205"/>
      <c r="AT20" s="205"/>
      <c r="AU20" s="205"/>
      <c r="AV20" s="205"/>
      <c r="AW20" s="205"/>
      <c r="AX20" s="205"/>
      <c r="AY20" s="205"/>
      <c r="AZ20" s="205">
        <f>AZ14*1.4298+BE14</f>
        <v>95.114934000000005</v>
      </c>
      <c r="BA20" s="205"/>
      <c r="BB20" s="205"/>
      <c r="BC20" s="205"/>
      <c r="BD20" s="205"/>
      <c r="BE20" s="205"/>
      <c r="BF20" s="205"/>
      <c r="BG20" s="205"/>
    </row>
    <row r="21" spans="1:59" s="12" customFormat="1" ht="21" x14ac:dyDescent="0.25">
      <c r="A21" s="211"/>
      <c r="B21" s="205">
        <f>B19*1.4298+G19</f>
        <v>94.95971999999999</v>
      </c>
      <c r="C21" s="212"/>
      <c r="D21" s="212"/>
      <c r="E21" s="212"/>
      <c r="F21" s="212"/>
      <c r="G21" s="212"/>
      <c r="H21" s="212"/>
      <c r="I21" s="283"/>
      <c r="J21" s="212"/>
      <c r="K21" s="211"/>
      <c r="L21" s="212">
        <f>L19*1.4298+Q19</f>
        <v>95.236052000000001</v>
      </c>
      <c r="M21" s="212"/>
      <c r="N21" s="212"/>
      <c r="O21" s="212"/>
      <c r="P21" s="212"/>
      <c r="Q21" s="212"/>
      <c r="R21" s="212"/>
      <c r="S21" s="283"/>
      <c r="T21" s="213"/>
      <c r="U21" s="213"/>
      <c r="V21" s="212">
        <f>V19*1.4298+AA19</f>
        <v>95.07287199999999</v>
      </c>
      <c r="W21" s="212"/>
      <c r="X21" s="212"/>
      <c r="Y21" s="212"/>
      <c r="Z21" s="212"/>
      <c r="AA21" s="212"/>
      <c r="AB21" s="212"/>
      <c r="AC21" s="283"/>
      <c r="AD21" s="213"/>
      <c r="AE21" s="213"/>
      <c r="AF21" s="212">
        <f>AF19*1.4298+AK19</f>
        <v>95.220607999999999</v>
      </c>
      <c r="AG21" s="212"/>
      <c r="AH21" s="212"/>
      <c r="AI21" s="212"/>
      <c r="AJ21" s="212"/>
      <c r="AK21" s="212"/>
      <c r="AL21" s="212"/>
      <c r="AM21" s="213"/>
      <c r="AN21" s="212"/>
      <c r="AO21" s="212"/>
      <c r="AP21" s="212">
        <f>AP19*1.4298+AU19</f>
        <v>95.009032000000005</v>
      </c>
      <c r="AQ21" s="212"/>
      <c r="AR21" s="212"/>
      <c r="AS21" s="212"/>
      <c r="AT21" s="212"/>
      <c r="AU21" s="212"/>
      <c r="AV21" s="212"/>
      <c r="AW21" s="212"/>
      <c r="AX21" s="212"/>
      <c r="AY21" s="212"/>
      <c r="AZ21" s="212">
        <f>AZ19*1.4298+BE19</f>
        <v>95.318085999999994</v>
      </c>
      <c r="BA21" s="212"/>
      <c r="BB21" s="212"/>
      <c r="BC21" s="212"/>
      <c r="BD21" s="212"/>
      <c r="BE21" s="212"/>
      <c r="BF21" s="212"/>
      <c r="BG21" s="212"/>
    </row>
    <row r="22" spans="1:59" s="12" customFormat="1" ht="23.5" x14ac:dyDescent="0.25">
      <c r="A22" s="221"/>
      <c r="B22" s="205"/>
      <c r="C22" s="205"/>
      <c r="D22" s="205"/>
      <c r="E22" s="205"/>
      <c r="F22" s="205"/>
      <c r="G22" s="205"/>
      <c r="H22" s="205"/>
      <c r="I22" s="222"/>
      <c r="J22" s="212"/>
      <c r="K22" s="221"/>
      <c r="L22" s="205"/>
      <c r="M22" s="205"/>
      <c r="N22" s="205"/>
      <c r="O22" s="205"/>
      <c r="P22" s="205"/>
      <c r="Q22" s="205"/>
      <c r="R22" s="205"/>
      <c r="S22" s="222"/>
      <c r="T22" s="213"/>
      <c r="U22" s="223"/>
      <c r="V22" s="224"/>
      <c r="W22" s="224"/>
      <c r="X22" s="224"/>
      <c r="Y22" s="224"/>
      <c r="Z22" s="224"/>
      <c r="AA22" s="224"/>
      <c r="AB22" s="224"/>
      <c r="AC22" s="224"/>
      <c r="AD22" s="213"/>
      <c r="AE22" s="223"/>
      <c r="AF22" s="224"/>
      <c r="AG22" s="224"/>
      <c r="AH22" s="224"/>
      <c r="AI22" s="224"/>
      <c r="AJ22" s="224"/>
      <c r="AK22" s="224"/>
      <c r="AL22" s="224"/>
      <c r="AM22" s="224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3"/>
      <c r="AZ22" s="224"/>
      <c r="BA22" s="224"/>
      <c r="BB22" s="224"/>
      <c r="BC22" s="224"/>
      <c r="BD22" s="224"/>
      <c r="BE22" s="224"/>
      <c r="BF22" s="224"/>
      <c r="BG22" s="213"/>
    </row>
    <row r="23" spans="1:59" ht="28.5" x14ac:dyDescent="0.6">
      <c r="A23" s="586" t="s">
        <v>43</v>
      </c>
      <c r="B23" s="586"/>
      <c r="C23" s="586"/>
      <c r="D23" s="585" t="s">
        <v>30</v>
      </c>
      <c r="E23" s="585"/>
      <c r="F23" s="585"/>
      <c r="G23" s="110"/>
      <c r="H23" s="110"/>
      <c r="I23" s="110"/>
      <c r="J23" s="219"/>
      <c r="K23" s="586" t="s">
        <v>43</v>
      </c>
      <c r="L23" s="586"/>
      <c r="M23" s="586"/>
      <c r="N23" s="585" t="s">
        <v>31</v>
      </c>
      <c r="O23" s="585"/>
      <c r="P23" s="585"/>
      <c r="Q23" s="228"/>
      <c r="R23" s="228"/>
      <c r="S23" s="228"/>
      <c r="T23" s="111"/>
      <c r="U23" s="586" t="s">
        <v>44</v>
      </c>
      <c r="V23" s="586"/>
      <c r="W23" s="586"/>
      <c r="X23" s="585" t="s">
        <v>30</v>
      </c>
      <c r="Y23" s="585"/>
      <c r="Z23" s="585"/>
      <c r="AA23" s="110"/>
      <c r="AB23" s="110"/>
      <c r="AC23" s="110"/>
      <c r="AD23" s="111"/>
      <c r="AE23" s="586" t="s">
        <v>44</v>
      </c>
      <c r="AF23" s="586"/>
      <c r="AG23" s="586"/>
      <c r="AH23" s="585" t="s">
        <v>31</v>
      </c>
      <c r="AI23" s="585"/>
      <c r="AJ23" s="585"/>
      <c r="AK23" s="110"/>
      <c r="AL23" s="110"/>
      <c r="AM23" s="110"/>
      <c r="AN23" s="111"/>
      <c r="AO23" s="586" t="s">
        <v>45</v>
      </c>
      <c r="AP23" s="586"/>
      <c r="AQ23" s="586"/>
      <c r="AR23" s="585" t="s">
        <v>30</v>
      </c>
      <c r="AS23" s="585"/>
      <c r="AT23" s="585"/>
      <c r="AU23" s="110"/>
      <c r="AV23" s="110"/>
      <c r="AW23" s="110"/>
      <c r="AX23" s="111"/>
      <c r="AY23" s="586" t="s">
        <v>45</v>
      </c>
      <c r="AZ23" s="586"/>
      <c r="BA23" s="586"/>
      <c r="BB23" s="585" t="s">
        <v>31</v>
      </c>
      <c r="BC23" s="585"/>
      <c r="BD23" s="585"/>
      <c r="BE23" s="110"/>
      <c r="BF23" s="110"/>
      <c r="BG23" s="110"/>
    </row>
    <row r="24" spans="1:59" ht="13" customHeight="1" thickBot="1" x14ac:dyDescent="0.3">
      <c r="A24" s="103"/>
      <c r="B24" s="230"/>
      <c r="C24" s="230"/>
      <c r="D24" s="230"/>
      <c r="E24" s="230"/>
      <c r="F24" s="230"/>
      <c r="G24" s="230"/>
      <c r="H24" s="230"/>
      <c r="I24" s="103"/>
      <c r="J24" s="212"/>
      <c r="K24" s="103"/>
      <c r="L24" s="103"/>
      <c r="M24" s="103"/>
      <c r="N24" s="103"/>
      <c r="O24" s="103"/>
      <c r="P24" s="103"/>
      <c r="Q24" s="103"/>
      <c r="R24" s="103"/>
      <c r="S24" s="103"/>
      <c r="T24" s="104"/>
      <c r="U24" s="103"/>
      <c r="V24" s="103"/>
      <c r="W24" s="103"/>
      <c r="X24" s="103"/>
      <c r="Y24" s="103"/>
      <c r="Z24" s="103"/>
      <c r="AA24" s="103"/>
      <c r="AB24" s="103"/>
      <c r="AC24" s="103"/>
      <c r="AD24" s="104"/>
      <c r="AE24" s="103"/>
      <c r="AF24" s="103"/>
      <c r="AG24" s="103"/>
      <c r="AH24" s="103"/>
      <c r="AI24" s="103"/>
      <c r="AJ24" s="103"/>
      <c r="AK24" s="103"/>
      <c r="AL24" s="103"/>
      <c r="AM24" s="103"/>
      <c r="AN24" s="104"/>
      <c r="AO24" s="103"/>
      <c r="AP24" s="103"/>
      <c r="AQ24" s="103"/>
      <c r="AR24" s="103"/>
      <c r="AS24" s="103"/>
      <c r="AT24" s="103"/>
      <c r="AU24" s="103"/>
      <c r="AV24" s="103"/>
      <c r="AW24" s="103"/>
      <c r="AX24" s="104"/>
      <c r="AY24" s="103"/>
      <c r="AZ24" s="103"/>
      <c r="BA24" s="103"/>
      <c r="BB24" s="103"/>
      <c r="BC24" s="103"/>
      <c r="BD24" s="103"/>
      <c r="BE24" s="103"/>
      <c r="BF24" s="103"/>
      <c r="BG24" s="103"/>
    </row>
    <row r="25" spans="1:59" ht="22.5" customHeight="1" thickBot="1" x14ac:dyDescent="0.3">
      <c r="A25" s="119"/>
      <c r="B25" s="120" t="s">
        <v>34</v>
      </c>
      <c r="C25" s="121" t="s">
        <v>35</v>
      </c>
      <c r="D25" s="121" t="s">
        <v>36</v>
      </c>
      <c r="E25" s="121" t="s">
        <v>37</v>
      </c>
      <c r="F25" s="121" t="s">
        <v>38</v>
      </c>
      <c r="G25" s="124" t="s">
        <v>39</v>
      </c>
      <c r="H25" s="121" t="s">
        <v>40</v>
      </c>
      <c r="I25" s="123" t="s">
        <v>41</v>
      </c>
      <c r="J25" s="212"/>
      <c r="K25" s="119"/>
      <c r="L25" s="120" t="s">
        <v>34</v>
      </c>
      <c r="M25" s="121" t="s">
        <v>35</v>
      </c>
      <c r="N25" s="121" t="s">
        <v>36</v>
      </c>
      <c r="O25" s="121" t="s">
        <v>37</v>
      </c>
      <c r="P25" s="121" t="s">
        <v>38</v>
      </c>
      <c r="Q25" s="124" t="s">
        <v>39</v>
      </c>
      <c r="R25" s="121" t="s">
        <v>40</v>
      </c>
      <c r="S25" s="123" t="s">
        <v>41</v>
      </c>
      <c r="T25" s="104"/>
      <c r="U25" s="126"/>
      <c r="V25" s="120" t="s">
        <v>34</v>
      </c>
      <c r="W25" s="121" t="s">
        <v>35</v>
      </c>
      <c r="X25" s="121" t="s">
        <v>36</v>
      </c>
      <c r="Y25" s="121" t="s">
        <v>37</v>
      </c>
      <c r="Z25" s="125" t="s">
        <v>38</v>
      </c>
      <c r="AA25" s="121" t="s">
        <v>39</v>
      </c>
      <c r="AB25" s="121" t="s">
        <v>40</v>
      </c>
      <c r="AC25" s="123" t="s">
        <v>41</v>
      </c>
      <c r="AD25" s="104"/>
      <c r="AE25" s="126"/>
      <c r="AF25" s="120" t="s">
        <v>34</v>
      </c>
      <c r="AG25" s="121" t="s">
        <v>35</v>
      </c>
      <c r="AH25" s="121" t="s">
        <v>36</v>
      </c>
      <c r="AI25" s="121" t="s">
        <v>37</v>
      </c>
      <c r="AJ25" s="125" t="s">
        <v>38</v>
      </c>
      <c r="AK25" s="121" t="s">
        <v>39</v>
      </c>
      <c r="AL25" s="121" t="s">
        <v>40</v>
      </c>
      <c r="AM25" s="123" t="s">
        <v>41</v>
      </c>
      <c r="AN25" s="104"/>
      <c r="AO25" s="126"/>
      <c r="AP25" s="120" t="s">
        <v>34</v>
      </c>
      <c r="AQ25" s="121" t="s">
        <v>35</v>
      </c>
      <c r="AR25" s="121" t="s">
        <v>36</v>
      </c>
      <c r="AS25" s="121" t="s">
        <v>37</v>
      </c>
      <c r="AT25" s="125" t="s">
        <v>38</v>
      </c>
      <c r="AU25" s="121" t="s">
        <v>39</v>
      </c>
      <c r="AV25" s="121" t="s">
        <v>40</v>
      </c>
      <c r="AW25" s="123" t="s">
        <v>41</v>
      </c>
      <c r="AX25" s="104"/>
      <c r="AY25" s="126"/>
      <c r="AZ25" s="120" t="s">
        <v>34</v>
      </c>
      <c r="BA25" s="121" t="s">
        <v>35</v>
      </c>
      <c r="BB25" s="121" t="s">
        <v>36</v>
      </c>
      <c r="BC25" s="121" t="s">
        <v>37</v>
      </c>
      <c r="BD25" s="125" t="s">
        <v>38</v>
      </c>
      <c r="BE25" s="121" t="s">
        <v>39</v>
      </c>
      <c r="BF25" s="121" t="s">
        <v>40</v>
      </c>
      <c r="BG25" s="123" t="s">
        <v>41</v>
      </c>
    </row>
    <row r="26" spans="1:59" ht="21" customHeight="1" thickBot="1" x14ac:dyDescent="0.3">
      <c r="A26" s="132" t="str">
        <f>A5</f>
        <v>Act 20-21</v>
      </c>
      <c r="B26" s="133">
        <v>61.83</v>
      </c>
      <c r="C26" s="133">
        <v>4.18</v>
      </c>
      <c r="D26" s="133">
        <v>2.61</v>
      </c>
      <c r="E26" s="133">
        <v>14.22</v>
      </c>
      <c r="F26" s="133">
        <v>21.16</v>
      </c>
      <c r="G26" s="134">
        <f t="shared" ref="G26:G40" si="17">IF(C26&gt;0,+D26+C26,"")</f>
        <v>6.7899999999999991</v>
      </c>
      <c r="H26" s="134">
        <f t="shared" ref="H26:H40" si="18">IF(C26&gt;0,+D26/C26,"")</f>
        <v>0.62440191387559807</v>
      </c>
      <c r="I26" s="135"/>
      <c r="J26" s="212"/>
      <c r="K26" s="132" t="str">
        <f>K5</f>
        <v>Act 20-21</v>
      </c>
      <c r="L26" s="133">
        <v>60.66</v>
      </c>
      <c r="M26" s="133">
        <v>4.99</v>
      </c>
      <c r="N26" s="133">
        <v>3.48</v>
      </c>
      <c r="O26" s="133">
        <v>3.15</v>
      </c>
      <c r="P26" s="133">
        <v>44.07</v>
      </c>
      <c r="Q26" s="134">
        <f t="shared" ref="Q26:Q40" si="19">IF(M26&gt;0,+N26+M26,"")</f>
        <v>8.4700000000000006</v>
      </c>
      <c r="R26" s="134">
        <f t="shared" ref="R26:R40" si="20">IF(M26&gt;0,+N26/M26,"")</f>
        <v>0.69739478957915824</v>
      </c>
      <c r="S26" s="135"/>
      <c r="T26" s="138"/>
      <c r="U26" s="136" t="str">
        <f t="shared" ref="U26:U40" si="21">K26</f>
        <v>Act 20-21</v>
      </c>
      <c r="V26" s="133">
        <v>62.38</v>
      </c>
      <c r="W26" s="133">
        <v>3.14</v>
      </c>
      <c r="X26" s="133">
        <v>2.8</v>
      </c>
      <c r="Y26" s="133">
        <v>17.97</v>
      </c>
      <c r="Z26" s="133">
        <v>23.6</v>
      </c>
      <c r="AA26" s="134">
        <f t="shared" ref="AA26:AA40" si="22">IF(W26&gt;0,+X26+W26,"")</f>
        <v>5.9399999999999995</v>
      </c>
      <c r="AB26" s="134">
        <f t="shared" ref="AB26:AB40" si="23">IF(W26&gt;0,+X26/W26,"")</f>
        <v>0.89171974522292985</v>
      </c>
      <c r="AC26" s="135"/>
      <c r="AD26" s="104"/>
      <c r="AE26" s="136" t="str">
        <f t="shared" ref="AE26:AE40" si="24">K26</f>
        <v>Act 20-21</v>
      </c>
      <c r="AF26" s="139">
        <v>61.35</v>
      </c>
      <c r="AG26" s="134">
        <v>4.82</v>
      </c>
      <c r="AH26" s="134">
        <v>2.83</v>
      </c>
      <c r="AI26" s="134">
        <v>6.05</v>
      </c>
      <c r="AJ26" s="134">
        <v>41.05</v>
      </c>
      <c r="AK26" s="134">
        <f t="shared" ref="AK26:AK40" si="25">IF(AG26&gt;0,+AH26+AG26,"")</f>
        <v>7.65</v>
      </c>
      <c r="AL26" s="134">
        <f t="shared" ref="AL26:AL40" si="26">IF(AG26&gt;0,+AH26/AG26,"")</f>
        <v>0.58713692946058094</v>
      </c>
      <c r="AM26" s="140"/>
      <c r="AN26" s="104"/>
      <c r="AO26" s="136" t="str">
        <f t="shared" ref="AO26:AO40" si="27">K26</f>
        <v>Act 20-21</v>
      </c>
      <c r="AP26" s="133"/>
      <c r="AQ26" s="133"/>
      <c r="AR26" s="133"/>
      <c r="AS26" s="133"/>
      <c r="AT26" s="133"/>
      <c r="AU26" s="134" t="str">
        <f t="shared" ref="AU26:AU40" si="28">IF(AQ26&gt;0,+AR26+AQ26,"")</f>
        <v/>
      </c>
      <c r="AV26" s="134" t="str">
        <f t="shared" ref="AV26:AV40" si="29">IF(AQ26&gt;0,+AR26/AQ26,"")</f>
        <v/>
      </c>
      <c r="AW26" s="140"/>
      <c r="AX26" s="104"/>
      <c r="AY26" s="136" t="str">
        <f>$AO$26</f>
        <v>Act 20-21</v>
      </c>
      <c r="AZ26" s="133">
        <v>62.86</v>
      </c>
      <c r="BA26" s="133">
        <v>3.32</v>
      </c>
      <c r="BB26" s="133">
        <v>2.25</v>
      </c>
      <c r="BC26" s="133">
        <v>3.49</v>
      </c>
      <c r="BD26" s="133">
        <v>33.19</v>
      </c>
      <c r="BE26" s="134">
        <f t="shared" ref="BE26:BE40" si="30">IF(BA26&gt;0,+BB26+BA26,"")</f>
        <v>5.57</v>
      </c>
      <c r="BF26" s="134">
        <f t="shared" ref="BF26:BF40" si="31">IF(BA26&gt;0,+BB26/BA26,"")</f>
        <v>0.67771084337349397</v>
      </c>
      <c r="BG26" s="140"/>
    </row>
    <row r="27" spans="1:59" s="7" customFormat="1" ht="21" x14ac:dyDescent="0.25">
      <c r="A27" s="145" t="str">
        <f>A6</f>
        <v>APP 21-22</v>
      </c>
      <c r="B27" s="146">
        <f t="array" ref="B27:F27">BSP!B27:F27</f>
        <v>62.5</v>
      </c>
      <c r="C27" s="147">
        <v>3.6</v>
      </c>
      <c r="D27" s="147">
        <v>2.2000000000000002</v>
      </c>
      <c r="E27" s="147">
        <v>10</v>
      </c>
      <c r="F27" s="147">
        <v>10</v>
      </c>
      <c r="G27" s="147">
        <f t="shared" si="17"/>
        <v>5.8000000000000007</v>
      </c>
      <c r="H27" s="148">
        <f t="shared" si="18"/>
        <v>0.61111111111111116</v>
      </c>
      <c r="I27" s="149"/>
      <c r="J27" s="150"/>
      <c r="K27" s="145" t="str">
        <f>A6</f>
        <v>APP 21-22</v>
      </c>
      <c r="L27" s="146">
        <f t="array" ref="L27:P27">BSP!L27:P27</f>
        <v>62</v>
      </c>
      <c r="M27" s="147">
        <v>3.8</v>
      </c>
      <c r="N27" s="147">
        <v>2.7</v>
      </c>
      <c r="O27" s="147">
        <v>7</v>
      </c>
      <c r="P27" s="147">
        <v>40</v>
      </c>
      <c r="Q27" s="147">
        <f t="shared" si="19"/>
        <v>6.5</v>
      </c>
      <c r="R27" s="148">
        <f t="shared" si="20"/>
        <v>0.71052631578947378</v>
      </c>
      <c r="S27" s="149"/>
      <c r="T27" s="152"/>
      <c r="U27" s="151" t="str">
        <f t="shared" si="21"/>
        <v>APP 21-22</v>
      </c>
      <c r="V27" s="146">
        <f t="array" ref="V27:Z27">BSP!V27:Z27</f>
        <v>62.3</v>
      </c>
      <c r="W27" s="147">
        <v>3</v>
      </c>
      <c r="X27" s="147">
        <v>2.95</v>
      </c>
      <c r="Y27" s="147">
        <v>10</v>
      </c>
      <c r="Z27" s="147">
        <v>10</v>
      </c>
      <c r="AA27" s="147">
        <f t="shared" si="22"/>
        <v>5.95</v>
      </c>
      <c r="AB27" s="148">
        <f t="shared" si="23"/>
        <v>0.98333333333333339</v>
      </c>
      <c r="AC27" s="149"/>
      <c r="AD27" s="104"/>
      <c r="AE27" s="151" t="str">
        <f t="shared" si="24"/>
        <v>APP 21-22</v>
      </c>
      <c r="AF27" s="147">
        <f t="array" ref="AF27:AJ27">BSP!AF27:AJ27</f>
        <v>61.3</v>
      </c>
      <c r="AG27" s="147">
        <v>3.6</v>
      </c>
      <c r="AH27" s="147">
        <v>3.6</v>
      </c>
      <c r="AI27" s="147">
        <v>7</v>
      </c>
      <c r="AJ27" s="147">
        <v>40</v>
      </c>
      <c r="AK27" s="147">
        <f t="shared" si="25"/>
        <v>7.2</v>
      </c>
      <c r="AL27" s="154">
        <f t="shared" si="26"/>
        <v>1</v>
      </c>
      <c r="AM27" s="155"/>
      <c r="AN27" s="152"/>
      <c r="AO27" s="151" t="str">
        <f t="shared" si="27"/>
        <v>APP 21-22</v>
      </c>
      <c r="AP27" s="146">
        <f t="array" ref="AP27:AT27">BSP!AP27:AT27</f>
        <v>63</v>
      </c>
      <c r="AQ27" s="147">
        <v>2.6</v>
      </c>
      <c r="AR27" s="147">
        <v>2.2000000000000002</v>
      </c>
      <c r="AS27" s="147">
        <v>5</v>
      </c>
      <c r="AT27" s="147">
        <v>5</v>
      </c>
      <c r="AU27" s="147">
        <f t="shared" si="28"/>
        <v>4.8000000000000007</v>
      </c>
      <c r="AV27" s="148">
        <f t="shared" si="29"/>
        <v>0.84615384615384615</v>
      </c>
      <c r="AW27" s="155"/>
      <c r="AX27" s="152"/>
      <c r="AY27" s="151" t="str">
        <f>AO27</f>
        <v>APP 21-22</v>
      </c>
      <c r="AZ27" s="146">
        <f t="array" ref="AZ27:BD27">BSP!AZ27:BD27</f>
        <v>63</v>
      </c>
      <c r="BA27" s="147">
        <v>2.9</v>
      </c>
      <c r="BB27" s="147">
        <v>2.5</v>
      </c>
      <c r="BC27" s="147">
        <v>5</v>
      </c>
      <c r="BD27" s="147">
        <v>40</v>
      </c>
      <c r="BE27" s="147">
        <f t="shared" si="30"/>
        <v>5.4</v>
      </c>
      <c r="BF27" s="148">
        <f t="shared" si="31"/>
        <v>0.86206896551724144</v>
      </c>
      <c r="BG27" s="155"/>
    </row>
    <row r="28" spans="1:59" ht="21" x14ac:dyDescent="0.25">
      <c r="A28" s="166">
        <f>A7</f>
        <v>44287</v>
      </c>
      <c r="B28" s="167"/>
      <c r="C28" s="168"/>
      <c r="D28" s="168"/>
      <c r="E28" s="168"/>
      <c r="F28" s="168"/>
      <c r="G28" s="168" t="str">
        <f t="shared" si="17"/>
        <v/>
      </c>
      <c r="H28" s="169" t="str">
        <f t="shared" si="18"/>
        <v/>
      </c>
      <c r="I28" s="170">
        <f>IF(D28&gt;0,IFERROR(GETPIVOTDATA("act_qty",RECPT!$A$3,"yymm","202104","unit","GUA","comm","L"),0),)</f>
        <v>0</v>
      </c>
      <c r="J28" s="119"/>
      <c r="K28" s="166">
        <f>A7</f>
        <v>44287</v>
      </c>
      <c r="L28" s="167"/>
      <c r="M28" s="168"/>
      <c r="N28" s="168"/>
      <c r="O28" s="168"/>
      <c r="P28" s="168"/>
      <c r="Q28" s="168" t="str">
        <f t="shared" si="19"/>
        <v/>
      </c>
      <c r="R28" s="169" t="str">
        <f t="shared" si="20"/>
        <v/>
      </c>
      <c r="S28" s="170">
        <f>IF(N28&gt;0,IFERROR(GETPIVOTDATA("act_qty",RECPT!$A$3,"yymm","202104","unit","GUA","comm","F"),0),)</f>
        <v>0</v>
      </c>
      <c r="T28" s="104"/>
      <c r="U28" s="172">
        <f t="shared" si="21"/>
        <v>44287</v>
      </c>
      <c r="V28" s="167">
        <v>61.67</v>
      </c>
      <c r="W28" s="168">
        <v>3.69</v>
      </c>
      <c r="X28" s="168">
        <v>3.28</v>
      </c>
      <c r="Y28" s="168">
        <v>26.36</v>
      </c>
      <c r="Z28" s="168">
        <v>17.739999999999998</v>
      </c>
      <c r="AA28" s="168">
        <f t="shared" si="22"/>
        <v>6.97</v>
      </c>
      <c r="AB28" s="169">
        <f t="shared" si="23"/>
        <v>0.88888888888888884</v>
      </c>
      <c r="AC28" s="170">
        <f>IF(X28&gt;0,IFERROR(GETPIVOTDATA("act_qty",RECPT!$A$3,"yymm","202104","unit","BAR","comm","L"),0),)</f>
        <v>48485</v>
      </c>
      <c r="AD28" s="104"/>
      <c r="AE28" s="172">
        <f t="shared" si="24"/>
        <v>44287</v>
      </c>
      <c r="AF28" s="167"/>
      <c r="AG28" s="168"/>
      <c r="AH28" s="168"/>
      <c r="AI28" s="168"/>
      <c r="AJ28" s="168"/>
      <c r="AK28" s="168" t="str">
        <f t="shared" si="25"/>
        <v/>
      </c>
      <c r="AL28" s="169" t="str">
        <f t="shared" si="26"/>
        <v/>
      </c>
      <c r="AM28" s="170">
        <f>IF(AH28&gt;0,IFERROR(GETPIVOTDATA("act_qty",RECPT!$A$3,"yymm","202104","unit","BAR","comm","F"),0),)</f>
        <v>0</v>
      </c>
      <c r="AN28" s="104"/>
      <c r="AO28" s="172">
        <f t="shared" si="27"/>
        <v>44287</v>
      </c>
      <c r="AP28" s="167">
        <v>63.27</v>
      </c>
      <c r="AQ28" s="168">
        <v>3.25</v>
      </c>
      <c r="AR28" s="168">
        <v>2.2599999999999998</v>
      </c>
      <c r="AS28" s="168">
        <v>10.8</v>
      </c>
      <c r="AT28" s="168">
        <v>13.9</v>
      </c>
      <c r="AU28" s="168">
        <f t="shared" si="28"/>
        <v>5.51</v>
      </c>
      <c r="AV28" s="169">
        <f t="shared" si="29"/>
        <v>0.69538461538461527</v>
      </c>
      <c r="AW28" s="170">
        <f>IF(AR28&gt;0,IFERROR(GETPIVOTDATA("act_qty",RECPT!$A$3,"yymm","202104","unit","KAL","comm","L"),0),)</f>
        <v>28231</v>
      </c>
      <c r="AX28" s="104"/>
      <c r="AY28" s="172">
        <f t="shared" ref="AY28:AY40" si="32">AO28</f>
        <v>44287</v>
      </c>
      <c r="AZ28" s="167"/>
      <c r="BA28" s="168"/>
      <c r="BB28" s="168"/>
      <c r="BC28" s="168"/>
      <c r="BD28" s="168"/>
      <c r="BE28" s="168" t="str">
        <f t="shared" si="30"/>
        <v/>
      </c>
      <c r="BF28" s="169" t="str">
        <f t="shared" si="31"/>
        <v/>
      </c>
      <c r="BG28" s="170">
        <f>IF(BB28&gt;0,IFERROR(GETPIVOTDATA("act_qty",RECPT!$A$3,"yymm","202104","unit","KAL","comm","F"),0),)</f>
        <v>0</v>
      </c>
    </row>
    <row r="29" spans="1:59" ht="21" x14ac:dyDescent="0.25">
      <c r="A29" s="166">
        <f t="shared" ref="A29:A39" si="33">A8</f>
        <v>44317</v>
      </c>
      <c r="B29" s="167">
        <v>61.86</v>
      </c>
      <c r="C29" s="168">
        <v>3.86</v>
      </c>
      <c r="D29" s="168">
        <v>2.8</v>
      </c>
      <c r="E29" s="168">
        <v>12.93</v>
      </c>
      <c r="F29" s="168">
        <v>23.73</v>
      </c>
      <c r="G29" s="168">
        <f t="shared" si="17"/>
        <v>6.66</v>
      </c>
      <c r="H29" s="169">
        <f t="shared" si="18"/>
        <v>0.72538860103626945</v>
      </c>
      <c r="I29" s="170">
        <f>IF(D29&gt;0,IFERROR(GETPIVOTDATA("act_qty",RECPT!$A$3,"yymm","202105","unit","GUA","comm","L"),0),)</f>
        <v>27018</v>
      </c>
      <c r="J29" s="119"/>
      <c r="K29" s="166">
        <f t="shared" ref="K29:K39" si="34">A8</f>
        <v>44317</v>
      </c>
      <c r="L29" s="167">
        <v>60.49</v>
      </c>
      <c r="M29" s="168">
        <v>5.46</v>
      </c>
      <c r="N29" s="168">
        <v>3.33</v>
      </c>
      <c r="O29" s="168">
        <v>3.54</v>
      </c>
      <c r="P29" s="168">
        <v>44.67</v>
      </c>
      <c r="Q29" s="168">
        <f t="shared" si="19"/>
        <v>8.7899999999999991</v>
      </c>
      <c r="R29" s="169">
        <f t="shared" si="20"/>
        <v>0.60989010989010994</v>
      </c>
      <c r="S29" s="170">
        <f>IF(N29&gt;0,IFERROR(GETPIVOTDATA("act_qty",RECPT!$A$3,"yymm","202105","unit","GUA","comm","F"),0),)</f>
        <v>33928</v>
      </c>
      <c r="T29" s="104"/>
      <c r="U29" s="172">
        <f t="shared" si="21"/>
        <v>44317</v>
      </c>
      <c r="V29" s="167">
        <v>61.63</v>
      </c>
      <c r="W29" s="168">
        <v>3.41</v>
      </c>
      <c r="X29" s="168">
        <v>3.61</v>
      </c>
      <c r="Y29" s="168">
        <v>25.1</v>
      </c>
      <c r="Z29" s="168">
        <v>20.260000000000002</v>
      </c>
      <c r="AA29" s="168">
        <f t="shared" si="22"/>
        <v>7.02</v>
      </c>
      <c r="AB29" s="169">
        <f t="shared" si="23"/>
        <v>1.0586510263929618</v>
      </c>
      <c r="AC29" s="170">
        <f>IF(X29&gt;0,IFERROR(GETPIVOTDATA("act_qty",RECPT!$A$3,"yymm","202105","unit","BAR","comm","L"),0),)</f>
        <v>18706</v>
      </c>
      <c r="AD29" s="104"/>
      <c r="AE29" s="172">
        <f t="shared" si="24"/>
        <v>44317</v>
      </c>
      <c r="AF29" s="167"/>
      <c r="AG29" s="168"/>
      <c r="AH29" s="168"/>
      <c r="AI29" s="168"/>
      <c r="AJ29" s="168"/>
      <c r="AK29" s="168" t="str">
        <f t="shared" si="25"/>
        <v/>
      </c>
      <c r="AL29" s="169" t="str">
        <f t="shared" si="26"/>
        <v/>
      </c>
      <c r="AM29" s="170">
        <f>IF(AH29&gt;0,IFERROR(GETPIVOTDATA("act_qty",RECPT!$A$3,"yymm","202105","unit","BAR","comm","F"),0),)</f>
        <v>0</v>
      </c>
      <c r="AN29" s="104"/>
      <c r="AO29" s="172">
        <f t="shared" si="27"/>
        <v>44317</v>
      </c>
      <c r="AP29" s="167">
        <v>0</v>
      </c>
      <c r="AQ29" s="168">
        <v>0</v>
      </c>
      <c r="AR29" s="168">
        <v>0</v>
      </c>
      <c r="AS29" s="168">
        <v>0</v>
      </c>
      <c r="AT29" s="168">
        <v>0</v>
      </c>
      <c r="AU29" s="168" t="str">
        <f t="shared" si="28"/>
        <v/>
      </c>
      <c r="AV29" s="169" t="str">
        <f t="shared" si="29"/>
        <v/>
      </c>
      <c r="AW29" s="170">
        <f>IF(AR29&gt;0,IFERROR(GETPIVOTDATA("act_qty",RECPT!$A$3,"yymm","202105","unit","KAL","comm","L"),0),)</f>
        <v>0</v>
      </c>
      <c r="AX29" s="104"/>
      <c r="AY29" s="172">
        <f t="shared" si="32"/>
        <v>44317</v>
      </c>
      <c r="AZ29" s="167"/>
      <c r="BA29" s="168"/>
      <c r="BB29" s="168"/>
      <c r="BC29" s="168"/>
      <c r="BD29" s="168"/>
      <c r="BE29" s="168" t="str">
        <f t="shared" si="30"/>
        <v/>
      </c>
      <c r="BF29" s="169" t="str">
        <f t="shared" si="31"/>
        <v/>
      </c>
      <c r="BG29" s="170">
        <f>IF(BB29&gt;0,IFERROR(GETPIVOTDATA("act_qty",RECPT!$A$3,"yymm","202105","unit","KAL","comm","F"),0),)</f>
        <v>0</v>
      </c>
    </row>
    <row r="30" spans="1:59" ht="21" x14ac:dyDescent="0.25">
      <c r="A30" s="166">
        <f t="shared" si="33"/>
        <v>44348</v>
      </c>
      <c r="B30" s="167">
        <v>61.97</v>
      </c>
      <c r="C30" s="168">
        <v>3.95</v>
      </c>
      <c r="D30" s="168">
        <v>2.61</v>
      </c>
      <c r="E30" s="168">
        <v>10.63</v>
      </c>
      <c r="F30" s="168">
        <v>24.8</v>
      </c>
      <c r="G30" s="168">
        <f t="shared" si="17"/>
        <v>6.5600000000000005</v>
      </c>
      <c r="H30" s="169">
        <f t="shared" si="18"/>
        <v>0.66075949367088604</v>
      </c>
      <c r="I30" s="170">
        <f>IF(D30&gt;0,IFERROR(GETPIVOTDATA("act_qty",RECPT!$A$3,"yymm","202106","unit","GUA","comm","L"),0),)</f>
        <v>6135</v>
      </c>
      <c r="J30" s="119"/>
      <c r="K30" s="166">
        <f t="shared" si="34"/>
        <v>44348</v>
      </c>
      <c r="L30" s="167">
        <v>60.93</v>
      </c>
      <c r="M30" s="168">
        <v>5.46</v>
      </c>
      <c r="N30" s="168">
        <v>2.77</v>
      </c>
      <c r="O30" s="168">
        <v>2.48</v>
      </c>
      <c r="P30" s="168">
        <v>47.05</v>
      </c>
      <c r="Q30" s="168">
        <f t="shared" si="19"/>
        <v>8.23</v>
      </c>
      <c r="R30" s="169">
        <f t="shared" si="20"/>
        <v>0.5073260073260073</v>
      </c>
      <c r="S30" s="170">
        <f>IF(N30&gt;0,IFERROR(GETPIVOTDATA("act_qty",RECPT!$A$3,"yymm","202106","unit","GUA","comm","F"),0),)</f>
        <v>7931</v>
      </c>
      <c r="T30" s="104"/>
      <c r="U30" s="172">
        <f t="shared" si="21"/>
        <v>44348</v>
      </c>
      <c r="V30" s="167">
        <v>61.17</v>
      </c>
      <c r="W30" s="168">
        <v>3.85</v>
      </c>
      <c r="X30" s="168">
        <v>3.82</v>
      </c>
      <c r="Y30" s="168">
        <v>20.96</v>
      </c>
      <c r="Z30" s="168">
        <v>28.04</v>
      </c>
      <c r="AA30" s="168">
        <f t="shared" si="22"/>
        <v>7.67</v>
      </c>
      <c r="AB30" s="169">
        <f t="shared" si="23"/>
        <v>0.99220779220779209</v>
      </c>
      <c r="AC30" s="170">
        <f>IF(X30&gt;0,IFERROR(GETPIVOTDATA("act_qty",RECPT!$A$3,"yymm","202106","unit","BAR","comm","L"),0),)</f>
        <v>22903</v>
      </c>
      <c r="AD30" s="171"/>
      <c r="AE30" s="172">
        <f t="shared" si="24"/>
        <v>44348</v>
      </c>
      <c r="AF30" s="167"/>
      <c r="AG30" s="168"/>
      <c r="AH30" s="168"/>
      <c r="AI30" s="168"/>
      <c r="AJ30" s="168"/>
      <c r="AK30" s="168" t="str">
        <f t="shared" si="25"/>
        <v/>
      </c>
      <c r="AL30" s="169" t="str">
        <f t="shared" si="26"/>
        <v/>
      </c>
      <c r="AM30" s="170">
        <f>IF(AH30&gt;0,IFERROR(GETPIVOTDATA("act_qty",RECPT!$A$3,"yymm","202106","unit","BAR","comm","F"),0),)</f>
        <v>0</v>
      </c>
      <c r="AN30" s="104"/>
      <c r="AO30" s="172">
        <f t="shared" si="27"/>
        <v>44348</v>
      </c>
      <c r="AP30" s="167">
        <v>0</v>
      </c>
      <c r="AQ30" s="168">
        <v>0</v>
      </c>
      <c r="AR30" s="168">
        <v>0</v>
      </c>
      <c r="AS30" s="168">
        <v>0</v>
      </c>
      <c r="AT30" s="168">
        <v>0</v>
      </c>
      <c r="AU30" s="168" t="str">
        <f t="shared" si="28"/>
        <v/>
      </c>
      <c r="AV30" s="169" t="str">
        <f t="shared" si="29"/>
        <v/>
      </c>
      <c r="AW30" s="170">
        <f>IF(AR30&gt;0,IFERROR(GETPIVOTDATA("act_qty",RECPT!$A$3,"yymm","202106","unit","KAL","comm","L"),0),)</f>
        <v>0</v>
      </c>
      <c r="AX30" s="104"/>
      <c r="AY30" s="172">
        <f t="shared" si="32"/>
        <v>44348</v>
      </c>
      <c r="AZ30" s="167"/>
      <c r="BA30" s="168"/>
      <c r="BB30" s="168"/>
      <c r="BC30" s="168"/>
      <c r="BD30" s="168"/>
      <c r="BE30" s="168" t="str">
        <f t="shared" si="30"/>
        <v/>
      </c>
      <c r="BF30" s="169" t="str">
        <f t="shared" si="31"/>
        <v/>
      </c>
      <c r="BG30" s="170">
        <f>IF(BB30&gt;0,IFERROR(GETPIVOTDATA("act_qty",RECPT!$A$3,"yymm","202106","unit","KAL","comm","F"),0),)</f>
        <v>0</v>
      </c>
    </row>
    <row r="31" spans="1:59" ht="21" x14ac:dyDescent="0.25">
      <c r="A31" s="166">
        <f t="shared" si="33"/>
        <v>44378</v>
      </c>
      <c r="B31" s="167">
        <v>61.38</v>
      </c>
      <c r="C31" s="168">
        <v>4.17</v>
      </c>
      <c r="D31" s="168">
        <v>3.22</v>
      </c>
      <c r="E31" s="168">
        <v>13</v>
      </c>
      <c r="F31" s="168">
        <v>25.4</v>
      </c>
      <c r="G31" s="168">
        <f t="shared" si="17"/>
        <v>7.3900000000000006</v>
      </c>
      <c r="H31" s="169">
        <f t="shared" si="18"/>
        <v>0.77218225419664277</v>
      </c>
      <c r="I31" s="170">
        <f>IF(D31&gt;0,IFERROR(GETPIVOTDATA("act_qty",RECPT!$A$3,"yymm","202107","unit","GUA","comm","L"),0),)</f>
        <v>4523</v>
      </c>
      <c r="J31" s="119"/>
      <c r="K31" s="166">
        <f t="shared" si="34"/>
        <v>44378</v>
      </c>
      <c r="L31" s="167">
        <v>60.87</v>
      </c>
      <c r="M31" s="168">
        <v>5.2</v>
      </c>
      <c r="N31" s="168">
        <v>3.07</v>
      </c>
      <c r="O31" s="168">
        <v>7.3</v>
      </c>
      <c r="P31" s="168">
        <v>49.2</v>
      </c>
      <c r="Q31" s="168">
        <f t="shared" si="19"/>
        <v>8.27</v>
      </c>
      <c r="R31" s="169">
        <f t="shared" si="20"/>
        <v>0.59038461538461529</v>
      </c>
      <c r="S31" s="170">
        <f>IF(N31&gt;0,IFERROR(GETPIVOTDATA("act_qty",RECPT!$A$3,"yymm","202107","unit","GUA","comm","F"),0),)</f>
        <v>6500</v>
      </c>
      <c r="T31" s="104"/>
      <c r="U31" s="172">
        <f t="shared" si="21"/>
        <v>44378</v>
      </c>
      <c r="V31" s="167">
        <v>60.92</v>
      </c>
      <c r="W31" s="168">
        <v>4.16</v>
      </c>
      <c r="X31" s="168">
        <v>3.87</v>
      </c>
      <c r="Y31" s="168">
        <v>18.350000000000001</v>
      </c>
      <c r="Z31" s="168">
        <v>27.4</v>
      </c>
      <c r="AA31" s="168">
        <f t="shared" si="22"/>
        <v>8.0300000000000011</v>
      </c>
      <c r="AB31" s="169">
        <f t="shared" si="23"/>
        <v>0.93028846153846156</v>
      </c>
      <c r="AC31" s="170">
        <f>IF(X31&gt;0,IFERROR(GETPIVOTDATA("act_qty",RECPT!$A$3,"yymm","202107","unit","BAR","comm","L"),0),)</f>
        <v>3785</v>
      </c>
      <c r="AD31" s="171"/>
      <c r="AE31" s="172">
        <f t="shared" si="24"/>
        <v>44378</v>
      </c>
      <c r="AF31" s="167"/>
      <c r="AG31" s="168"/>
      <c r="AH31" s="168"/>
      <c r="AI31" s="168"/>
      <c r="AJ31" s="168"/>
      <c r="AK31" s="168" t="str">
        <f t="shared" si="25"/>
        <v/>
      </c>
      <c r="AL31" s="169" t="str">
        <f t="shared" si="26"/>
        <v/>
      </c>
      <c r="AM31" s="170">
        <f>IF(AH31&gt;0,IFERROR(GETPIVOTDATA("act_qty",RECPT!$A$3,"yymm","202107","unit","BAR","comm","F"),0),)</f>
        <v>0</v>
      </c>
      <c r="AN31" s="104"/>
      <c r="AO31" s="172">
        <f t="shared" si="27"/>
        <v>44378</v>
      </c>
      <c r="AP31" s="167">
        <v>0</v>
      </c>
      <c r="AQ31" s="168">
        <v>0</v>
      </c>
      <c r="AR31" s="168">
        <v>0</v>
      </c>
      <c r="AS31" s="168">
        <v>0</v>
      </c>
      <c r="AT31" s="168">
        <v>0</v>
      </c>
      <c r="AU31" s="168" t="str">
        <f t="shared" si="28"/>
        <v/>
      </c>
      <c r="AV31" s="169" t="str">
        <f t="shared" si="29"/>
        <v/>
      </c>
      <c r="AW31" s="170">
        <f>IF(AR31&gt;0,IFERROR(GETPIVOTDATA("act_qty",RECPT!$A$3,"yymm","202107","unit","KAL","comm","L"),0),)</f>
        <v>0</v>
      </c>
      <c r="AX31" s="104"/>
      <c r="AY31" s="172">
        <f t="shared" si="32"/>
        <v>44378</v>
      </c>
      <c r="AZ31" s="167"/>
      <c r="BA31" s="168"/>
      <c r="BB31" s="168"/>
      <c r="BC31" s="168"/>
      <c r="BD31" s="168"/>
      <c r="BE31" s="168" t="str">
        <f t="shared" si="30"/>
        <v/>
      </c>
      <c r="BF31" s="169" t="str">
        <f t="shared" si="31"/>
        <v/>
      </c>
      <c r="BG31" s="170">
        <f>IF(BB31&gt;0,IFERROR(GETPIVOTDATA("act_qty",RECPT!$A$3,"yymm","202107","unit","KAL","comm","F"),0),)</f>
        <v>0</v>
      </c>
    </row>
    <row r="32" spans="1:59" ht="21" x14ac:dyDescent="0.25">
      <c r="A32" s="166">
        <f t="shared" si="33"/>
        <v>44409</v>
      </c>
      <c r="B32" s="167">
        <v>61.79</v>
      </c>
      <c r="C32" s="168">
        <v>4.1100000000000003</v>
      </c>
      <c r="D32" s="168">
        <v>2.5099999999999998</v>
      </c>
      <c r="E32" s="168">
        <v>9.1</v>
      </c>
      <c r="F32" s="168">
        <v>33.79</v>
      </c>
      <c r="G32" s="168">
        <f t="shared" si="17"/>
        <v>6.62</v>
      </c>
      <c r="H32" s="169">
        <f t="shared" si="18"/>
        <v>0.61070559610705588</v>
      </c>
      <c r="I32" s="170">
        <f>IF(D32&gt;0,IFERROR(GETPIVOTDATA("act_qty",RECPT!$A$3,"yymm","202108","unit","GUA","comm","L"),0),)</f>
        <v>19207</v>
      </c>
      <c r="J32" s="119"/>
      <c r="K32" s="166">
        <f t="shared" si="34"/>
        <v>44409</v>
      </c>
      <c r="L32" s="167">
        <v>61.02</v>
      </c>
      <c r="M32" s="168">
        <v>5.26</v>
      </c>
      <c r="N32" s="168">
        <v>2.69</v>
      </c>
      <c r="O32" s="168">
        <v>1.67</v>
      </c>
      <c r="P32" s="168">
        <v>47.2</v>
      </c>
      <c r="Q32" s="168">
        <f t="shared" si="19"/>
        <v>7.9499999999999993</v>
      </c>
      <c r="R32" s="169">
        <f t="shared" si="20"/>
        <v>0.51140684410646386</v>
      </c>
      <c r="S32" s="170">
        <f>IF(N32&gt;0,IFERROR(GETPIVOTDATA("act_qty",RECPT!$A$3,"yymm","202108","unit","GUA","comm","F"),0),)</f>
        <v>16766</v>
      </c>
      <c r="T32" s="104"/>
      <c r="U32" s="172">
        <f t="shared" si="21"/>
        <v>44409</v>
      </c>
      <c r="V32" s="167">
        <v>60.34</v>
      </c>
      <c r="W32" s="168">
        <v>4.3600000000000003</v>
      </c>
      <c r="X32" s="168">
        <v>4.59</v>
      </c>
      <c r="Y32" s="168">
        <v>8.6999999999999993</v>
      </c>
      <c r="Z32" s="168">
        <v>41.9</v>
      </c>
      <c r="AA32" s="168">
        <f t="shared" si="22"/>
        <v>8.9499999999999993</v>
      </c>
      <c r="AB32" s="169">
        <f t="shared" si="23"/>
        <v>1.0527522935779816</v>
      </c>
      <c r="AC32" s="170">
        <f>IF(X32&gt;0,IFERROR(GETPIVOTDATA("act_qty",RECPT!$A$3,"yymm","202108","unit","BAR","comm","L"),0),)</f>
        <v>3493</v>
      </c>
      <c r="AD32" s="171"/>
      <c r="AE32" s="172">
        <f t="shared" si="24"/>
        <v>44409</v>
      </c>
      <c r="AF32" s="167">
        <v>59.73</v>
      </c>
      <c r="AG32" s="168">
        <v>6.41</v>
      </c>
      <c r="AH32" s="168">
        <v>3.44</v>
      </c>
      <c r="AI32" s="168">
        <v>5.45</v>
      </c>
      <c r="AJ32" s="168">
        <v>44.35</v>
      </c>
      <c r="AK32" s="168">
        <f t="shared" si="25"/>
        <v>9.85</v>
      </c>
      <c r="AL32" s="169">
        <f t="shared" si="26"/>
        <v>0.53666146645865831</v>
      </c>
      <c r="AM32" s="170">
        <f>IF(AH32&gt;0,IFERROR(GETPIVOTDATA("act_qty",RECPT!$A$3,"yymm","202108","unit","BAR","comm","F"),0),)</f>
        <v>15909</v>
      </c>
      <c r="AN32" s="104"/>
      <c r="AO32" s="172">
        <f t="shared" si="27"/>
        <v>44409</v>
      </c>
      <c r="AP32" s="167">
        <v>0</v>
      </c>
      <c r="AQ32" s="168">
        <v>0</v>
      </c>
      <c r="AR32" s="168">
        <v>0</v>
      </c>
      <c r="AS32" s="168">
        <v>0</v>
      </c>
      <c r="AT32" s="168">
        <v>0</v>
      </c>
      <c r="AU32" s="168" t="str">
        <f t="shared" si="28"/>
        <v/>
      </c>
      <c r="AV32" s="169" t="str">
        <f t="shared" si="29"/>
        <v/>
      </c>
      <c r="AW32" s="170">
        <f>IF(AR32&gt;0,IFERROR(GETPIVOTDATA("act_qty",RECPT!$A$3,"yymm","202108","unit","KAL","comm","L"),0),)</f>
        <v>0</v>
      </c>
      <c r="AX32" s="104"/>
      <c r="AY32" s="172">
        <f t="shared" si="32"/>
        <v>44409</v>
      </c>
      <c r="AZ32" s="167"/>
      <c r="BA32" s="168"/>
      <c r="BB32" s="168"/>
      <c r="BC32" s="168"/>
      <c r="BD32" s="168"/>
      <c r="BE32" s="168" t="str">
        <f t="shared" si="30"/>
        <v/>
      </c>
      <c r="BF32" s="169" t="str">
        <f t="shared" si="31"/>
        <v/>
      </c>
      <c r="BG32" s="170">
        <f>IF(BB32&gt;0,IFERROR(GETPIVOTDATA("act_qty",RECPT!$A$3,"yymm","202108","unit","KAL","comm","F"),0),)</f>
        <v>0</v>
      </c>
    </row>
    <row r="33" spans="1:60" ht="21" x14ac:dyDescent="0.25">
      <c r="A33" s="166">
        <f t="shared" si="33"/>
        <v>44440</v>
      </c>
      <c r="B33" s="167">
        <v>0</v>
      </c>
      <c r="C33" s="168">
        <v>0</v>
      </c>
      <c r="D33" s="168">
        <v>0</v>
      </c>
      <c r="E33" s="168">
        <v>0</v>
      </c>
      <c r="F33" s="168">
        <v>0</v>
      </c>
      <c r="G33" s="168" t="str">
        <f t="shared" si="17"/>
        <v/>
      </c>
      <c r="H33" s="169" t="str">
        <f t="shared" si="18"/>
        <v/>
      </c>
      <c r="I33" s="170">
        <f>IF(D33&gt;0,IFERROR(GETPIVOTDATA("act_qty",RECPT!$A$3,"yymm","202109","unit","GUA","comm","L"),0),)</f>
        <v>0</v>
      </c>
      <c r="J33" s="119"/>
      <c r="K33" s="166">
        <f t="shared" si="34"/>
        <v>44440</v>
      </c>
      <c r="L33" s="167">
        <v>0</v>
      </c>
      <c r="M33" s="168">
        <v>0</v>
      </c>
      <c r="N33" s="168">
        <v>0</v>
      </c>
      <c r="O33" s="168">
        <v>0</v>
      </c>
      <c r="P33" s="168">
        <v>0</v>
      </c>
      <c r="Q33" s="168" t="str">
        <f t="shared" si="19"/>
        <v/>
      </c>
      <c r="R33" s="169" t="str">
        <f t="shared" si="20"/>
        <v/>
      </c>
      <c r="S33" s="170">
        <f>IF(N33&gt;0,IFERROR(GETPIVOTDATA("act_qty",RECPT!$A$3,"yymm","202109","unit","GUA","comm","F"),0),)</f>
        <v>0</v>
      </c>
      <c r="T33" s="104"/>
      <c r="U33" s="172">
        <f t="shared" si="21"/>
        <v>44440</v>
      </c>
      <c r="V33" s="167">
        <v>0</v>
      </c>
      <c r="W33" s="168">
        <v>0</v>
      </c>
      <c r="X33" s="168">
        <v>0</v>
      </c>
      <c r="Y33" s="168">
        <v>0</v>
      </c>
      <c r="Z33" s="168">
        <v>0</v>
      </c>
      <c r="AA33" s="168" t="str">
        <f t="shared" si="22"/>
        <v/>
      </c>
      <c r="AB33" s="169" t="str">
        <f t="shared" si="23"/>
        <v/>
      </c>
      <c r="AC33" s="170">
        <f>IF(X33&gt;0,IFERROR(GETPIVOTDATA("act_qty",RECPT!$A$3,"yymm","202109","unit","BAR","comm","L"),0),)</f>
        <v>0</v>
      </c>
      <c r="AD33" s="171"/>
      <c r="AE33" s="172">
        <f t="shared" si="24"/>
        <v>44440</v>
      </c>
      <c r="AF33" s="167">
        <v>59.77</v>
      </c>
      <c r="AG33" s="168">
        <v>4.9400000000000004</v>
      </c>
      <c r="AH33" s="168">
        <v>4.83</v>
      </c>
      <c r="AI33" s="168">
        <v>5.48</v>
      </c>
      <c r="AJ33" s="168">
        <v>44.19</v>
      </c>
      <c r="AK33" s="168">
        <f t="shared" si="25"/>
        <v>9.77</v>
      </c>
      <c r="AL33" s="169">
        <f t="shared" si="26"/>
        <v>0.97773279352226716</v>
      </c>
      <c r="AM33" s="170">
        <f>IF(AH33&gt;0,IFERROR(GETPIVOTDATA("act_qty",RECPT!$A$3,"yymm","202109","unit","BAR","comm","F"),0),)</f>
        <v>34624</v>
      </c>
      <c r="AN33" s="104"/>
      <c r="AO33" s="172">
        <f t="shared" si="27"/>
        <v>44440</v>
      </c>
      <c r="AP33" s="167">
        <v>0</v>
      </c>
      <c r="AQ33" s="168">
        <v>0</v>
      </c>
      <c r="AR33" s="168">
        <v>0</v>
      </c>
      <c r="AS33" s="168">
        <v>0</v>
      </c>
      <c r="AT33" s="168">
        <v>0</v>
      </c>
      <c r="AU33" s="168" t="str">
        <f t="shared" si="28"/>
        <v/>
      </c>
      <c r="AV33" s="169" t="str">
        <f t="shared" si="29"/>
        <v/>
      </c>
      <c r="AW33" s="170">
        <f>IF(AR33&gt;0,IFERROR(GETPIVOTDATA("act_qty",RECPT!$A$3,"yymm","202109","unit","KAL","comm","L"),0),)</f>
        <v>0</v>
      </c>
      <c r="AX33" s="104"/>
      <c r="AY33" s="172">
        <f t="shared" si="32"/>
        <v>44440</v>
      </c>
      <c r="AZ33" s="167"/>
      <c r="BA33" s="168"/>
      <c r="BB33" s="168"/>
      <c r="BC33" s="168"/>
      <c r="BD33" s="168"/>
      <c r="BE33" s="168" t="str">
        <f t="shared" si="30"/>
        <v/>
      </c>
      <c r="BF33" s="169" t="str">
        <f t="shared" si="31"/>
        <v/>
      </c>
      <c r="BG33" s="170">
        <f>IF(BB33&gt;0,IFERROR(GETPIVOTDATA("act_qty",RECPT!$A$3,"yymm","202109","unit","KAL","comm","F"),0),)</f>
        <v>0</v>
      </c>
    </row>
    <row r="34" spans="1:60" ht="21" x14ac:dyDescent="0.25">
      <c r="A34" s="166">
        <f t="shared" si="33"/>
        <v>44470</v>
      </c>
      <c r="B34" s="167">
        <v>61.26</v>
      </c>
      <c r="C34" s="168">
        <v>4.53</v>
      </c>
      <c r="D34" s="168">
        <v>2.74</v>
      </c>
      <c r="E34" s="168">
        <v>9.9499999999999993</v>
      </c>
      <c r="F34" s="168">
        <v>28.93</v>
      </c>
      <c r="G34" s="168">
        <f t="shared" si="17"/>
        <v>7.2700000000000005</v>
      </c>
      <c r="H34" s="169">
        <f t="shared" si="18"/>
        <v>0.60485651214128033</v>
      </c>
      <c r="I34" s="170">
        <f>IF(D34&gt;0,IFERROR(GETPIVOTDATA("act_qty",RECPT!$A$3,"yymm","202110","unit","GUA","comm","L"),0),)</f>
        <v>11069.8</v>
      </c>
      <c r="J34" s="119"/>
      <c r="K34" s="166">
        <f t="shared" si="34"/>
        <v>44470</v>
      </c>
      <c r="L34" s="167">
        <v>60.52</v>
      </c>
      <c r="M34" s="168">
        <v>5.36</v>
      </c>
      <c r="N34" s="168">
        <v>3.08</v>
      </c>
      <c r="O34" s="168">
        <v>3.38</v>
      </c>
      <c r="P34" s="168">
        <v>45.6</v>
      </c>
      <c r="Q34" s="168">
        <f t="shared" si="19"/>
        <v>8.4400000000000013</v>
      </c>
      <c r="R34" s="169">
        <f t="shared" si="20"/>
        <v>0.57462686567164178</v>
      </c>
      <c r="S34" s="170">
        <f>IF(N34&gt;0,IFERROR(GETPIVOTDATA("act_qty",RECPT!$A$3,"yymm","202110","unit","GUA","comm","F"),0),)</f>
        <v>14685.8</v>
      </c>
      <c r="T34" s="104"/>
      <c r="U34" s="172">
        <f t="shared" si="21"/>
        <v>44470</v>
      </c>
      <c r="V34" s="167">
        <v>0</v>
      </c>
      <c r="W34" s="168">
        <v>0</v>
      </c>
      <c r="X34" s="168">
        <v>0</v>
      </c>
      <c r="Y34" s="168">
        <v>0</v>
      </c>
      <c r="Z34" s="168">
        <v>0</v>
      </c>
      <c r="AA34" s="168" t="str">
        <f t="shared" si="22"/>
        <v/>
      </c>
      <c r="AB34" s="169" t="str">
        <f t="shared" si="23"/>
        <v/>
      </c>
      <c r="AC34" s="170">
        <f>IF(X34&gt;0,IFERROR(GETPIVOTDATA("act_qty",RECPT!$A$3,"yymm","202110","unit","BAR","comm","L"),0),)</f>
        <v>0</v>
      </c>
      <c r="AD34" s="171"/>
      <c r="AE34" s="172">
        <f t="shared" si="24"/>
        <v>44470</v>
      </c>
      <c r="AF34" s="167">
        <v>59.8</v>
      </c>
      <c r="AG34" s="168">
        <v>5.24</v>
      </c>
      <c r="AH34" s="168">
        <v>4.29</v>
      </c>
      <c r="AI34" s="168">
        <v>4.5999999999999996</v>
      </c>
      <c r="AJ34" s="168">
        <v>43.93</v>
      </c>
      <c r="AK34" s="168">
        <f t="shared" si="25"/>
        <v>9.5300000000000011</v>
      </c>
      <c r="AL34" s="169">
        <f t="shared" si="26"/>
        <v>0.81870229007633588</v>
      </c>
      <c r="AM34" s="170">
        <f>IF(AH34&gt;0,IFERROR(GETPIVOTDATA("act_qty",RECPT!$A$3,"yymm","202110","unit","BAR","comm","F"),0),)</f>
        <v>27269.38</v>
      </c>
      <c r="AN34" s="104"/>
      <c r="AO34" s="172">
        <f t="shared" si="27"/>
        <v>44470</v>
      </c>
      <c r="AP34" s="167">
        <v>0</v>
      </c>
      <c r="AQ34" s="168">
        <v>0</v>
      </c>
      <c r="AR34" s="168">
        <v>0</v>
      </c>
      <c r="AS34" s="168">
        <v>0</v>
      </c>
      <c r="AT34" s="168">
        <v>0</v>
      </c>
      <c r="AU34" s="168" t="str">
        <f t="shared" si="28"/>
        <v/>
      </c>
      <c r="AV34" s="169" t="str">
        <f t="shared" si="29"/>
        <v/>
      </c>
      <c r="AW34" s="170">
        <f>IF(AR34&gt;0,IFERROR(GETPIVOTDATA("act_qty",RECPT!$A$3,"yymm","202110","unit","KAL","comm","L"),0),)</f>
        <v>0</v>
      </c>
      <c r="AX34" s="104"/>
      <c r="AY34" s="172">
        <f t="shared" si="32"/>
        <v>44470</v>
      </c>
      <c r="AZ34" s="167"/>
      <c r="BA34" s="168"/>
      <c r="BB34" s="168"/>
      <c r="BC34" s="168"/>
      <c r="BD34" s="168"/>
      <c r="BE34" s="168" t="str">
        <f t="shared" si="30"/>
        <v/>
      </c>
      <c r="BF34" s="169" t="str">
        <f t="shared" si="31"/>
        <v/>
      </c>
      <c r="BG34" s="170">
        <f>IF(BB34&gt;0,IFERROR(GETPIVOTDATA("act_qty",RECPT!$A$3,"yymm","202110","unit","KAL","comm","F"),0),)</f>
        <v>0</v>
      </c>
    </row>
    <row r="35" spans="1:60" ht="21" x14ac:dyDescent="0.25">
      <c r="A35" s="166">
        <f t="shared" si="33"/>
        <v>44501</v>
      </c>
      <c r="B35" s="167">
        <v>0</v>
      </c>
      <c r="C35" s="168">
        <v>0</v>
      </c>
      <c r="D35" s="168">
        <v>0</v>
      </c>
      <c r="E35" s="168">
        <v>0</v>
      </c>
      <c r="F35" s="168">
        <v>0</v>
      </c>
      <c r="G35" s="168" t="str">
        <f t="shared" si="17"/>
        <v/>
      </c>
      <c r="H35" s="169" t="str">
        <f t="shared" si="18"/>
        <v/>
      </c>
      <c r="I35" s="170">
        <f>IF(D35&gt;0,IFERROR(GETPIVOTDATA("act_qty",RECPT!$A$3,"yymm","202111","unit","GUA","comm","L"),0),)</f>
        <v>0</v>
      </c>
      <c r="J35" s="119"/>
      <c r="K35" s="166">
        <f t="shared" si="34"/>
        <v>44501</v>
      </c>
      <c r="L35" s="167">
        <v>60.45</v>
      </c>
      <c r="M35" s="168">
        <v>5.56</v>
      </c>
      <c r="N35" s="168">
        <v>3</v>
      </c>
      <c r="O35" s="168">
        <v>3.35</v>
      </c>
      <c r="P35" s="168">
        <v>43.35</v>
      </c>
      <c r="Q35" s="168">
        <f t="shared" si="19"/>
        <v>8.5599999999999987</v>
      </c>
      <c r="R35" s="169">
        <f t="shared" si="20"/>
        <v>0.53956834532374109</v>
      </c>
      <c r="S35" s="170">
        <f>IF(N35&gt;0,IFERROR(GETPIVOTDATA("act_qty",RECPT!$A$3,"yymm","202111","unit","GUA","comm","F"),0),)</f>
        <v>21107</v>
      </c>
      <c r="T35" s="104"/>
      <c r="U35" s="172">
        <f t="shared" si="21"/>
        <v>44501</v>
      </c>
      <c r="V35" s="167">
        <v>0</v>
      </c>
      <c r="W35" s="168">
        <v>0</v>
      </c>
      <c r="X35" s="168">
        <v>0</v>
      </c>
      <c r="Y35" s="168">
        <v>0</v>
      </c>
      <c r="Z35" s="168">
        <v>0</v>
      </c>
      <c r="AA35" s="168" t="str">
        <f t="shared" si="22"/>
        <v/>
      </c>
      <c r="AB35" s="169" t="str">
        <f t="shared" si="23"/>
        <v/>
      </c>
      <c r="AC35" s="170">
        <f>IF(X35&gt;0,IFERROR(GETPIVOTDATA("act_qty",RECPT!$A$3,"yymm","202111","unit","BAR","comm","L"),0),)</f>
        <v>0</v>
      </c>
      <c r="AD35" s="171"/>
      <c r="AE35" s="172">
        <f t="shared" si="24"/>
        <v>44501</v>
      </c>
      <c r="AF35" s="167">
        <v>59.76</v>
      </c>
      <c r="AG35" s="168">
        <v>5.0199999999999996</v>
      </c>
      <c r="AH35" s="168">
        <v>4.55</v>
      </c>
      <c r="AI35" s="168">
        <v>6.1</v>
      </c>
      <c r="AJ35" s="168">
        <v>45.2</v>
      </c>
      <c r="AK35" s="168">
        <f t="shared" si="25"/>
        <v>9.57</v>
      </c>
      <c r="AL35" s="169">
        <f t="shared" si="26"/>
        <v>0.90637450199203196</v>
      </c>
      <c r="AM35" s="170">
        <f>IF(AH35&gt;0,IFERROR(GETPIVOTDATA("act_qty",RECPT!$A$3,"yymm","202111","unit","BAR","comm","F"),0),)</f>
        <v>7819.9</v>
      </c>
      <c r="AN35" s="104"/>
      <c r="AO35" s="172">
        <f t="shared" si="27"/>
        <v>44501</v>
      </c>
      <c r="AP35" s="167">
        <v>0</v>
      </c>
      <c r="AQ35" s="168">
        <v>0</v>
      </c>
      <c r="AR35" s="168">
        <v>0</v>
      </c>
      <c r="AS35" s="168">
        <v>0</v>
      </c>
      <c r="AT35" s="168">
        <v>0</v>
      </c>
      <c r="AU35" s="168" t="str">
        <f t="shared" si="28"/>
        <v/>
      </c>
      <c r="AV35" s="169" t="str">
        <f t="shared" si="29"/>
        <v/>
      </c>
      <c r="AW35" s="170">
        <f>IF(AR35&gt;0,IFERROR(GETPIVOTDATA("act_qty",RECPT!$A$3,"yymm","202111","unit","KAL","comm","L"),0),)</f>
        <v>0</v>
      </c>
      <c r="AX35" s="104"/>
      <c r="AY35" s="172">
        <f t="shared" si="32"/>
        <v>44501</v>
      </c>
      <c r="AZ35" s="167"/>
      <c r="BA35" s="168"/>
      <c r="BB35" s="168"/>
      <c r="BC35" s="168"/>
      <c r="BD35" s="168"/>
      <c r="BE35" s="168" t="str">
        <f t="shared" si="30"/>
        <v/>
      </c>
      <c r="BF35" s="169" t="str">
        <f t="shared" si="31"/>
        <v/>
      </c>
      <c r="BG35" s="170">
        <f>IF(BB35&gt;0,IFERROR(GETPIVOTDATA("act_qty",RECPT!$A$3,"yymm","202111","unit","KAL","comm","F"),0),)</f>
        <v>0</v>
      </c>
    </row>
    <row r="36" spans="1:60" ht="21" x14ac:dyDescent="0.25">
      <c r="A36" s="166">
        <f t="shared" si="33"/>
        <v>44531</v>
      </c>
      <c r="B36" s="167">
        <v>0</v>
      </c>
      <c r="C36" s="168">
        <v>0</v>
      </c>
      <c r="D36" s="168">
        <v>0</v>
      </c>
      <c r="E36" s="168">
        <v>0</v>
      </c>
      <c r="F36" s="168">
        <v>0</v>
      </c>
      <c r="G36" s="168" t="str">
        <f t="shared" si="17"/>
        <v/>
      </c>
      <c r="H36" s="169" t="str">
        <f t="shared" si="18"/>
        <v/>
      </c>
      <c r="I36" s="170">
        <f>IF(D36&gt;0,IFERROR(GETPIVOTDATA("act_qty",RECPT!$A$3,"yymm","202112","unit","GUA","comm","L"),0),)</f>
        <v>0</v>
      </c>
      <c r="J36" s="119"/>
      <c r="K36" s="166">
        <f t="shared" si="34"/>
        <v>44531</v>
      </c>
      <c r="L36" s="167">
        <v>0</v>
      </c>
      <c r="M36" s="168">
        <v>0</v>
      </c>
      <c r="N36" s="168">
        <v>0</v>
      </c>
      <c r="O36" s="168">
        <v>0</v>
      </c>
      <c r="P36" s="168">
        <v>0</v>
      </c>
      <c r="Q36" s="168"/>
      <c r="R36" s="169"/>
      <c r="S36" s="170">
        <f>IF(N36&gt;0,IFERROR(GETPIVOTDATA("act_qty",RECPT!$A$3,"yymm","202112","unit","GUA","comm","F"),0),)</f>
        <v>0</v>
      </c>
      <c r="T36" s="104"/>
      <c r="U36" s="172">
        <f t="shared" si="21"/>
        <v>44531</v>
      </c>
      <c r="V36" s="167">
        <v>0</v>
      </c>
      <c r="W36" s="168">
        <v>0</v>
      </c>
      <c r="X36" s="168">
        <v>0</v>
      </c>
      <c r="Y36" s="168">
        <v>0</v>
      </c>
      <c r="Z36" s="168">
        <v>0</v>
      </c>
      <c r="AA36" s="168" t="str">
        <f t="shared" si="22"/>
        <v/>
      </c>
      <c r="AB36" s="169" t="str">
        <f t="shared" si="23"/>
        <v/>
      </c>
      <c r="AC36" s="170">
        <f>IF(X36&gt;0,IFERROR(GETPIVOTDATA("act_qty",RECPT!$A$3,"yymm","202112","unit","BAR","comm","L"),0),)</f>
        <v>0</v>
      </c>
      <c r="AD36" s="171"/>
      <c r="AE36" s="172">
        <f t="shared" si="24"/>
        <v>44531</v>
      </c>
      <c r="AF36" s="167">
        <v>0</v>
      </c>
      <c r="AG36" s="168">
        <v>0</v>
      </c>
      <c r="AH36" s="168">
        <v>0</v>
      </c>
      <c r="AI36" s="168">
        <v>0</v>
      </c>
      <c r="AJ36" s="168">
        <v>0</v>
      </c>
      <c r="AK36" s="168" t="str">
        <f t="shared" si="25"/>
        <v/>
      </c>
      <c r="AL36" s="169" t="str">
        <f t="shared" si="26"/>
        <v/>
      </c>
      <c r="AM36" s="170">
        <f>IF(AH36&gt;0,IFERROR(GETPIVOTDATA("act_qty",RECPT!$A$3,"yymm","202112","unit","BAR","comm","F"),0),)</f>
        <v>0</v>
      </c>
      <c r="AN36" s="104"/>
      <c r="AO36" s="172">
        <f t="shared" si="27"/>
        <v>44531</v>
      </c>
      <c r="AP36" s="167">
        <v>0</v>
      </c>
      <c r="AQ36" s="168">
        <v>0</v>
      </c>
      <c r="AR36" s="168">
        <v>0</v>
      </c>
      <c r="AS36" s="168">
        <v>0</v>
      </c>
      <c r="AT36" s="168">
        <v>0</v>
      </c>
      <c r="AU36" s="168" t="str">
        <f t="shared" si="28"/>
        <v/>
      </c>
      <c r="AV36" s="169" t="str">
        <f t="shared" si="29"/>
        <v/>
      </c>
      <c r="AW36" s="170">
        <f>IF(AR36&gt;0,IFERROR(GETPIVOTDATA("act_qty",RECPT!$A$3,"yymm","202112","unit","KAL","comm","L"),0),)</f>
        <v>0</v>
      </c>
      <c r="AX36" s="104"/>
      <c r="AY36" s="172">
        <f t="shared" si="32"/>
        <v>44531</v>
      </c>
      <c r="AZ36" s="167"/>
      <c r="BA36" s="168"/>
      <c r="BB36" s="168"/>
      <c r="BC36" s="168"/>
      <c r="BD36" s="168"/>
      <c r="BE36" s="168" t="str">
        <f t="shared" si="30"/>
        <v/>
      </c>
      <c r="BF36" s="169" t="str">
        <f t="shared" si="31"/>
        <v/>
      </c>
      <c r="BG36" s="170">
        <f>IF(BB36&gt;0,IFERROR(GETPIVOTDATA("act_qty",RECPT!$A$3,"yymm","202112","unit","KAL","comm","F"),0),)</f>
        <v>0</v>
      </c>
    </row>
    <row r="37" spans="1:60" ht="18.75" customHeight="1" x14ac:dyDescent="0.25">
      <c r="A37" s="166">
        <f t="shared" si="33"/>
        <v>44562</v>
      </c>
      <c r="B37" s="167">
        <v>0</v>
      </c>
      <c r="C37" s="168">
        <v>0</v>
      </c>
      <c r="D37" s="168">
        <v>0</v>
      </c>
      <c r="E37" s="168">
        <v>0</v>
      </c>
      <c r="F37" s="168">
        <v>0</v>
      </c>
      <c r="G37" s="168" t="str">
        <f t="shared" si="17"/>
        <v/>
      </c>
      <c r="H37" s="169" t="str">
        <f t="shared" si="18"/>
        <v/>
      </c>
      <c r="I37" s="170">
        <f>IF(D37&gt;0,IFERROR(GETPIVOTDATA("act_qty",RECPT!$A$3,"yymm","202201","unit","GUA","comm","L"),0),)</f>
        <v>0</v>
      </c>
      <c r="J37" s="119"/>
      <c r="K37" s="166">
        <f t="shared" si="34"/>
        <v>44562</v>
      </c>
      <c r="L37" s="167">
        <v>60.71</v>
      </c>
      <c r="M37" s="168">
        <v>5.21</v>
      </c>
      <c r="N37" s="168">
        <v>3.2</v>
      </c>
      <c r="O37" s="168">
        <v>5.4</v>
      </c>
      <c r="P37" s="168">
        <v>43.2</v>
      </c>
      <c r="Q37" s="168">
        <f t="shared" si="19"/>
        <v>8.41</v>
      </c>
      <c r="R37" s="169">
        <f t="shared" si="20"/>
        <v>0.61420345489443384</v>
      </c>
      <c r="S37" s="170">
        <f>IF(N37&gt;0,IFERROR(GETPIVOTDATA("act_qty",RECPT!$A$3,"yymm","202201","unit","GUA","comm","F"),0),)</f>
        <v>3023.6</v>
      </c>
      <c r="T37" s="104"/>
      <c r="U37" s="172">
        <f t="shared" si="21"/>
        <v>44562</v>
      </c>
      <c r="V37" s="167">
        <v>0</v>
      </c>
      <c r="W37" s="168">
        <v>0</v>
      </c>
      <c r="X37" s="168">
        <v>0</v>
      </c>
      <c r="Y37" s="168">
        <v>0</v>
      </c>
      <c r="Z37" s="168">
        <v>0</v>
      </c>
      <c r="AA37" s="168" t="str">
        <f t="shared" si="22"/>
        <v/>
      </c>
      <c r="AB37" s="169" t="str">
        <f t="shared" si="23"/>
        <v/>
      </c>
      <c r="AC37" s="170">
        <f>IF(X37&gt;0,IFERROR(GETPIVOTDATA("act_qty",RECPT!$A$3,"yymm","202201","unit","BAR","comm","L"),0),)</f>
        <v>0</v>
      </c>
      <c r="AD37" s="171"/>
      <c r="AE37" s="172">
        <f t="shared" si="24"/>
        <v>44562</v>
      </c>
      <c r="AF37" s="167">
        <v>0</v>
      </c>
      <c r="AG37" s="168">
        <v>0</v>
      </c>
      <c r="AH37" s="168">
        <v>0</v>
      </c>
      <c r="AI37" s="168">
        <v>0</v>
      </c>
      <c r="AJ37" s="168">
        <v>0</v>
      </c>
      <c r="AK37" s="168" t="str">
        <f t="shared" si="25"/>
        <v/>
      </c>
      <c r="AL37" s="169" t="str">
        <f t="shared" si="26"/>
        <v/>
      </c>
      <c r="AM37" s="170">
        <f>IF(AH37&gt;0,IFERROR(GETPIVOTDATA("act_qty",RECPT!$A$3,"yymm","202201","unit","BAR","comm","F"),0),)</f>
        <v>0</v>
      </c>
      <c r="AN37" s="104"/>
      <c r="AO37" s="172">
        <f t="shared" si="27"/>
        <v>44562</v>
      </c>
      <c r="AP37" s="167">
        <v>0</v>
      </c>
      <c r="AQ37" s="168">
        <v>0</v>
      </c>
      <c r="AR37" s="168">
        <v>0</v>
      </c>
      <c r="AS37" s="168">
        <v>0</v>
      </c>
      <c r="AT37" s="168">
        <v>0</v>
      </c>
      <c r="AU37" s="168" t="str">
        <f t="shared" si="28"/>
        <v/>
      </c>
      <c r="AV37" s="169" t="str">
        <f t="shared" si="29"/>
        <v/>
      </c>
      <c r="AW37" s="170">
        <f>IF(AR37&gt;0,IFERROR(GETPIVOTDATA("act_qty",RECPT!$A$3,"yymm","202201","unit","KAL","comm","L"),0),)</f>
        <v>0</v>
      </c>
      <c r="AX37" s="104"/>
      <c r="AY37" s="172">
        <f t="shared" si="32"/>
        <v>44562</v>
      </c>
      <c r="AZ37" s="167"/>
      <c r="BA37" s="168"/>
      <c r="BB37" s="168"/>
      <c r="BC37" s="168"/>
      <c r="BD37" s="168"/>
      <c r="BE37" s="168" t="str">
        <f t="shared" si="30"/>
        <v/>
      </c>
      <c r="BF37" s="169" t="str">
        <f t="shared" si="31"/>
        <v/>
      </c>
      <c r="BG37" s="170">
        <f>IF(BB37&gt;0,IFERROR(GETPIVOTDATA("act_qty",RECPT!$A$3,"yymm","202201","unit","KAL","comm","F"),0),)</f>
        <v>0</v>
      </c>
    </row>
    <row r="38" spans="1:60" ht="21" x14ac:dyDescent="0.25">
      <c r="A38" s="166">
        <f t="shared" si="33"/>
        <v>44593</v>
      </c>
      <c r="B38" s="167">
        <v>0</v>
      </c>
      <c r="C38" s="168">
        <v>0</v>
      </c>
      <c r="D38" s="168">
        <v>0</v>
      </c>
      <c r="E38" s="168">
        <v>0</v>
      </c>
      <c r="F38" s="168">
        <v>0</v>
      </c>
      <c r="G38" s="168" t="str">
        <f t="shared" si="17"/>
        <v/>
      </c>
      <c r="H38" s="169" t="str">
        <f t="shared" si="18"/>
        <v/>
      </c>
      <c r="I38" s="170">
        <f>IF(D38&gt;0,IFERROR(GETPIVOTDATA("act_qty",RECPT!$A$3,"yymm","202202","unit","GUA","comm","L"),0),)</f>
        <v>0</v>
      </c>
      <c r="J38" s="119"/>
      <c r="K38" s="166">
        <f t="shared" si="34"/>
        <v>44593</v>
      </c>
      <c r="L38" s="167">
        <v>60</v>
      </c>
      <c r="M38" s="168">
        <v>6.3</v>
      </c>
      <c r="N38" s="168">
        <v>3.12</v>
      </c>
      <c r="O38" s="168">
        <v>3.65</v>
      </c>
      <c r="P38" s="168">
        <v>46.3</v>
      </c>
      <c r="Q38" s="168">
        <f t="shared" si="19"/>
        <v>9.42</v>
      </c>
      <c r="R38" s="169">
        <f t="shared" si="20"/>
        <v>0.49523809523809526</v>
      </c>
      <c r="S38" s="170">
        <f>IF(N38&gt;0,IFERROR(GETPIVOTDATA("act_qty",RECPT!$A$3,"yymm","202202","unit","GUA","comm","F"),0),)</f>
        <v>12896.7</v>
      </c>
      <c r="T38" s="104"/>
      <c r="U38" s="172">
        <f t="shared" si="21"/>
        <v>44593</v>
      </c>
      <c r="V38" s="167">
        <v>60.95</v>
      </c>
      <c r="W38" s="168">
        <v>3.86</v>
      </c>
      <c r="X38" s="168">
        <v>3.78</v>
      </c>
      <c r="Y38" s="168">
        <v>13.5</v>
      </c>
      <c r="Z38" s="168">
        <v>26.7</v>
      </c>
      <c r="AA38" s="168">
        <f t="shared" si="22"/>
        <v>7.64</v>
      </c>
      <c r="AB38" s="169">
        <f t="shared" si="23"/>
        <v>0.97927461139896366</v>
      </c>
      <c r="AC38" s="170">
        <f>IF(X38&gt;0,IFERROR(GETPIVOTDATA("act_qty",RECPT!$A$3,"yymm","202202","unit","BAR","comm","L"),0),)</f>
        <v>7585</v>
      </c>
      <c r="AD38" s="171"/>
      <c r="AE38" s="172">
        <f t="shared" si="24"/>
        <v>44593</v>
      </c>
      <c r="AF38" s="167">
        <v>0</v>
      </c>
      <c r="AG38" s="168">
        <v>0</v>
      </c>
      <c r="AH38" s="168">
        <v>0</v>
      </c>
      <c r="AI38" s="168">
        <v>0</v>
      </c>
      <c r="AJ38" s="168">
        <v>0</v>
      </c>
      <c r="AK38" s="168" t="str">
        <f t="shared" si="25"/>
        <v/>
      </c>
      <c r="AL38" s="169" t="str">
        <f t="shared" si="26"/>
        <v/>
      </c>
      <c r="AM38" s="170">
        <f>IF(AH38&gt;0,IFERROR(GETPIVOTDATA("act_qty",RECPT!$A$3,"yymm","202202","unit","BAR","comm","F"),0),)</f>
        <v>0</v>
      </c>
      <c r="AN38" s="104"/>
      <c r="AO38" s="172">
        <f t="shared" si="27"/>
        <v>44593</v>
      </c>
      <c r="AP38" s="167">
        <v>0</v>
      </c>
      <c r="AQ38" s="168">
        <v>0</v>
      </c>
      <c r="AR38" s="168">
        <v>0</v>
      </c>
      <c r="AS38" s="168">
        <v>0</v>
      </c>
      <c r="AT38" s="168">
        <v>0</v>
      </c>
      <c r="AU38" s="168" t="str">
        <f t="shared" si="28"/>
        <v/>
      </c>
      <c r="AV38" s="169" t="str">
        <f t="shared" si="29"/>
        <v/>
      </c>
      <c r="AW38" s="170">
        <f>IF(AR38&gt;0,IFERROR(GETPIVOTDATA("act_qty",RECPT!$A$3,"yymm","202202","unit","KAL","comm","L"),0),)</f>
        <v>0</v>
      </c>
      <c r="AX38" s="104"/>
      <c r="AY38" s="172">
        <f t="shared" si="32"/>
        <v>44593</v>
      </c>
      <c r="AZ38" s="167"/>
      <c r="BA38" s="168"/>
      <c r="BB38" s="168"/>
      <c r="BC38" s="168"/>
      <c r="BD38" s="168"/>
      <c r="BE38" s="168" t="str">
        <f t="shared" si="30"/>
        <v/>
      </c>
      <c r="BF38" s="169" t="str">
        <f t="shared" si="31"/>
        <v/>
      </c>
      <c r="BG38" s="170">
        <f>IF(BB38&gt;0,IFERROR(GETPIVOTDATA("act_qty",RECPT!$A$3,"yymm","202202","unit","KAL","comm","F"),0),)</f>
        <v>0</v>
      </c>
    </row>
    <row r="39" spans="1:60" ht="21.5" thickBot="1" x14ac:dyDescent="0.3">
      <c r="A39" s="166">
        <f t="shared" si="33"/>
        <v>44621</v>
      </c>
      <c r="B39" s="183">
        <v>0</v>
      </c>
      <c r="C39" s="184">
        <v>0</v>
      </c>
      <c r="D39" s="184">
        <v>0</v>
      </c>
      <c r="E39" s="168">
        <v>0</v>
      </c>
      <c r="F39" s="168">
        <v>0</v>
      </c>
      <c r="G39" s="168" t="str">
        <f t="shared" si="17"/>
        <v/>
      </c>
      <c r="H39" s="169" t="str">
        <f t="shared" si="18"/>
        <v/>
      </c>
      <c r="I39" s="170">
        <f>IF(D39&gt;0,IFERROR(GETPIVOTDATA("act_qty",RECPT!$A$3,"yymm","202203","unit","GUA","comm","L"),0),)</f>
        <v>0</v>
      </c>
      <c r="J39" s="119"/>
      <c r="K39" s="166">
        <f t="shared" si="34"/>
        <v>44621</v>
      </c>
      <c r="L39" s="183">
        <v>60.66</v>
      </c>
      <c r="M39" s="184">
        <v>6.27</v>
      </c>
      <c r="N39" s="184">
        <v>3.08</v>
      </c>
      <c r="O39" s="168">
        <v>3.27</v>
      </c>
      <c r="P39" s="168">
        <v>45.17</v>
      </c>
      <c r="Q39" s="168">
        <f t="shared" si="19"/>
        <v>9.35</v>
      </c>
      <c r="R39" s="169">
        <f t="shared" si="20"/>
        <v>0.49122807017543862</v>
      </c>
      <c r="S39" s="170">
        <f>IF(N39&gt;0,IFERROR(GETPIVOTDATA("act_qty",RECPT!$A$3,"yymm","202203","unit","GUA","comm","F"),0),)</f>
        <v>12259.6</v>
      </c>
      <c r="T39" s="104"/>
      <c r="U39" s="172">
        <f t="shared" si="21"/>
        <v>44621</v>
      </c>
      <c r="V39" s="183">
        <v>0</v>
      </c>
      <c r="W39" s="184">
        <v>0</v>
      </c>
      <c r="X39" s="184">
        <v>0</v>
      </c>
      <c r="Y39" s="168">
        <v>0</v>
      </c>
      <c r="Z39" s="168">
        <v>0</v>
      </c>
      <c r="AA39" s="168" t="str">
        <f t="shared" si="22"/>
        <v/>
      </c>
      <c r="AB39" s="169" t="str">
        <f t="shared" si="23"/>
        <v/>
      </c>
      <c r="AC39" s="170">
        <f>IF(X39&gt;0,IFERROR(GETPIVOTDATA("act_qty",RECPT!$A$3,"yymm","202203","unit","BAR","comm","L"),0),)</f>
        <v>0</v>
      </c>
      <c r="AD39" s="171"/>
      <c r="AE39" s="172">
        <f t="shared" si="24"/>
        <v>44621</v>
      </c>
      <c r="AF39" s="183">
        <v>0</v>
      </c>
      <c r="AG39" s="184">
        <v>0</v>
      </c>
      <c r="AH39" s="184">
        <v>0</v>
      </c>
      <c r="AI39" s="168">
        <v>0</v>
      </c>
      <c r="AJ39" s="168">
        <v>0</v>
      </c>
      <c r="AK39" s="168" t="str">
        <f t="shared" si="25"/>
        <v/>
      </c>
      <c r="AL39" s="169" t="str">
        <f t="shared" si="26"/>
        <v/>
      </c>
      <c r="AM39" s="170">
        <f>IF(AH39&gt;0,IFERROR(GETPIVOTDATA("act_qty",RECPT!$A$3,"yymm","202203","unit","BAR","comm","F"),0),)</f>
        <v>0</v>
      </c>
      <c r="AN39" s="104"/>
      <c r="AO39" s="185">
        <f t="shared" si="27"/>
        <v>44621</v>
      </c>
      <c r="AP39" s="183">
        <v>0</v>
      </c>
      <c r="AQ39" s="184">
        <v>0</v>
      </c>
      <c r="AR39" s="184">
        <v>0</v>
      </c>
      <c r="AS39" s="168">
        <v>0</v>
      </c>
      <c r="AT39" s="168">
        <v>0</v>
      </c>
      <c r="AU39" s="168" t="str">
        <f t="shared" si="28"/>
        <v/>
      </c>
      <c r="AV39" s="169" t="str">
        <f t="shared" si="29"/>
        <v/>
      </c>
      <c r="AW39" s="170">
        <f>IF(AR39&gt;0,IFERROR(GETPIVOTDATA("act_qty",RECPT!$A$3,"yymm","202203","unit","KAL","comm","L"),0),)</f>
        <v>0</v>
      </c>
      <c r="AX39" s="104"/>
      <c r="AY39" s="185">
        <f t="shared" si="32"/>
        <v>44621</v>
      </c>
      <c r="AZ39" s="183"/>
      <c r="BA39" s="184"/>
      <c r="BB39" s="184"/>
      <c r="BC39" s="168"/>
      <c r="BD39" s="168"/>
      <c r="BE39" s="168" t="str">
        <f t="shared" si="30"/>
        <v/>
      </c>
      <c r="BF39" s="169" t="str">
        <f t="shared" si="31"/>
        <v/>
      </c>
      <c r="BG39" s="235">
        <f>IF(BB39&gt;0,IFERROR(GETPIVOTDATA("act_qty",RECPT!$A$3,"yymm","202203","unit","KAL","comm","F"),0),)</f>
        <v>0</v>
      </c>
    </row>
    <row r="40" spans="1:60" ht="21.5" thickBot="1" x14ac:dyDescent="0.3">
      <c r="A40" s="191" t="s">
        <v>42</v>
      </c>
      <c r="B40" s="192">
        <v>61.74</v>
      </c>
      <c r="C40" s="192">
        <v>4.05</v>
      </c>
      <c r="D40" s="192">
        <v>2.71</v>
      </c>
      <c r="E40" s="192">
        <v>11</v>
      </c>
      <c r="F40" s="192">
        <v>27.75</v>
      </c>
      <c r="G40" s="193">
        <f t="shared" si="17"/>
        <v>6.76</v>
      </c>
      <c r="H40" s="194">
        <f t="shared" si="18"/>
        <v>0.66913580246913584</v>
      </c>
      <c r="I40" s="195">
        <f>SUM(I28:I39)</f>
        <v>67952.800000000003</v>
      </c>
      <c r="J40" s="119"/>
      <c r="K40" s="191" t="s">
        <v>42</v>
      </c>
      <c r="L40" s="192">
        <v>60.57</v>
      </c>
      <c r="M40" s="192">
        <v>5.56</v>
      </c>
      <c r="N40" s="192">
        <v>3.08</v>
      </c>
      <c r="O40" s="192">
        <v>3.45</v>
      </c>
      <c r="P40" s="192">
        <v>45.48</v>
      </c>
      <c r="Q40" s="193">
        <f t="shared" si="19"/>
        <v>8.64</v>
      </c>
      <c r="R40" s="194">
        <f t="shared" si="20"/>
        <v>0.5539568345323741</v>
      </c>
      <c r="S40" s="195">
        <f>SUM(S28:S39)</f>
        <v>129097.70000000001</v>
      </c>
      <c r="T40" s="104"/>
      <c r="U40" s="191" t="str">
        <f t="shared" si="21"/>
        <v>CUMML</v>
      </c>
      <c r="V40" s="192">
        <v>61.4</v>
      </c>
      <c r="W40" s="192">
        <v>3.74</v>
      </c>
      <c r="X40" s="192">
        <v>3.58</v>
      </c>
      <c r="Y40" s="192">
        <v>22.87</v>
      </c>
      <c r="Z40" s="192">
        <v>22.58</v>
      </c>
      <c r="AA40" s="193">
        <f t="shared" si="22"/>
        <v>7.32</v>
      </c>
      <c r="AB40" s="194">
        <f t="shared" si="23"/>
        <v>0.95721925133689834</v>
      </c>
      <c r="AC40" s="195">
        <f>SUM(AC28:AC39)</f>
        <v>104957</v>
      </c>
      <c r="AD40" s="171"/>
      <c r="AE40" s="196" t="str">
        <f t="shared" si="24"/>
        <v>CUMML</v>
      </c>
      <c r="AF40" s="192">
        <v>59.75</v>
      </c>
      <c r="AG40" s="192">
        <v>5.79</v>
      </c>
      <c r="AH40" s="192">
        <v>3.97</v>
      </c>
      <c r="AI40" s="192">
        <v>5.34</v>
      </c>
      <c r="AJ40" s="192">
        <v>44.28</v>
      </c>
      <c r="AK40" s="193">
        <f t="shared" si="25"/>
        <v>9.76</v>
      </c>
      <c r="AL40" s="194">
        <f t="shared" si="26"/>
        <v>0.68566493955094998</v>
      </c>
      <c r="AM40" s="195">
        <f>SUM(AM28:AM39)</f>
        <v>85622.28</v>
      </c>
      <c r="AN40" s="104"/>
      <c r="AO40" s="197" t="str">
        <f t="shared" si="27"/>
        <v>CUMML</v>
      </c>
      <c r="AP40" s="192">
        <v>63.27</v>
      </c>
      <c r="AQ40" s="192">
        <v>3.25</v>
      </c>
      <c r="AR40" s="192">
        <v>2.2599999999999998</v>
      </c>
      <c r="AS40" s="192">
        <v>10.8</v>
      </c>
      <c r="AT40" s="192">
        <v>13.9</v>
      </c>
      <c r="AU40" s="193">
        <f t="shared" si="28"/>
        <v>5.51</v>
      </c>
      <c r="AV40" s="194">
        <f t="shared" si="29"/>
        <v>0.69538461538461527</v>
      </c>
      <c r="AW40" s="195">
        <f>SUM(AW28:AW39)</f>
        <v>28231</v>
      </c>
      <c r="AX40" s="104"/>
      <c r="AY40" s="197" t="str">
        <f t="shared" si="32"/>
        <v>CUMML</v>
      </c>
      <c r="AZ40" s="192"/>
      <c r="BA40" s="192"/>
      <c r="BB40" s="192"/>
      <c r="BC40" s="192"/>
      <c r="BD40" s="192"/>
      <c r="BE40" s="193" t="str">
        <f t="shared" si="30"/>
        <v/>
      </c>
      <c r="BF40" s="194" t="str">
        <f t="shared" si="31"/>
        <v/>
      </c>
      <c r="BG40" s="195">
        <f>SUM(BG28:BG39)</f>
        <v>0</v>
      </c>
    </row>
    <row r="41" spans="1:60" s="7" customFormat="1" ht="15.75" customHeight="1" x14ac:dyDescent="0.4">
      <c r="A41" s="209"/>
      <c r="B41" s="205" t="e">
        <f>B35*1.4298+G35</f>
        <v>#VALUE!</v>
      </c>
      <c r="C41" s="209"/>
      <c r="D41" s="209"/>
      <c r="E41" s="209"/>
      <c r="F41" s="209"/>
      <c r="G41" s="209"/>
      <c r="H41" s="209"/>
      <c r="I41" s="209"/>
      <c r="J41" s="209"/>
      <c r="K41" s="209"/>
      <c r="L41" s="205">
        <f>L35*1.4298+Q35</f>
        <v>94.991410000000002</v>
      </c>
      <c r="M41" s="209"/>
      <c r="N41" s="209"/>
      <c r="O41" s="209"/>
      <c r="P41" s="209"/>
      <c r="Q41" s="209"/>
      <c r="R41" s="209"/>
      <c r="S41" s="209"/>
      <c r="T41" s="165"/>
      <c r="U41" s="165"/>
      <c r="V41" s="205" t="e">
        <f>V35*1.4298+AA35</f>
        <v>#VALUE!</v>
      </c>
      <c r="W41" s="165"/>
      <c r="X41" s="165"/>
      <c r="Y41" s="165"/>
      <c r="Z41" s="165"/>
      <c r="AA41" s="165"/>
      <c r="AB41" s="165"/>
      <c r="AC41" s="165"/>
      <c r="AD41" s="165"/>
      <c r="AE41" s="165"/>
      <c r="AF41" s="205">
        <f>AF35*1.4298+AK35</f>
        <v>95.014848000000001</v>
      </c>
      <c r="AG41" s="165"/>
      <c r="AH41" s="165"/>
      <c r="AI41" s="165"/>
      <c r="AJ41" s="165"/>
      <c r="AK41" s="165"/>
      <c r="AL41" s="165"/>
      <c r="AM41" s="165"/>
      <c r="AN41" s="209"/>
      <c r="AO41" s="209"/>
      <c r="AP41" s="205" t="e">
        <f>AP35*1.4298+AU35</f>
        <v>#VALUE!</v>
      </c>
      <c r="AQ41" s="209"/>
      <c r="AR41" s="209"/>
      <c r="AS41" s="209"/>
      <c r="AT41" s="209"/>
      <c r="AU41" s="209"/>
      <c r="AV41" s="209"/>
      <c r="AW41" s="209"/>
      <c r="AX41" s="209"/>
      <c r="AY41" s="209"/>
      <c r="AZ41" s="205" t="e">
        <f>AZ35*1.4298+BE35</f>
        <v>#VALUE!</v>
      </c>
      <c r="BA41" s="209"/>
      <c r="BB41" s="209"/>
      <c r="BC41" s="209"/>
      <c r="BD41" s="209"/>
      <c r="BE41" s="209"/>
      <c r="BF41" s="209"/>
      <c r="BG41" s="209"/>
      <c r="BH41" s="16"/>
    </row>
    <row r="42" spans="1:60" s="18" customFormat="1" ht="26.25" customHeight="1" x14ac:dyDescent="0.4">
      <c r="A42" s="211"/>
      <c r="B42" s="212">
        <f>B40*1.4298+G40</f>
        <v>95.035852000000006</v>
      </c>
      <c r="C42" s="212"/>
      <c r="D42" s="212"/>
      <c r="E42" s="212"/>
      <c r="F42" s="212"/>
      <c r="G42" s="212"/>
      <c r="H42" s="212"/>
      <c r="I42" s="283"/>
      <c r="J42" s="212"/>
      <c r="K42" s="211"/>
      <c r="L42" s="212">
        <f>L40*1.4298+Q40</f>
        <v>95.242986000000002</v>
      </c>
      <c r="M42" s="212"/>
      <c r="N42" s="212"/>
      <c r="O42" s="212"/>
      <c r="P42" s="212"/>
      <c r="Q42" s="212"/>
      <c r="R42" s="212"/>
      <c r="S42" s="283"/>
      <c r="T42" s="213"/>
      <c r="U42" s="213"/>
      <c r="V42" s="212">
        <f>V40*1.4298+AA40</f>
        <v>95.109719999999982</v>
      </c>
      <c r="W42" s="212"/>
      <c r="X42" s="212"/>
      <c r="Y42" s="212"/>
      <c r="Z42" s="212"/>
      <c r="AA42" s="212"/>
      <c r="AB42" s="212"/>
      <c r="AC42" s="283"/>
      <c r="AD42" s="213"/>
      <c r="AE42" s="213"/>
      <c r="AF42" s="212">
        <f>AF40*1.4298+AK40</f>
        <v>95.190550000000002</v>
      </c>
      <c r="AG42" s="212"/>
      <c r="AH42" s="212"/>
      <c r="AI42" s="212"/>
      <c r="AJ42" s="212"/>
      <c r="AK42" s="212"/>
      <c r="AL42" s="212"/>
      <c r="AM42" s="213"/>
      <c r="AN42" s="212"/>
      <c r="AO42" s="212"/>
      <c r="AP42" s="212">
        <f>AP40*1.4298+AU40</f>
        <v>95.97344600000001</v>
      </c>
      <c r="AQ42" s="212"/>
      <c r="AR42" s="212"/>
      <c r="AS42" s="212"/>
      <c r="AT42" s="212"/>
      <c r="AU42" s="212"/>
      <c r="AV42" s="212"/>
      <c r="AW42" s="212"/>
      <c r="AX42" s="212"/>
      <c r="AY42" s="212"/>
      <c r="AZ42" s="212" t="e">
        <f>AZ40*1.4298+BE40</f>
        <v>#VALUE!</v>
      </c>
      <c r="BA42" s="212"/>
      <c r="BB42" s="212"/>
      <c r="BC42" s="212"/>
      <c r="BD42" s="212"/>
      <c r="BE42" s="212"/>
      <c r="BF42" s="212"/>
      <c r="BG42" s="212"/>
      <c r="BH42" s="17"/>
    </row>
    <row r="43" spans="1:60" s="12" customFormat="1" ht="18.75" customHeight="1" x14ac:dyDescent="0.25">
      <c r="A43" s="221"/>
      <c r="B43" s="205"/>
      <c r="C43" s="205"/>
      <c r="D43" s="205"/>
      <c r="E43" s="205"/>
      <c r="F43" s="205"/>
      <c r="G43" s="205"/>
      <c r="H43" s="205"/>
      <c r="I43" s="222"/>
      <c r="J43" s="212"/>
      <c r="K43" s="221"/>
      <c r="L43" s="205"/>
      <c r="M43" s="205"/>
      <c r="N43" s="205"/>
      <c r="O43" s="205"/>
      <c r="P43" s="205"/>
      <c r="Q43" s="205"/>
      <c r="R43" s="205"/>
      <c r="S43" s="213"/>
      <c r="T43" s="213"/>
      <c r="U43" s="223"/>
      <c r="V43" s="224"/>
      <c r="W43" s="224"/>
      <c r="X43" s="224"/>
      <c r="Y43" s="224"/>
      <c r="Z43" s="224"/>
      <c r="AA43" s="224"/>
      <c r="AB43" s="224"/>
      <c r="AC43" s="224"/>
      <c r="AD43" s="213"/>
      <c r="AE43" s="223"/>
      <c r="AF43" s="224"/>
      <c r="AG43" s="224"/>
      <c r="AH43" s="224"/>
      <c r="AI43" s="224"/>
      <c r="AJ43" s="224"/>
      <c r="AK43" s="224"/>
      <c r="AL43" s="224"/>
      <c r="AM43" s="213"/>
      <c r="AN43" s="213"/>
      <c r="AO43" s="223"/>
      <c r="AP43" s="224"/>
      <c r="AQ43" s="224"/>
      <c r="AR43" s="224"/>
      <c r="AS43" s="224"/>
      <c r="AT43" s="224"/>
      <c r="AU43" s="224"/>
      <c r="AV43" s="224"/>
      <c r="AW43" s="213"/>
      <c r="AX43" s="213"/>
      <c r="AY43" s="223"/>
      <c r="AZ43" s="224"/>
      <c r="BA43" s="224"/>
      <c r="BB43" s="224"/>
      <c r="BC43" s="224"/>
      <c r="BD43" s="224"/>
      <c r="BE43" s="224"/>
      <c r="BF43" s="224"/>
      <c r="BG43" s="213"/>
    </row>
    <row r="44" spans="1:60" s="19" customFormat="1" ht="24.75" customHeight="1" x14ac:dyDescent="0.6">
      <c r="A44" s="586" t="s">
        <v>46</v>
      </c>
      <c r="B44" s="586"/>
      <c r="C44" s="586"/>
      <c r="D44" s="585" t="s">
        <v>30</v>
      </c>
      <c r="E44" s="585"/>
      <c r="F44" s="585"/>
      <c r="G44" s="246"/>
      <c r="H44" s="246"/>
      <c r="I44" s="246"/>
      <c r="J44" s="104"/>
      <c r="K44" s="586" t="s">
        <v>46</v>
      </c>
      <c r="L44" s="586"/>
      <c r="M44" s="586"/>
      <c r="N44" s="585" t="s">
        <v>31</v>
      </c>
      <c r="O44" s="585"/>
      <c r="P44" s="585"/>
      <c r="Q44" s="246"/>
      <c r="R44" s="246"/>
      <c r="S44" s="104"/>
      <c r="T44" s="104"/>
      <c r="U44" s="586" t="s">
        <v>47</v>
      </c>
      <c r="V44" s="586"/>
      <c r="W44" s="586"/>
      <c r="X44" s="585" t="s">
        <v>30</v>
      </c>
      <c r="Y44" s="585"/>
      <c r="Z44" s="585"/>
      <c r="AA44" s="246"/>
      <c r="AB44" s="246"/>
      <c r="AC44" s="246"/>
      <c r="AD44" s="104"/>
      <c r="AE44" s="586" t="s">
        <v>47</v>
      </c>
      <c r="AF44" s="586"/>
      <c r="AG44" s="586"/>
      <c r="AH44" s="585" t="s">
        <v>31</v>
      </c>
      <c r="AI44" s="585"/>
      <c r="AJ44" s="585"/>
      <c r="AK44" s="246"/>
      <c r="AL44" s="246"/>
      <c r="AM44" s="104"/>
      <c r="AN44" s="104"/>
      <c r="AO44" s="586" t="s">
        <v>48</v>
      </c>
      <c r="AP44" s="586"/>
      <c r="AQ44" s="586"/>
      <c r="AR44" s="585" t="s">
        <v>30</v>
      </c>
      <c r="AS44" s="585"/>
      <c r="AT44" s="585"/>
      <c r="AU44" s="246"/>
      <c r="AV44" s="246"/>
      <c r="AW44" s="246"/>
      <c r="AX44" s="104"/>
      <c r="AY44" s="586" t="s">
        <v>48</v>
      </c>
      <c r="AZ44" s="586"/>
      <c r="BA44" s="586"/>
      <c r="BB44" s="585" t="s">
        <v>31</v>
      </c>
      <c r="BC44" s="585"/>
      <c r="BD44" s="585"/>
      <c r="BE44" s="246"/>
      <c r="BF44" s="246"/>
      <c r="BG44" s="246"/>
    </row>
    <row r="45" spans="1:60" ht="13.5" thickBot="1" x14ac:dyDescent="0.3">
      <c r="A45" s="103"/>
      <c r="B45" s="103"/>
      <c r="C45" s="103"/>
      <c r="D45" s="103"/>
      <c r="E45" s="103"/>
      <c r="F45" s="103"/>
      <c r="G45" s="103"/>
      <c r="H45" s="103"/>
      <c r="I45" s="103"/>
      <c r="J45" s="104"/>
      <c r="K45" s="103"/>
      <c r="L45" s="103"/>
      <c r="M45" s="103"/>
      <c r="N45" s="103"/>
      <c r="O45" s="103"/>
      <c r="P45" s="103"/>
      <c r="Q45" s="103"/>
      <c r="R45" s="103"/>
      <c r="S45" s="104"/>
      <c r="T45" s="104"/>
      <c r="U45" s="103"/>
      <c r="V45" s="103"/>
      <c r="W45" s="103"/>
      <c r="X45" s="103"/>
      <c r="Y45" s="103"/>
      <c r="Z45" s="103"/>
      <c r="AA45" s="103"/>
      <c r="AB45" s="103"/>
      <c r="AC45" s="103"/>
      <c r="AD45" s="104"/>
      <c r="AE45" s="103"/>
      <c r="AF45" s="103"/>
      <c r="AG45" s="103"/>
      <c r="AH45" s="103"/>
      <c r="AI45" s="103"/>
      <c r="AJ45" s="103"/>
      <c r="AK45" s="103"/>
      <c r="AL45" s="103"/>
      <c r="AM45" s="104"/>
      <c r="AN45" s="104"/>
      <c r="AO45" s="103"/>
      <c r="AP45" s="103"/>
      <c r="AQ45" s="103"/>
      <c r="AR45" s="103"/>
      <c r="AS45" s="103"/>
      <c r="AT45" s="103"/>
      <c r="AU45" s="103"/>
      <c r="AV45" s="103"/>
      <c r="AW45" s="103"/>
      <c r="AX45" s="104"/>
      <c r="AY45" s="103"/>
      <c r="AZ45" s="103"/>
      <c r="BA45" s="103"/>
      <c r="BB45" s="103"/>
      <c r="BC45" s="103"/>
      <c r="BD45" s="103"/>
      <c r="BE45" s="103"/>
      <c r="BF45" s="103"/>
      <c r="BG45" s="103"/>
    </row>
    <row r="46" spans="1:60" ht="25" thickBot="1" x14ac:dyDescent="0.3">
      <c r="A46" s="119"/>
      <c r="B46" s="120" t="s">
        <v>34</v>
      </c>
      <c r="C46" s="121" t="s">
        <v>35</v>
      </c>
      <c r="D46" s="121" t="s">
        <v>36</v>
      </c>
      <c r="E46" s="121" t="s">
        <v>37</v>
      </c>
      <c r="F46" s="121" t="s">
        <v>38</v>
      </c>
      <c r="G46" s="124" t="s">
        <v>39</v>
      </c>
      <c r="H46" s="121" t="s">
        <v>40</v>
      </c>
      <c r="I46" s="123" t="s">
        <v>41</v>
      </c>
      <c r="J46" s="104"/>
      <c r="K46" s="119"/>
      <c r="L46" s="120" t="s">
        <v>34</v>
      </c>
      <c r="M46" s="121" t="s">
        <v>35</v>
      </c>
      <c r="N46" s="121" t="s">
        <v>36</v>
      </c>
      <c r="O46" s="121" t="s">
        <v>37</v>
      </c>
      <c r="P46" s="121" t="s">
        <v>38</v>
      </c>
      <c r="Q46" s="124" t="s">
        <v>39</v>
      </c>
      <c r="R46" s="121" t="s">
        <v>40</v>
      </c>
      <c r="S46" s="123" t="s">
        <v>41</v>
      </c>
      <c r="T46" s="104"/>
      <c r="U46" s="119"/>
      <c r="V46" s="120" t="s">
        <v>34</v>
      </c>
      <c r="W46" s="121" t="s">
        <v>35</v>
      </c>
      <c r="X46" s="121" t="s">
        <v>36</v>
      </c>
      <c r="Y46" s="121" t="s">
        <v>37</v>
      </c>
      <c r="Z46" s="121" t="s">
        <v>38</v>
      </c>
      <c r="AA46" s="124" t="s">
        <v>39</v>
      </c>
      <c r="AB46" s="121" t="s">
        <v>40</v>
      </c>
      <c r="AC46" s="123" t="s">
        <v>41</v>
      </c>
      <c r="AD46" s="104"/>
      <c r="AE46" s="119"/>
      <c r="AF46" s="120" t="s">
        <v>34</v>
      </c>
      <c r="AG46" s="121" t="s">
        <v>35</v>
      </c>
      <c r="AH46" s="121" t="s">
        <v>36</v>
      </c>
      <c r="AI46" s="121" t="s">
        <v>37</v>
      </c>
      <c r="AJ46" s="121" t="s">
        <v>38</v>
      </c>
      <c r="AK46" s="124" t="s">
        <v>39</v>
      </c>
      <c r="AL46" s="121" t="s">
        <v>40</v>
      </c>
      <c r="AM46" s="123" t="s">
        <v>41</v>
      </c>
      <c r="AN46" s="104"/>
      <c r="AO46" s="126"/>
      <c r="AP46" s="120" t="s">
        <v>34</v>
      </c>
      <c r="AQ46" s="121" t="s">
        <v>35</v>
      </c>
      <c r="AR46" s="121" t="s">
        <v>36</v>
      </c>
      <c r="AS46" s="121" t="s">
        <v>37</v>
      </c>
      <c r="AT46" s="125" t="s">
        <v>38</v>
      </c>
      <c r="AU46" s="124" t="s">
        <v>39</v>
      </c>
      <c r="AV46" s="121" t="s">
        <v>40</v>
      </c>
      <c r="AW46" s="250" t="s">
        <v>41</v>
      </c>
      <c r="AX46" s="251"/>
      <c r="AY46" s="126"/>
      <c r="AZ46" s="120" t="s">
        <v>34</v>
      </c>
      <c r="BA46" s="121" t="s">
        <v>35</v>
      </c>
      <c r="BB46" s="121" t="s">
        <v>36</v>
      </c>
      <c r="BC46" s="121" t="s">
        <v>37</v>
      </c>
      <c r="BD46" s="125" t="s">
        <v>38</v>
      </c>
      <c r="BE46" s="124" t="s">
        <v>39</v>
      </c>
      <c r="BF46" s="121" t="s">
        <v>40</v>
      </c>
      <c r="BG46" s="250" t="s">
        <v>41</v>
      </c>
      <c r="BH46" s="20"/>
    </row>
    <row r="47" spans="1:60" ht="21.5" thickBot="1" x14ac:dyDescent="0.3">
      <c r="A47" s="132" t="str">
        <f>A5</f>
        <v>Act 20-21</v>
      </c>
      <c r="B47" s="133">
        <v>63.02</v>
      </c>
      <c r="C47" s="133">
        <v>3.08</v>
      </c>
      <c r="D47" s="133">
        <v>2.04</v>
      </c>
      <c r="E47" s="168">
        <v>10.4</v>
      </c>
      <c r="F47" s="168">
        <v>14.9</v>
      </c>
      <c r="G47" s="134">
        <f t="shared" ref="G47:G61" si="35">IF(C47&gt;0,+D47+C47,"")</f>
        <v>5.12</v>
      </c>
      <c r="H47" s="134">
        <f t="shared" ref="H47:H61" si="36">IF(C47&gt;0,+D47/C47,"")</f>
        <v>0.66233766233766234</v>
      </c>
      <c r="I47" s="135"/>
      <c r="J47" s="104"/>
      <c r="K47" s="132" t="str">
        <f>A5</f>
        <v>Act 20-21</v>
      </c>
      <c r="L47" s="133">
        <v>62.59</v>
      </c>
      <c r="M47" s="133">
        <v>3.21</v>
      </c>
      <c r="N47" s="133">
        <v>2.46</v>
      </c>
      <c r="O47" s="168">
        <v>4.57</v>
      </c>
      <c r="P47" s="168">
        <v>33.83</v>
      </c>
      <c r="Q47" s="134">
        <f t="shared" ref="Q47:Q61" si="37">IF(M47&gt;0,+N47+M47,"")</f>
        <v>5.67</v>
      </c>
      <c r="R47" s="134">
        <f t="shared" ref="R47:R61" si="38">IF(M47&gt;0,+N47/M47,"")</f>
        <v>0.76635514018691586</v>
      </c>
      <c r="S47" s="135"/>
      <c r="T47" s="104"/>
      <c r="U47" s="132" t="str">
        <f>K47</f>
        <v>Act 20-21</v>
      </c>
      <c r="V47" s="133">
        <v>63.2</v>
      </c>
      <c r="W47" s="133">
        <v>2.75</v>
      </c>
      <c r="X47" s="133">
        <v>2.11</v>
      </c>
      <c r="Y47" s="168">
        <v>9.4700000000000006</v>
      </c>
      <c r="Z47" s="168">
        <v>13.3</v>
      </c>
      <c r="AA47" s="134">
        <f t="shared" ref="AA47:AA61" si="39">IF(W47&gt;0,+X47+W47,"")</f>
        <v>4.8599999999999994</v>
      </c>
      <c r="AB47" s="134">
        <f t="shared" ref="AB47:AB61" si="40">IF(W47&gt;0,+X47/W47,"")</f>
        <v>0.76727272727272722</v>
      </c>
      <c r="AC47" s="135"/>
      <c r="AD47" s="104"/>
      <c r="AE47" s="132" t="str">
        <f>K47</f>
        <v>Act 20-21</v>
      </c>
      <c r="AF47" s="139">
        <v>62.85</v>
      </c>
      <c r="AG47" s="134">
        <v>3.25</v>
      </c>
      <c r="AH47" s="134">
        <v>2.23</v>
      </c>
      <c r="AI47" s="168">
        <v>4.5999999999999996</v>
      </c>
      <c r="AJ47" s="168">
        <v>32.520000000000003</v>
      </c>
      <c r="AK47" s="134">
        <f t="shared" ref="AK47:AK61" si="41">IF(AG47&gt;0,+AH47+AG47,"")</f>
        <v>5.48</v>
      </c>
      <c r="AL47" s="134">
        <f t="shared" ref="AL47:AL61" si="42">IF(AG47&gt;0,+AH47/AG47,"")</f>
        <v>0.68615384615384611</v>
      </c>
      <c r="AM47" s="140"/>
      <c r="AN47" s="104"/>
      <c r="AO47" s="136" t="str">
        <f>AE47</f>
        <v>Act 20-21</v>
      </c>
      <c r="AP47" s="133">
        <v>62.318637394881399</v>
      </c>
      <c r="AQ47" s="133">
        <v>3.7537683237525985</v>
      </c>
      <c r="AR47" s="133">
        <v>2.2724633358892108</v>
      </c>
      <c r="AS47" s="133">
        <v>17.803202500636203</v>
      </c>
      <c r="AT47" s="133">
        <v>20.928880961563451</v>
      </c>
      <c r="AU47" s="134">
        <f t="shared" ref="AU47:AU48" si="43">IF(AQ47&gt;0,+AR47+AQ47,"")</f>
        <v>6.0262316596418088</v>
      </c>
      <c r="AV47" s="134">
        <f t="shared" ref="AV47:AV48" si="44">IF(AQ47=0,0,AR47/AQ47)</f>
        <v>0.6053818829227734</v>
      </c>
      <c r="AW47" s="140"/>
      <c r="AX47" s="104"/>
      <c r="AY47" s="136" t="str">
        <f>+AO47</f>
        <v>Act 20-21</v>
      </c>
      <c r="AZ47" s="133">
        <v>61.494951488116712</v>
      </c>
      <c r="BA47" s="133">
        <v>4.7055199243780219</v>
      </c>
      <c r="BB47" s="133">
        <v>2.5995513770927552</v>
      </c>
      <c r="BC47" s="133">
        <v>5.8060985872957867</v>
      </c>
      <c r="BD47" s="133">
        <v>39.048325883245617</v>
      </c>
      <c r="BE47" s="134">
        <f t="shared" ref="BE47:BE48" si="45">IF(BA47&gt;0,+BB47+BA47,"")</f>
        <v>7.3050713014707771</v>
      </c>
      <c r="BF47" s="134">
        <f t="shared" ref="BF47:BF48" si="46">IF(BA47=0,0,BB47/BA47)</f>
        <v>0.55244721494540594</v>
      </c>
      <c r="BG47" s="140"/>
    </row>
    <row r="48" spans="1:60" ht="21" x14ac:dyDescent="0.25">
      <c r="A48" s="145" t="str">
        <f>A6</f>
        <v>APP 21-22</v>
      </c>
      <c r="B48" s="146">
        <f t="array" ref="B48:F48">BSP!B48:F48</f>
        <v>62.5</v>
      </c>
      <c r="C48" s="147">
        <v>2.4</v>
      </c>
      <c r="D48" s="147">
        <v>2.4</v>
      </c>
      <c r="E48" s="147">
        <v>5</v>
      </c>
      <c r="F48" s="147">
        <v>10</v>
      </c>
      <c r="G48" s="147">
        <f t="shared" si="35"/>
        <v>4.8</v>
      </c>
      <c r="H48" s="148">
        <f t="shared" si="36"/>
        <v>1</v>
      </c>
      <c r="I48" s="149"/>
      <c r="J48" s="153"/>
      <c r="K48" s="145" t="str">
        <f>A6</f>
        <v>APP 21-22</v>
      </c>
      <c r="L48" s="146">
        <f t="array" ref="L48:P48">BSP!L48:P48</f>
        <v>62.2</v>
      </c>
      <c r="M48" s="147">
        <v>3</v>
      </c>
      <c r="N48" s="147">
        <v>3</v>
      </c>
      <c r="O48" s="147">
        <v>5</v>
      </c>
      <c r="P48" s="147">
        <v>40</v>
      </c>
      <c r="Q48" s="147">
        <f t="shared" si="37"/>
        <v>6</v>
      </c>
      <c r="R48" s="148">
        <f t="shared" si="38"/>
        <v>1</v>
      </c>
      <c r="S48" s="149"/>
      <c r="T48" s="104"/>
      <c r="U48" s="145" t="str">
        <f>K48</f>
        <v>APP 21-22</v>
      </c>
      <c r="V48" s="146">
        <f t="array" ref="V48:Z48">BSP!V48:AA48</f>
        <v>63</v>
      </c>
      <c r="W48" s="147">
        <v>2.5</v>
      </c>
      <c r="X48" s="147">
        <v>2.2000000000000002</v>
      </c>
      <c r="Y48" s="147">
        <v>10</v>
      </c>
      <c r="Z48" s="147">
        <v>10</v>
      </c>
      <c r="AA48" s="147">
        <f t="shared" si="39"/>
        <v>4.7</v>
      </c>
      <c r="AB48" s="148">
        <f t="shared" si="40"/>
        <v>0.88000000000000012</v>
      </c>
      <c r="AC48" s="149"/>
      <c r="AD48" s="153"/>
      <c r="AE48" s="145" t="str">
        <f>K48</f>
        <v>APP 21-22</v>
      </c>
      <c r="AF48" s="147">
        <f t="array" ref="AF48:AJ48">BSP!AF48:AJ48</f>
        <v>63</v>
      </c>
      <c r="AG48" s="147">
        <v>2.8</v>
      </c>
      <c r="AH48" s="147">
        <v>2.4</v>
      </c>
      <c r="AI48" s="147">
        <v>5</v>
      </c>
      <c r="AJ48" s="147">
        <v>40</v>
      </c>
      <c r="AK48" s="147">
        <f t="shared" si="41"/>
        <v>5.1999999999999993</v>
      </c>
      <c r="AL48" s="154">
        <f t="shared" si="42"/>
        <v>0.85714285714285721</v>
      </c>
      <c r="AM48" s="155"/>
      <c r="AN48" s="104"/>
      <c r="AO48" s="156" t="str">
        <f t="shared" ref="AO48:AO61" si="47">K48</f>
        <v>APP 21-22</v>
      </c>
      <c r="AP48" s="146">
        <v>62.358211330362828</v>
      </c>
      <c r="AQ48" s="147">
        <v>3.5397835773392745</v>
      </c>
      <c r="AR48" s="147">
        <v>2.2667568427753024</v>
      </c>
      <c r="AS48" s="147">
        <v>10</v>
      </c>
      <c r="AT48" s="147">
        <v>10</v>
      </c>
      <c r="AU48" s="147">
        <f t="shared" si="43"/>
        <v>5.8065404201145769</v>
      </c>
      <c r="AV48" s="148">
        <f t="shared" si="44"/>
        <v>0.64036594137745007</v>
      </c>
      <c r="AW48" s="155">
        <f t="shared" ref="AW48:AW60" si="48">+I6+I27+I48+AC6+AC27+AC48+AW6+AW27</f>
        <v>0</v>
      </c>
      <c r="AX48" s="152"/>
      <c r="AY48" s="156" t="str">
        <f>+AO48</f>
        <v>APP 21-22</v>
      </c>
      <c r="AZ48" s="146">
        <v>61.62531919497944</v>
      </c>
      <c r="BA48" s="147">
        <v>4.433888768664791</v>
      </c>
      <c r="BB48" s="147">
        <v>2.8563081584072711</v>
      </c>
      <c r="BC48" s="147">
        <v>5</v>
      </c>
      <c r="BD48" s="147">
        <v>40</v>
      </c>
      <c r="BE48" s="147">
        <f t="shared" si="45"/>
        <v>7.2901969270720617</v>
      </c>
      <c r="BF48" s="148">
        <f t="shared" si="46"/>
        <v>0.64419932646786082</v>
      </c>
      <c r="BG48" s="155">
        <f t="shared" ref="BG48:BG60" si="49">+S6+S27+S48+AM6+AM27+AM48+BG6+BG27</f>
        <v>0</v>
      </c>
    </row>
    <row r="49" spans="1:59" ht="21" x14ac:dyDescent="0.25">
      <c r="A49" s="166">
        <f>A7</f>
        <v>44287</v>
      </c>
      <c r="B49" s="167"/>
      <c r="C49" s="168"/>
      <c r="D49" s="168"/>
      <c r="E49" s="168"/>
      <c r="F49" s="168"/>
      <c r="G49" s="168" t="str">
        <f t="shared" si="35"/>
        <v/>
      </c>
      <c r="H49" s="169" t="str">
        <f t="shared" si="36"/>
        <v/>
      </c>
      <c r="I49" s="170">
        <f>IF(D49&gt;0,IFERROR(GETPIVOTDATA("act_qty",RECPT!$A$3,"yymm","202104","unit","TAL","comm","L"),0),)</f>
        <v>0</v>
      </c>
      <c r="J49" s="171"/>
      <c r="K49" s="166">
        <f>A7</f>
        <v>44287</v>
      </c>
      <c r="L49" s="167"/>
      <c r="M49" s="168"/>
      <c r="N49" s="168"/>
      <c r="O49" s="168"/>
      <c r="P49" s="168"/>
      <c r="Q49" s="168" t="str">
        <f t="shared" si="37"/>
        <v/>
      </c>
      <c r="R49" s="169" t="str">
        <f t="shared" si="38"/>
        <v/>
      </c>
      <c r="S49" s="170">
        <f>IF(N49&gt;0,IFERROR(GETPIVOTDATA("act_qty",RECPT!$A$3,"yymm","202104","unit","TAL","comm","F"),0),)</f>
        <v>0</v>
      </c>
      <c r="T49" s="104"/>
      <c r="U49" s="166">
        <f>A7</f>
        <v>44287</v>
      </c>
      <c r="V49" s="167">
        <v>63.49</v>
      </c>
      <c r="W49" s="168">
        <v>2.52</v>
      </c>
      <c r="X49" s="168">
        <v>2.1</v>
      </c>
      <c r="Y49" s="168">
        <v>7.3</v>
      </c>
      <c r="Z49" s="168">
        <v>11.9</v>
      </c>
      <c r="AA49" s="168">
        <f t="shared" si="39"/>
        <v>4.62</v>
      </c>
      <c r="AB49" s="169">
        <f t="shared" si="40"/>
        <v>0.83333333333333337</v>
      </c>
      <c r="AC49" s="170">
        <f>IF(X49&gt;0,IFERROR(GETPIVOTDATA("act_qty",RECPT!$A$3,"yymm","202104","unit","MPR","comm","L"),0),)</f>
        <v>3340</v>
      </c>
      <c r="AD49" s="171"/>
      <c r="AE49" s="166">
        <f>A7</f>
        <v>44287</v>
      </c>
      <c r="AF49" s="167">
        <v>63.37</v>
      </c>
      <c r="AG49" s="168">
        <v>2.58</v>
      </c>
      <c r="AH49" s="168">
        <v>2.14</v>
      </c>
      <c r="AI49" s="168">
        <v>5</v>
      </c>
      <c r="AJ49" s="168">
        <v>36.200000000000003</v>
      </c>
      <c r="AK49" s="168">
        <f t="shared" si="41"/>
        <v>4.7200000000000006</v>
      </c>
      <c r="AL49" s="169">
        <f t="shared" si="42"/>
        <v>0.8294573643410853</v>
      </c>
      <c r="AM49" s="170">
        <f>IF(AH49&gt;0,IFERROR(GETPIVOTDATA("act_qty",RECPT!$A$3,"yymm","202104","unit","MPR","comm","F"),0),)</f>
        <v>7086</v>
      </c>
      <c r="AN49" s="104"/>
      <c r="AO49" s="172">
        <f t="shared" si="47"/>
        <v>44287</v>
      </c>
      <c r="AP49" s="167">
        <f t="shared" ref="AP49:AP60" si="50">IF(AW49=0,0,(B7*$I7+B28*$I28+B49*$I49+V7*$AC7+V28*$AC28+V49*$AC49+AP7*$AW7+AP28*$AW28)/$AW49)</f>
        <v>62.058575761820144</v>
      </c>
      <c r="AQ49" s="168">
        <f t="shared" ref="AQ49:AQ60" si="51">IF(AW49=0,0,(C7*$I7+C28*$I28+C49*$I49+W7*$AC7+W28*$AC28+W49*$AC49+AQ7*$AW7+AQ28*$AW28)/$AW49)</f>
        <v>4.5230840475169183</v>
      </c>
      <c r="AR49" s="168">
        <f t="shared" ref="AR49:AR60" si="52">IF(AW49=0,0,(D7*$I7+D28*$I28+D49*$I49+X7*$AC7+X28*$AC28+X49*$AC49+AR7*$AW7+AR28*$AW28)/$AW49)</f>
        <v>2.5169739917536962</v>
      </c>
      <c r="AS49" s="168">
        <f t="shared" ref="AS49:AS60" si="53">IF(AW49=0,0,(E7*$I7+E28*$I28+E49*$I49+Y7*$AC7+Y28*$AC28+Y49*$AC49+AS7*$AW7+AS28*$AW28)/$AW49)</f>
        <v>19.596941908205157</v>
      </c>
      <c r="AT49" s="168">
        <f t="shared" ref="AT49:AT60" si="54">IF(AW49=0,0,(F7*$I7+F28*$I28+F49*$I49+Z7*$AC7+Z28*$AC28+Z49*$AC49+AT7*$AW7+AT28*$AW28)/$AW49)</f>
        <v>22.685941759386516</v>
      </c>
      <c r="AU49" s="168">
        <f t="shared" ref="AU49:AU61" si="55">IF(AQ49&gt;0,+AR49+AQ49,"")</f>
        <v>7.0400580392706145</v>
      </c>
      <c r="AV49" s="169">
        <f t="shared" ref="AV49:AV60" si="56">IF(AQ49=0,0,AR49/AQ49)</f>
        <v>0.55647296519627221</v>
      </c>
      <c r="AW49" s="170">
        <f t="shared" si="48"/>
        <v>228466</v>
      </c>
      <c r="AX49" s="104"/>
      <c r="AY49" s="172">
        <f t="shared" ref="AY49:AY60" si="57">AO49</f>
        <v>44287</v>
      </c>
      <c r="AZ49" s="167">
        <f t="shared" ref="AZ49:AZ60" si="58">IF(BG49=0,0,((L7*$S7+L28*$S28+L49*$S49+AF7*$AM7+AF28*$AM28+AF49*$AM49+AZ7*$BG7+AZ28*$BG28)/$BG49))</f>
        <v>60.89779731793174</v>
      </c>
      <c r="BA49" s="168">
        <f t="shared" ref="BA49:BA60" si="59">IF(BG49=0,0,((M7*$S7+M28*$S28+M49*$S49+AG7*$AM7+AG28*$AM28+AG49*$AM49+BA7*$BG7+BA28*$BG28)/$BG49))</f>
        <v>5.6564538360220071</v>
      </c>
      <c r="BB49" s="168">
        <f t="shared" ref="BB49:BB60" si="60">IF(BG49=0,0,((N7*$S7+N28*$S28+N49*$S49+AH7*$AM7+AH28*$AM28+AH49*$AM49+BB7*$BG7+BB28*$BG28)/$BG49))</f>
        <v>2.5717407508858634</v>
      </c>
      <c r="BC49" s="168">
        <f t="shared" ref="BC49:BC60" si="61">IF(BG49=0,0,((O7*$S7+O28*$S28+O49*$S49+AI7*$AM7+AI28*$AM28+AI49*$AM49+BC7*$BG7+BC28*$BG28)/$BG49))</f>
        <v>6.0978419316486381</v>
      </c>
      <c r="BD49" s="168">
        <f t="shared" ref="BD49:BD60" si="62">IF(BG49=0,0,((P7*$S7+P28*$S28+P49*$S49+AJ7*$AM7+AJ28*$AM28+AJ49*$AM49+BD7*$BG7+BD28*$BG28)/$BG49))</f>
        <v>38.947133240861618</v>
      </c>
      <c r="BE49" s="168">
        <f t="shared" ref="BE49:BE61" si="63">IF(BA49&gt;0,+BB49+BA49,"")</f>
        <v>8.2281945869078701</v>
      </c>
      <c r="BF49" s="169">
        <f t="shared" ref="BF49:BF60" si="64">IF(BA49=0,0,BB49/BA49)</f>
        <v>0.45465601336799416</v>
      </c>
      <c r="BG49" s="170">
        <f t="shared" si="49"/>
        <v>343168</v>
      </c>
    </row>
    <row r="50" spans="1:59" ht="21" x14ac:dyDescent="0.25">
      <c r="A50" s="166">
        <f t="shared" ref="A50:A60" si="65">A8</f>
        <v>44317</v>
      </c>
      <c r="B50" s="167"/>
      <c r="C50" s="168"/>
      <c r="D50" s="168"/>
      <c r="E50" s="168"/>
      <c r="F50" s="168"/>
      <c r="G50" s="168" t="str">
        <f t="shared" si="35"/>
        <v/>
      </c>
      <c r="H50" s="169" t="str">
        <f t="shared" si="36"/>
        <v/>
      </c>
      <c r="I50" s="170">
        <f>IF(D50&gt;0,IFERROR(GETPIVOTDATA("act_qty",RECPT!$A$3,"yymm","202105","unit","TAL","comm","L"),0),)</f>
        <v>0</v>
      </c>
      <c r="J50" s="171"/>
      <c r="K50" s="166">
        <f t="shared" ref="K50:K60" si="66">A8</f>
        <v>44317</v>
      </c>
      <c r="L50" s="167"/>
      <c r="M50" s="168"/>
      <c r="N50" s="168"/>
      <c r="O50" s="168"/>
      <c r="P50" s="168"/>
      <c r="Q50" s="168" t="str">
        <f t="shared" si="37"/>
        <v/>
      </c>
      <c r="R50" s="169" t="str">
        <f t="shared" si="38"/>
        <v/>
      </c>
      <c r="S50" s="170">
        <f>IF(N50&gt;0,IFERROR(GETPIVOTDATA("act_qty",RECPT!$A$3,"yymm","202105","unit","TAL","comm","F"),0),)</f>
        <v>0</v>
      </c>
      <c r="T50" s="104"/>
      <c r="U50" s="166">
        <f t="shared" ref="U50:U60" si="67">A8</f>
        <v>44317</v>
      </c>
      <c r="V50" s="167">
        <v>63.36</v>
      </c>
      <c r="W50" s="168">
        <v>2.5</v>
      </c>
      <c r="X50" s="168">
        <v>2.2799999999999998</v>
      </c>
      <c r="Y50" s="168">
        <v>8.26</v>
      </c>
      <c r="Z50" s="168">
        <v>9.52</v>
      </c>
      <c r="AA50" s="168">
        <f t="shared" si="39"/>
        <v>4.7799999999999994</v>
      </c>
      <c r="AB50" s="169">
        <f t="shared" si="40"/>
        <v>0.91199999999999992</v>
      </c>
      <c r="AC50" s="170">
        <f>IF(X50&gt;0,IFERROR(GETPIVOTDATA("act_qty",RECPT!$A$3,"yymm","202105","unit","MPR","comm","L"),0),)</f>
        <v>17229</v>
      </c>
      <c r="AD50" s="171"/>
      <c r="AE50" s="166">
        <f t="shared" ref="AE50:AE60" si="68">A8</f>
        <v>44317</v>
      </c>
      <c r="AF50" s="167">
        <v>63.27</v>
      </c>
      <c r="AG50" s="168">
        <v>2.57</v>
      </c>
      <c r="AH50" s="168">
        <v>2.31</v>
      </c>
      <c r="AI50" s="168">
        <v>4.68</v>
      </c>
      <c r="AJ50" s="168">
        <v>33.79</v>
      </c>
      <c r="AK50" s="168">
        <f t="shared" si="41"/>
        <v>4.88</v>
      </c>
      <c r="AL50" s="169">
        <f t="shared" si="42"/>
        <v>0.89883268482490275</v>
      </c>
      <c r="AM50" s="170">
        <f>IF(AH50&gt;0,IFERROR(GETPIVOTDATA("act_qty",RECPT!$A$3,"yymm","202105","unit","MPR","comm","F"),0),)</f>
        <v>28141</v>
      </c>
      <c r="AN50" s="104"/>
      <c r="AO50" s="172">
        <f t="shared" si="47"/>
        <v>44317</v>
      </c>
      <c r="AP50" s="167">
        <f t="shared" si="50"/>
        <v>62.154821486150425</v>
      </c>
      <c r="AQ50" s="168">
        <f t="shared" si="51"/>
        <v>3.5880517851384952</v>
      </c>
      <c r="AR50" s="168">
        <f t="shared" si="52"/>
        <v>2.6748789074060166</v>
      </c>
      <c r="AS50" s="168">
        <f t="shared" si="53"/>
        <v>16.218000724391224</v>
      </c>
      <c r="AT50" s="168">
        <f t="shared" si="54"/>
        <v>22.458656872661741</v>
      </c>
      <c r="AU50" s="168">
        <f t="shared" si="55"/>
        <v>6.2629306925445114</v>
      </c>
      <c r="AV50" s="169">
        <f t="shared" si="56"/>
        <v>0.74549618221376057</v>
      </c>
      <c r="AW50" s="170">
        <f t="shared" si="48"/>
        <v>226397</v>
      </c>
      <c r="AX50" s="104"/>
      <c r="AY50" s="172">
        <f t="shared" si="57"/>
        <v>44317</v>
      </c>
      <c r="AZ50" s="167">
        <f t="shared" si="58"/>
        <v>61.261855581837452</v>
      </c>
      <c r="BA50" s="168">
        <f t="shared" si="59"/>
        <v>4.9437789685246187</v>
      </c>
      <c r="BB50" s="168">
        <f t="shared" si="60"/>
        <v>2.7660990988376315</v>
      </c>
      <c r="BC50" s="168">
        <f t="shared" si="61"/>
        <v>5.0152785839706295</v>
      </c>
      <c r="BD50" s="168">
        <f t="shared" si="62"/>
        <v>42.257343892847295</v>
      </c>
      <c r="BE50" s="168">
        <f t="shared" si="63"/>
        <v>7.7098780673622507</v>
      </c>
      <c r="BF50" s="169">
        <f t="shared" si="64"/>
        <v>0.5595110777501292</v>
      </c>
      <c r="BG50" s="170">
        <f t="shared" si="49"/>
        <v>275644</v>
      </c>
    </row>
    <row r="51" spans="1:59" ht="21" x14ac:dyDescent="0.25">
      <c r="A51" s="166">
        <f t="shared" si="65"/>
        <v>44348</v>
      </c>
      <c r="B51" s="167"/>
      <c r="C51" s="168"/>
      <c r="D51" s="168"/>
      <c r="E51" s="168"/>
      <c r="F51" s="168"/>
      <c r="G51" s="168" t="str">
        <f t="shared" si="35"/>
        <v/>
      </c>
      <c r="H51" s="169" t="str">
        <f t="shared" si="36"/>
        <v/>
      </c>
      <c r="I51" s="170">
        <f>IF(D51&gt;0,IFERROR(GETPIVOTDATA("act_qty",RECPT!$A$3,"yymm","202106","unit","TAL","comm","L"),0),)</f>
        <v>0</v>
      </c>
      <c r="J51" s="171"/>
      <c r="K51" s="166">
        <f t="shared" si="66"/>
        <v>44348</v>
      </c>
      <c r="L51" s="167"/>
      <c r="M51" s="168"/>
      <c r="N51" s="168"/>
      <c r="O51" s="168"/>
      <c r="P51" s="168"/>
      <c r="Q51" s="168" t="str">
        <f t="shared" si="37"/>
        <v/>
      </c>
      <c r="R51" s="169" t="str">
        <f t="shared" si="38"/>
        <v/>
      </c>
      <c r="S51" s="170">
        <f>IF(N51&gt;0,IFERROR(GETPIVOTDATA("act_qty",RECPT!$A$3,"yymm","202106","unit","TAL","comm","F"),0),)</f>
        <v>0</v>
      </c>
      <c r="T51" s="104"/>
      <c r="U51" s="166">
        <f t="shared" si="67"/>
        <v>44348</v>
      </c>
      <c r="V51" s="167">
        <v>0</v>
      </c>
      <c r="W51" s="168">
        <v>0</v>
      </c>
      <c r="X51" s="168">
        <v>0</v>
      </c>
      <c r="Y51" s="168">
        <v>0</v>
      </c>
      <c r="Z51" s="168">
        <v>0</v>
      </c>
      <c r="AA51" s="168" t="str">
        <f t="shared" si="39"/>
        <v/>
      </c>
      <c r="AB51" s="169" t="str">
        <f t="shared" si="40"/>
        <v/>
      </c>
      <c r="AC51" s="170">
        <f>IF(X51&gt;0,IFERROR(GETPIVOTDATA("act_qty",RECPT!$A$3,"yymm","202106","unit","MPR","comm","L"),0),)</f>
        <v>0</v>
      </c>
      <c r="AD51" s="171"/>
      <c r="AE51" s="166">
        <f t="shared" si="68"/>
        <v>44348</v>
      </c>
      <c r="AF51" s="167">
        <v>63.1</v>
      </c>
      <c r="AG51" s="168">
        <v>2.67</v>
      </c>
      <c r="AH51" s="168">
        <v>2.5099999999999998</v>
      </c>
      <c r="AI51" s="168">
        <v>5</v>
      </c>
      <c r="AJ51" s="168">
        <v>35.6</v>
      </c>
      <c r="AK51" s="168">
        <f t="shared" si="41"/>
        <v>5.18</v>
      </c>
      <c r="AL51" s="169">
        <f t="shared" si="42"/>
        <v>0.94007490636704116</v>
      </c>
      <c r="AM51" s="170">
        <f>IF(AH51&gt;0,IFERROR(GETPIVOTDATA("act_qty",RECPT!$A$3,"yymm","202106","unit","MPR","comm","F"),0),)</f>
        <v>3572</v>
      </c>
      <c r="AN51" s="104"/>
      <c r="AO51" s="172">
        <f t="shared" si="47"/>
        <v>44348</v>
      </c>
      <c r="AP51" s="167">
        <f t="shared" si="50"/>
        <v>61.850853051739762</v>
      </c>
      <c r="AQ51" s="168">
        <f t="shared" si="51"/>
        <v>4.0932417103921512</v>
      </c>
      <c r="AR51" s="168">
        <f t="shared" si="52"/>
        <v>2.6223729918734056</v>
      </c>
      <c r="AS51" s="168">
        <f t="shared" si="53"/>
        <v>13.395874341929639</v>
      </c>
      <c r="AT51" s="168">
        <f t="shared" si="54"/>
        <v>28.346640526193717</v>
      </c>
      <c r="AU51" s="168">
        <f t="shared" si="55"/>
        <v>6.7156147022655563</v>
      </c>
      <c r="AV51" s="169">
        <f t="shared" si="56"/>
        <v>0.64065920788786501</v>
      </c>
      <c r="AW51" s="170">
        <f t="shared" si="48"/>
        <v>228509</v>
      </c>
      <c r="AX51" s="104"/>
      <c r="AY51" s="172">
        <f t="shared" si="57"/>
        <v>44348</v>
      </c>
      <c r="AZ51" s="167">
        <f t="shared" si="58"/>
        <v>61.055054976688879</v>
      </c>
      <c r="BA51" s="168">
        <f t="shared" si="59"/>
        <v>5.3941255671328889</v>
      </c>
      <c r="BB51" s="168">
        <f t="shared" si="60"/>
        <v>2.6817503676585619</v>
      </c>
      <c r="BC51" s="168">
        <f t="shared" si="61"/>
        <v>5.3554340874245128</v>
      </c>
      <c r="BD51" s="168">
        <f t="shared" si="62"/>
        <v>43.068849807565933</v>
      </c>
      <c r="BE51" s="168">
        <f t="shared" si="63"/>
        <v>8.0758759347914513</v>
      </c>
      <c r="BF51" s="169">
        <f t="shared" si="64"/>
        <v>0.49716127929961751</v>
      </c>
      <c r="BG51" s="170">
        <f t="shared" si="49"/>
        <v>319590</v>
      </c>
    </row>
    <row r="52" spans="1:59" ht="21" x14ac:dyDescent="0.25">
      <c r="A52" s="166">
        <f t="shared" si="65"/>
        <v>44378</v>
      </c>
      <c r="B52" s="167"/>
      <c r="C52" s="168"/>
      <c r="D52" s="168"/>
      <c r="E52" s="168"/>
      <c r="F52" s="168"/>
      <c r="G52" s="168" t="str">
        <f t="shared" si="35"/>
        <v/>
      </c>
      <c r="H52" s="169" t="str">
        <f t="shared" si="36"/>
        <v/>
      </c>
      <c r="I52" s="170">
        <f>IF(D52&gt;0,IFERROR(GETPIVOTDATA("act_qty",RECPT!$A$3,"yymm","202107","unit","TAL","comm","L"),0),)</f>
        <v>0</v>
      </c>
      <c r="J52" s="171"/>
      <c r="K52" s="166">
        <f t="shared" si="66"/>
        <v>44378</v>
      </c>
      <c r="L52" s="167"/>
      <c r="M52" s="168"/>
      <c r="N52" s="168"/>
      <c r="O52" s="168"/>
      <c r="P52" s="168"/>
      <c r="Q52" s="168" t="str">
        <f t="shared" si="37"/>
        <v/>
      </c>
      <c r="R52" s="169" t="str">
        <f t="shared" si="38"/>
        <v/>
      </c>
      <c r="S52" s="170">
        <f>IF(N52&gt;0,IFERROR(GETPIVOTDATA("act_qty",RECPT!$A$3,"yymm","202107","unit","TAL","comm","F"),0),)</f>
        <v>0</v>
      </c>
      <c r="T52" s="104"/>
      <c r="U52" s="166">
        <f t="shared" si="67"/>
        <v>44378</v>
      </c>
      <c r="V52" s="167">
        <v>0</v>
      </c>
      <c r="W52" s="168">
        <v>0</v>
      </c>
      <c r="X52" s="168">
        <v>0</v>
      </c>
      <c r="Y52" s="168">
        <v>0</v>
      </c>
      <c r="Z52" s="168">
        <v>0</v>
      </c>
      <c r="AA52" s="168" t="str">
        <f t="shared" si="39"/>
        <v/>
      </c>
      <c r="AB52" s="169" t="str">
        <f t="shared" si="40"/>
        <v/>
      </c>
      <c r="AC52" s="170">
        <f>IF(X52&gt;0,IFERROR(GETPIVOTDATA("act_qty",RECPT!$A$3,"yymm","202107","unit","MPR","comm","L"),0),)</f>
        <v>0</v>
      </c>
      <c r="AD52" s="171"/>
      <c r="AE52" s="166">
        <f t="shared" si="68"/>
        <v>44378</v>
      </c>
      <c r="AF52" s="167">
        <v>0</v>
      </c>
      <c r="AG52" s="168">
        <v>0</v>
      </c>
      <c r="AH52" s="168">
        <v>0</v>
      </c>
      <c r="AI52" s="168">
        <v>0</v>
      </c>
      <c r="AJ52" s="168">
        <v>0</v>
      </c>
      <c r="AK52" s="168" t="str">
        <f t="shared" si="41"/>
        <v/>
      </c>
      <c r="AL52" s="169" t="str">
        <f t="shared" si="42"/>
        <v/>
      </c>
      <c r="AM52" s="170">
        <f>IF(AH52&gt;0,IFERROR(GETPIVOTDATA("act_qty",RECPT!$A$3,"yymm","202107","unit","MPR","comm","F"),0),)</f>
        <v>0</v>
      </c>
      <c r="AN52" s="104"/>
      <c r="AO52" s="172">
        <f t="shared" si="47"/>
        <v>44378</v>
      </c>
      <c r="AP52" s="167">
        <f t="shared" si="50"/>
        <v>61.576314623667237</v>
      </c>
      <c r="AQ52" s="168">
        <f t="shared" si="51"/>
        <v>4.4128027649433692</v>
      </c>
      <c r="AR52" s="168">
        <f t="shared" si="52"/>
        <v>2.61751361617176</v>
      </c>
      <c r="AS52" s="168">
        <f t="shared" si="53"/>
        <v>12.888832876423876</v>
      </c>
      <c r="AT52" s="168">
        <f t="shared" si="54"/>
        <v>29.4821227054979</v>
      </c>
      <c r="AU52" s="168">
        <f t="shared" si="55"/>
        <v>7.0303163811151297</v>
      </c>
      <c r="AV52" s="169">
        <f t="shared" si="56"/>
        <v>0.59316351887876673</v>
      </c>
      <c r="AW52" s="170">
        <f t="shared" si="48"/>
        <v>246949</v>
      </c>
      <c r="AX52" s="104"/>
      <c r="AY52" s="172">
        <f t="shared" si="57"/>
        <v>44378</v>
      </c>
      <c r="AZ52" s="167">
        <f t="shared" si="58"/>
        <v>60.644935299993456</v>
      </c>
      <c r="BA52" s="168">
        <f t="shared" si="59"/>
        <v>5.7938050490763855</v>
      </c>
      <c r="BB52" s="168">
        <f t="shared" si="60"/>
        <v>2.7718214183061036</v>
      </c>
      <c r="BC52" s="168">
        <f t="shared" si="61"/>
        <v>5.3022916352439307</v>
      </c>
      <c r="BD52" s="168">
        <f t="shared" si="62"/>
        <v>43.304487309009055</v>
      </c>
      <c r="BE52" s="168">
        <f t="shared" si="63"/>
        <v>8.56562646738249</v>
      </c>
      <c r="BF52" s="169">
        <f t="shared" si="64"/>
        <v>0.47841123317533291</v>
      </c>
      <c r="BG52" s="170">
        <f t="shared" si="49"/>
        <v>351391</v>
      </c>
    </row>
    <row r="53" spans="1:59" ht="21" x14ac:dyDescent="0.25">
      <c r="A53" s="166">
        <f t="shared" si="65"/>
        <v>44409</v>
      </c>
      <c r="B53" s="167"/>
      <c r="C53" s="168"/>
      <c r="D53" s="168"/>
      <c r="E53" s="168"/>
      <c r="F53" s="168"/>
      <c r="G53" s="168" t="str">
        <f t="shared" si="35"/>
        <v/>
      </c>
      <c r="H53" s="169" t="str">
        <f t="shared" si="36"/>
        <v/>
      </c>
      <c r="I53" s="170">
        <f>IF(D53&gt;0,IFERROR(GETPIVOTDATA("act_qty",RECPT!$A$3,"yymm","202108","unit","TAL","comm","L"),0),)</f>
        <v>0</v>
      </c>
      <c r="J53" s="171"/>
      <c r="K53" s="166">
        <f t="shared" si="66"/>
        <v>44409</v>
      </c>
      <c r="L53" s="167"/>
      <c r="M53" s="168"/>
      <c r="N53" s="168"/>
      <c r="O53" s="168"/>
      <c r="P53" s="168"/>
      <c r="Q53" s="168" t="str">
        <f t="shared" si="37"/>
        <v/>
      </c>
      <c r="R53" s="169" t="str">
        <f t="shared" si="38"/>
        <v/>
      </c>
      <c r="S53" s="170">
        <f>IF(N53&gt;0,IFERROR(GETPIVOTDATA("act_qty",RECPT!$A$3,"yymm","202108","unit","TAL","comm","F"),0),)</f>
        <v>0</v>
      </c>
      <c r="T53" s="104"/>
      <c r="U53" s="166">
        <f t="shared" si="67"/>
        <v>44409</v>
      </c>
      <c r="V53" s="167">
        <v>0</v>
      </c>
      <c r="W53" s="168">
        <v>0</v>
      </c>
      <c r="X53" s="168">
        <v>0</v>
      </c>
      <c r="Y53" s="168">
        <v>0</v>
      </c>
      <c r="Z53" s="168">
        <v>0</v>
      </c>
      <c r="AA53" s="168" t="str">
        <f t="shared" si="39"/>
        <v/>
      </c>
      <c r="AB53" s="169" t="str">
        <f t="shared" si="40"/>
        <v/>
      </c>
      <c r="AC53" s="170">
        <f>IF(X53&gt;0,IFERROR(GETPIVOTDATA("act_qty",RECPT!$A$3,"yymm","202108","unit","MPR","comm","L"),0),)</f>
        <v>0</v>
      </c>
      <c r="AD53" s="171"/>
      <c r="AE53" s="166">
        <f t="shared" si="68"/>
        <v>44409</v>
      </c>
      <c r="AF53" s="167">
        <v>0</v>
      </c>
      <c r="AG53" s="168">
        <v>0</v>
      </c>
      <c r="AH53" s="168">
        <v>0</v>
      </c>
      <c r="AI53" s="168">
        <v>0</v>
      </c>
      <c r="AJ53" s="168">
        <v>0</v>
      </c>
      <c r="AK53" s="168" t="str">
        <f t="shared" si="41"/>
        <v/>
      </c>
      <c r="AL53" s="169" t="str">
        <f t="shared" si="42"/>
        <v/>
      </c>
      <c r="AM53" s="170">
        <f>IF(AH53&gt;0,IFERROR(GETPIVOTDATA("act_qty",RECPT!$A$3,"yymm","202108","unit","MPR","comm","F"),0),)</f>
        <v>0</v>
      </c>
      <c r="AN53" s="104"/>
      <c r="AO53" s="172">
        <f t="shared" si="47"/>
        <v>44409</v>
      </c>
      <c r="AP53" s="167">
        <f t="shared" si="50"/>
        <v>61.741034779100268</v>
      </c>
      <c r="AQ53" s="168">
        <f t="shared" si="51"/>
        <v>4.0797732096025818</v>
      </c>
      <c r="AR53" s="168">
        <f t="shared" si="52"/>
        <v>2.6006780714141615</v>
      </c>
      <c r="AS53" s="168">
        <f t="shared" si="53"/>
        <v>12.872157030461974</v>
      </c>
      <c r="AT53" s="168">
        <f t="shared" si="54"/>
        <v>29.789139197095018</v>
      </c>
      <c r="AU53" s="168">
        <f t="shared" si="55"/>
        <v>6.6804512810167438</v>
      </c>
      <c r="AV53" s="169">
        <f t="shared" si="56"/>
        <v>0.63745652951809506</v>
      </c>
      <c r="AW53" s="170">
        <f t="shared" si="48"/>
        <v>247850</v>
      </c>
      <c r="AX53" s="104"/>
      <c r="AY53" s="172">
        <f t="shared" si="57"/>
        <v>44409</v>
      </c>
      <c r="AZ53" s="167">
        <f t="shared" si="58"/>
        <v>60.915063898420605</v>
      </c>
      <c r="BA53" s="168">
        <f t="shared" si="59"/>
        <v>5.2647875047005739</v>
      </c>
      <c r="BB53" s="168">
        <f t="shared" si="60"/>
        <v>2.8319851990692864</v>
      </c>
      <c r="BC53" s="168">
        <f t="shared" si="61"/>
        <v>5.0711649783773627</v>
      </c>
      <c r="BD53" s="168">
        <f t="shared" si="62"/>
        <v>42.987926488906652</v>
      </c>
      <c r="BE53" s="168">
        <f t="shared" si="63"/>
        <v>8.0967727037698598</v>
      </c>
      <c r="BF53" s="169">
        <f t="shared" si="64"/>
        <v>0.53791063676184414</v>
      </c>
      <c r="BG53" s="170">
        <f t="shared" si="49"/>
        <v>340384</v>
      </c>
    </row>
    <row r="54" spans="1:59" ht="21" x14ac:dyDescent="0.25">
      <c r="A54" s="166">
        <f t="shared" si="65"/>
        <v>44440</v>
      </c>
      <c r="B54" s="167"/>
      <c r="C54" s="168"/>
      <c r="D54" s="168"/>
      <c r="E54" s="168"/>
      <c r="F54" s="168"/>
      <c r="G54" s="168" t="str">
        <f t="shared" si="35"/>
        <v/>
      </c>
      <c r="H54" s="169" t="str">
        <f t="shared" si="36"/>
        <v/>
      </c>
      <c r="I54" s="170">
        <f>IF(D54&gt;0,IFERROR(GETPIVOTDATA("act_qty",RECPT!$A$3,"yymm","202109","unit","TAL","comm","L"),0),)</f>
        <v>0</v>
      </c>
      <c r="J54" s="171"/>
      <c r="K54" s="166">
        <f t="shared" si="66"/>
        <v>44440</v>
      </c>
      <c r="L54" s="167"/>
      <c r="M54" s="168"/>
      <c r="N54" s="168"/>
      <c r="O54" s="168"/>
      <c r="P54" s="168"/>
      <c r="Q54" s="168" t="str">
        <f t="shared" si="37"/>
        <v/>
      </c>
      <c r="R54" s="169" t="str">
        <f t="shared" si="38"/>
        <v/>
      </c>
      <c r="S54" s="170">
        <f>IF(N54&gt;0,IFERROR(GETPIVOTDATA("act_qty",RECPT!$A$3,"yymm","202109","unit","TAL","comm","F"),0),)</f>
        <v>0</v>
      </c>
      <c r="T54" s="104"/>
      <c r="U54" s="166">
        <f t="shared" si="67"/>
        <v>44440</v>
      </c>
      <c r="V54" s="167">
        <v>0</v>
      </c>
      <c r="W54" s="168">
        <v>0</v>
      </c>
      <c r="X54" s="168">
        <v>0</v>
      </c>
      <c r="Y54" s="168">
        <v>0</v>
      </c>
      <c r="Z54" s="168">
        <v>0</v>
      </c>
      <c r="AA54" s="168" t="str">
        <f t="shared" si="39"/>
        <v/>
      </c>
      <c r="AB54" s="169" t="str">
        <f t="shared" si="40"/>
        <v/>
      </c>
      <c r="AC54" s="170">
        <f>IF(X54&gt;0,IFERROR(GETPIVOTDATA("act_qty",RECPT!$A$3,"yymm","202109","unit","MPR","comm","L"),0),)</f>
        <v>0</v>
      </c>
      <c r="AD54" s="171"/>
      <c r="AE54" s="166">
        <f t="shared" si="68"/>
        <v>44440</v>
      </c>
      <c r="AF54" s="167">
        <v>0</v>
      </c>
      <c r="AG54" s="168">
        <v>0</v>
      </c>
      <c r="AH54" s="168">
        <v>0</v>
      </c>
      <c r="AI54" s="168">
        <v>0</v>
      </c>
      <c r="AJ54" s="168">
        <v>0</v>
      </c>
      <c r="AK54" s="168" t="str">
        <f t="shared" si="41"/>
        <v/>
      </c>
      <c r="AL54" s="169" t="str">
        <f t="shared" si="42"/>
        <v/>
      </c>
      <c r="AM54" s="170">
        <f>IF(AH54&gt;0,IFERROR(GETPIVOTDATA("act_qty",RECPT!$A$3,"yymm","202109","unit","MPR","comm","F"),0),)</f>
        <v>0</v>
      </c>
      <c r="AN54" s="104"/>
      <c r="AO54" s="172">
        <f t="shared" si="47"/>
        <v>44440</v>
      </c>
      <c r="AP54" s="167">
        <f t="shared" si="50"/>
        <v>61.258377658241976</v>
      </c>
      <c r="AQ54" s="168">
        <f t="shared" si="51"/>
        <v>4.7787665848337308</v>
      </c>
      <c r="AR54" s="168">
        <f t="shared" si="52"/>
        <v>2.5587872176649831</v>
      </c>
      <c r="AS54" s="168">
        <f t="shared" si="53"/>
        <v>13.974188601385542</v>
      </c>
      <c r="AT54" s="168">
        <f t="shared" si="54"/>
        <v>29.365294757985545</v>
      </c>
      <c r="AU54" s="168">
        <f t="shared" si="55"/>
        <v>7.3375538024987144</v>
      </c>
      <c r="AV54" s="169">
        <f t="shared" si="56"/>
        <v>0.53544929894373816</v>
      </c>
      <c r="AW54" s="170">
        <f t="shared" si="48"/>
        <v>219553</v>
      </c>
      <c r="AX54" s="104"/>
      <c r="AY54" s="172">
        <f t="shared" si="57"/>
        <v>44440</v>
      </c>
      <c r="AZ54" s="167">
        <f t="shared" si="58"/>
        <v>60.449305424625138</v>
      </c>
      <c r="BA54" s="168">
        <f t="shared" si="59"/>
        <v>5.8416235773292389</v>
      </c>
      <c r="BB54" s="168">
        <f t="shared" si="60"/>
        <v>2.9682910213667495</v>
      </c>
      <c r="BC54" s="168">
        <f t="shared" si="61"/>
        <v>5.4722667148417612</v>
      </c>
      <c r="BD54" s="168">
        <f t="shared" si="62"/>
        <v>41.922018952520155</v>
      </c>
      <c r="BE54" s="168">
        <f t="shared" si="63"/>
        <v>8.8099145986959879</v>
      </c>
      <c r="BF54" s="169">
        <f t="shared" si="64"/>
        <v>0.50812774600650279</v>
      </c>
      <c r="BG54" s="170">
        <f t="shared" si="49"/>
        <v>304445</v>
      </c>
    </row>
    <row r="55" spans="1:59" ht="21" x14ac:dyDescent="0.25">
      <c r="A55" s="166">
        <f t="shared" si="65"/>
        <v>44470</v>
      </c>
      <c r="B55" s="167"/>
      <c r="C55" s="168"/>
      <c r="D55" s="168"/>
      <c r="E55" s="168"/>
      <c r="F55" s="168"/>
      <c r="G55" s="168" t="str">
        <f t="shared" si="35"/>
        <v/>
      </c>
      <c r="H55" s="169" t="str">
        <f t="shared" si="36"/>
        <v/>
      </c>
      <c r="I55" s="170">
        <f>IF(D55&gt;0,IFERROR(GETPIVOTDATA("act_qty",RECPT!$A$3,"yymm","202110","unit","TAL","comm","L"),0),)</f>
        <v>0</v>
      </c>
      <c r="J55" s="119"/>
      <c r="K55" s="166">
        <f t="shared" si="66"/>
        <v>44470</v>
      </c>
      <c r="L55" s="167"/>
      <c r="M55" s="168"/>
      <c r="N55" s="168"/>
      <c r="O55" s="168"/>
      <c r="P55" s="168"/>
      <c r="Q55" s="168" t="str">
        <f t="shared" si="37"/>
        <v/>
      </c>
      <c r="R55" s="169" t="str">
        <f t="shared" si="38"/>
        <v/>
      </c>
      <c r="S55" s="170">
        <f>IF(N55&gt;0,IFERROR(GETPIVOTDATA("act_qty",RECPT!$A$3,"yymm","202110","unit","TAL","comm","F"),0),)</f>
        <v>0</v>
      </c>
      <c r="T55" s="104"/>
      <c r="U55" s="166">
        <f t="shared" si="67"/>
        <v>44470</v>
      </c>
      <c r="V55" s="167">
        <v>63.32</v>
      </c>
      <c r="W55" s="168">
        <v>2.8</v>
      </c>
      <c r="X55" s="168">
        <v>1.8</v>
      </c>
      <c r="Y55" s="168">
        <v>7.6</v>
      </c>
      <c r="Z55" s="168">
        <v>10.1</v>
      </c>
      <c r="AA55" s="168">
        <f t="shared" si="39"/>
        <v>4.5999999999999996</v>
      </c>
      <c r="AB55" s="169">
        <f t="shared" si="40"/>
        <v>0.6428571428571429</v>
      </c>
      <c r="AC55" s="170">
        <f>IF(X55&gt;0,IFERROR(GETPIVOTDATA("act_qty",RECPT!$A$3,"yymm","202110","unit","MPR","comm","L"),0),)</f>
        <v>3404.2</v>
      </c>
      <c r="AD55" s="119"/>
      <c r="AE55" s="166">
        <f t="shared" si="68"/>
        <v>44470</v>
      </c>
      <c r="AF55" s="167">
        <v>0</v>
      </c>
      <c r="AG55" s="168">
        <v>0</v>
      </c>
      <c r="AH55" s="168">
        <v>0</v>
      </c>
      <c r="AI55" s="168">
        <v>0</v>
      </c>
      <c r="AJ55" s="168">
        <v>0</v>
      </c>
      <c r="AK55" s="168" t="str">
        <f t="shared" si="41"/>
        <v/>
      </c>
      <c r="AL55" s="169" t="str">
        <f t="shared" si="42"/>
        <v/>
      </c>
      <c r="AM55" s="170">
        <f>IF(AH55&gt;0,IFERROR(GETPIVOTDATA("act_qty",RECPT!$A$3,"yymm","202110","unit","MPR","comm","F"),0),)</f>
        <v>0</v>
      </c>
      <c r="AN55" s="104"/>
      <c r="AO55" s="172">
        <f t="shared" si="47"/>
        <v>44470</v>
      </c>
      <c r="AP55" s="167">
        <f t="shared" si="50"/>
        <v>61.133044961210935</v>
      </c>
      <c r="AQ55" s="168">
        <f t="shared" si="51"/>
        <v>4.8414242321624075</v>
      </c>
      <c r="AR55" s="168">
        <f t="shared" si="52"/>
        <v>2.6179070362267227</v>
      </c>
      <c r="AS55" s="168">
        <f t="shared" si="53"/>
        <v>15.663628630038245</v>
      </c>
      <c r="AT55" s="168">
        <f t="shared" si="54"/>
        <v>26.400443161671788</v>
      </c>
      <c r="AU55" s="168">
        <f t="shared" si="55"/>
        <v>7.4593312683891302</v>
      </c>
      <c r="AV55" s="169">
        <f t="shared" si="56"/>
        <v>0.5407307665450013</v>
      </c>
      <c r="AW55" s="170">
        <f t="shared" si="48"/>
        <v>235441.39</v>
      </c>
      <c r="AX55" s="104"/>
      <c r="AY55" s="172">
        <f t="shared" si="57"/>
        <v>44470</v>
      </c>
      <c r="AZ55" s="167">
        <f t="shared" si="58"/>
        <v>60.272149823528061</v>
      </c>
      <c r="BA55" s="168">
        <f t="shared" si="59"/>
        <v>5.9194717275447273</v>
      </c>
      <c r="BB55" s="168">
        <f t="shared" si="60"/>
        <v>2.9241459807735013</v>
      </c>
      <c r="BC55" s="168">
        <f t="shared" si="61"/>
        <v>5.5365037291578689</v>
      </c>
      <c r="BD55" s="168">
        <f t="shared" si="62"/>
        <v>43.136617732783691</v>
      </c>
      <c r="BE55" s="168">
        <f t="shared" si="63"/>
        <v>8.843617708318229</v>
      </c>
      <c r="BF55" s="169">
        <f t="shared" si="64"/>
        <v>0.49398765892685087</v>
      </c>
      <c r="BG55" s="170">
        <f t="shared" si="49"/>
        <v>405469.56</v>
      </c>
    </row>
    <row r="56" spans="1:59" ht="21" x14ac:dyDescent="0.25">
      <c r="A56" s="166">
        <f t="shared" si="65"/>
        <v>44501</v>
      </c>
      <c r="B56" s="167"/>
      <c r="C56" s="168"/>
      <c r="D56" s="168"/>
      <c r="E56" s="168"/>
      <c r="F56" s="168"/>
      <c r="G56" s="168" t="str">
        <f t="shared" si="35"/>
        <v/>
      </c>
      <c r="H56" s="169" t="str">
        <f t="shared" si="36"/>
        <v/>
      </c>
      <c r="I56" s="170">
        <f>IF(D56&gt;0,IFERROR(GETPIVOTDATA("act_qty",RECPT!$A$3,"yymm","202111","unit","TAL","comm","L"),0),)</f>
        <v>0</v>
      </c>
      <c r="J56" s="119"/>
      <c r="K56" s="166">
        <f t="shared" si="66"/>
        <v>44501</v>
      </c>
      <c r="L56" s="167"/>
      <c r="M56" s="168"/>
      <c r="N56" s="168"/>
      <c r="O56" s="168"/>
      <c r="P56" s="168"/>
      <c r="Q56" s="168" t="str">
        <f t="shared" si="37"/>
        <v/>
      </c>
      <c r="R56" s="169" t="str">
        <f t="shared" si="38"/>
        <v/>
      </c>
      <c r="S56" s="170">
        <f>IF(N56&gt;0,IFERROR(GETPIVOTDATA("act_qty",RECPT!$A$3,"yymm","202111","unit","TAL","comm","F"),0),)</f>
        <v>0</v>
      </c>
      <c r="T56" s="104"/>
      <c r="U56" s="166">
        <f t="shared" si="67"/>
        <v>44501</v>
      </c>
      <c r="V56" s="167">
        <v>0</v>
      </c>
      <c r="W56" s="168">
        <v>0</v>
      </c>
      <c r="X56" s="168">
        <v>0</v>
      </c>
      <c r="Y56" s="168">
        <v>0</v>
      </c>
      <c r="Z56" s="168">
        <v>0</v>
      </c>
      <c r="AA56" s="168" t="str">
        <f t="shared" si="39"/>
        <v/>
      </c>
      <c r="AB56" s="169" t="str">
        <f t="shared" si="40"/>
        <v/>
      </c>
      <c r="AC56" s="170">
        <f>IF(X56&gt;0,IFERROR(GETPIVOTDATA("act_qty",RECPT!$A$3,"yymm","202111","unit","MPR","comm","L"),0),)</f>
        <v>0</v>
      </c>
      <c r="AD56" s="119"/>
      <c r="AE56" s="166">
        <f t="shared" si="68"/>
        <v>44501</v>
      </c>
      <c r="AF56" s="167">
        <v>0</v>
      </c>
      <c r="AG56" s="168">
        <v>0</v>
      </c>
      <c r="AH56" s="168">
        <v>0</v>
      </c>
      <c r="AI56" s="168">
        <v>0</v>
      </c>
      <c r="AJ56" s="168">
        <v>0</v>
      </c>
      <c r="AK56" s="168" t="str">
        <f t="shared" si="41"/>
        <v/>
      </c>
      <c r="AL56" s="169" t="str">
        <f t="shared" si="42"/>
        <v/>
      </c>
      <c r="AM56" s="170">
        <f>IF(AH56&gt;0,IFERROR(GETPIVOTDATA("act_qty",RECPT!$A$3,"yymm","202111","unit","MPR","comm","F"),0),)</f>
        <v>0</v>
      </c>
      <c r="AN56" s="104"/>
      <c r="AO56" s="172">
        <f t="shared" si="47"/>
        <v>44501</v>
      </c>
      <c r="AP56" s="167">
        <f t="shared" si="50"/>
        <v>60.807291636495982</v>
      </c>
      <c r="AQ56" s="168">
        <f t="shared" si="51"/>
        <v>5.0068809201361102</v>
      </c>
      <c r="AR56" s="168">
        <f t="shared" si="52"/>
        <v>2.8340663433471494</v>
      </c>
      <c r="AS56" s="168">
        <f t="shared" si="53"/>
        <v>15.120417892129899</v>
      </c>
      <c r="AT56" s="168">
        <f t="shared" si="54"/>
        <v>26.979678577371114</v>
      </c>
      <c r="AU56" s="168">
        <f t="shared" si="55"/>
        <v>7.84094726348326</v>
      </c>
      <c r="AV56" s="169">
        <f t="shared" si="56"/>
        <v>0.56603430130511401</v>
      </c>
      <c r="AW56" s="170">
        <f t="shared" si="48"/>
        <v>208604.79</v>
      </c>
      <c r="AX56" s="104"/>
      <c r="AY56" s="172">
        <f t="shared" si="57"/>
        <v>44501</v>
      </c>
      <c r="AZ56" s="167">
        <f t="shared" si="58"/>
        <v>60.271191763282573</v>
      </c>
      <c r="BA56" s="168">
        <f t="shared" si="59"/>
        <v>5.9491460700661261</v>
      </c>
      <c r="BB56" s="168">
        <f t="shared" si="60"/>
        <v>2.9688554729728693</v>
      </c>
      <c r="BC56" s="168">
        <f t="shared" si="61"/>
        <v>4.9312324225660698</v>
      </c>
      <c r="BD56" s="168">
        <f t="shared" si="62"/>
        <v>42.556329411013365</v>
      </c>
      <c r="BE56" s="168">
        <f t="shared" si="63"/>
        <v>8.9180015430389954</v>
      </c>
      <c r="BF56" s="169">
        <f t="shared" si="64"/>
        <v>0.49903892726908111</v>
      </c>
      <c r="BG56" s="170">
        <f t="shared" si="49"/>
        <v>388324.6</v>
      </c>
    </row>
    <row r="57" spans="1:59" ht="21" x14ac:dyDescent="0.25">
      <c r="A57" s="166">
        <f t="shared" si="65"/>
        <v>44531</v>
      </c>
      <c r="B57" s="167"/>
      <c r="C57" s="168"/>
      <c r="D57" s="168"/>
      <c r="E57" s="168"/>
      <c r="F57" s="168"/>
      <c r="G57" s="168" t="str">
        <f t="shared" si="35"/>
        <v/>
      </c>
      <c r="H57" s="169" t="str">
        <f t="shared" si="36"/>
        <v/>
      </c>
      <c r="I57" s="170">
        <f>IF(D57&gt;0,IFERROR(GETPIVOTDATA("act_qty",RECPT!$A$3,"yymm","202112","unit","TAL","comm","L"),0),)</f>
        <v>0</v>
      </c>
      <c r="J57" s="119"/>
      <c r="K57" s="166">
        <f t="shared" si="66"/>
        <v>44531</v>
      </c>
      <c r="L57" s="167"/>
      <c r="M57" s="168"/>
      <c r="N57" s="168"/>
      <c r="O57" s="168"/>
      <c r="P57" s="168"/>
      <c r="Q57" s="168" t="str">
        <f t="shared" si="37"/>
        <v/>
      </c>
      <c r="R57" s="169" t="str">
        <f t="shared" si="38"/>
        <v/>
      </c>
      <c r="S57" s="170">
        <f>IF(N57&gt;0,IFERROR(GETPIVOTDATA("act_qty",RECPT!$A$3,"yymm","202112","unit","TAL","comm","F"),0),)</f>
        <v>0</v>
      </c>
      <c r="T57" s="104"/>
      <c r="U57" s="166">
        <f t="shared" si="67"/>
        <v>44531</v>
      </c>
      <c r="V57" s="167">
        <v>63.2</v>
      </c>
      <c r="W57" s="168">
        <v>2.76</v>
      </c>
      <c r="X57" s="168">
        <v>2.27</v>
      </c>
      <c r="Y57" s="168">
        <v>5.85</v>
      </c>
      <c r="Z57" s="168">
        <v>0</v>
      </c>
      <c r="AA57" s="168">
        <f t="shared" si="39"/>
        <v>5.0299999999999994</v>
      </c>
      <c r="AB57" s="169">
        <f t="shared" si="40"/>
        <v>0.82246376811594213</v>
      </c>
      <c r="AC57" s="170">
        <f>IF(X57&gt;0,IFERROR(GETPIVOTDATA("act_qty",RECPT!$A$3,"yymm","202112","unit","MPR","comm","L"),0),)</f>
        <v>7206</v>
      </c>
      <c r="AD57" s="119"/>
      <c r="AE57" s="166">
        <f t="shared" si="68"/>
        <v>44531</v>
      </c>
      <c r="AF57" s="167">
        <v>63.15</v>
      </c>
      <c r="AG57" s="168">
        <v>2.84</v>
      </c>
      <c r="AH57" s="168">
        <v>2.25</v>
      </c>
      <c r="AI57" s="168">
        <v>6.9</v>
      </c>
      <c r="AJ57" s="168">
        <v>0</v>
      </c>
      <c r="AK57" s="168">
        <f t="shared" si="41"/>
        <v>5.09</v>
      </c>
      <c r="AL57" s="169">
        <f t="shared" si="42"/>
        <v>0.79225352112676062</v>
      </c>
      <c r="AM57" s="170">
        <f>IF(AH57&gt;0,IFERROR(GETPIVOTDATA("act_qty",RECPT!$A$3,"yymm","202112","unit","MPR","comm","F"),0),)</f>
        <v>7228</v>
      </c>
      <c r="AN57" s="104"/>
      <c r="AO57" s="172">
        <f t="shared" si="47"/>
        <v>44531</v>
      </c>
      <c r="AP57" s="167">
        <f t="shared" si="50"/>
        <v>60.075693096864981</v>
      </c>
      <c r="AQ57" s="168">
        <f t="shared" si="51"/>
        <v>6.138758785297072</v>
      </c>
      <c r="AR57" s="168">
        <f t="shared" si="52"/>
        <v>2.7979142443274916</v>
      </c>
      <c r="AS57" s="168">
        <f t="shared" si="53"/>
        <v>17.010813195930687</v>
      </c>
      <c r="AT57" s="168">
        <f t="shared" si="54"/>
        <v>26.015848367754877</v>
      </c>
      <c r="AU57" s="168">
        <f t="shared" si="55"/>
        <v>8.9366730296245631</v>
      </c>
      <c r="AV57" s="169">
        <f t="shared" si="56"/>
        <v>0.45577849565107037</v>
      </c>
      <c r="AW57" s="170">
        <f t="shared" si="48"/>
        <v>221961.75999999998</v>
      </c>
      <c r="AX57" s="104"/>
      <c r="AY57" s="172">
        <f t="shared" si="57"/>
        <v>44531</v>
      </c>
      <c r="AZ57" s="167">
        <f t="shared" si="58"/>
        <v>59.686694456336554</v>
      </c>
      <c r="BA57" s="168">
        <f t="shared" si="59"/>
        <v>6.9615289851906876</v>
      </c>
      <c r="BB57" s="168">
        <f t="shared" si="60"/>
        <v>2.8470240239977871</v>
      </c>
      <c r="BC57" s="168">
        <f t="shared" si="61"/>
        <v>5.3161108557948538</v>
      </c>
      <c r="BD57" s="168">
        <f t="shared" si="62"/>
        <v>41.275118168712595</v>
      </c>
      <c r="BE57" s="168">
        <f t="shared" si="63"/>
        <v>9.8085530091884756</v>
      </c>
      <c r="BF57" s="169">
        <f t="shared" si="64"/>
        <v>0.40896533362919013</v>
      </c>
      <c r="BG57" s="170">
        <f t="shared" si="49"/>
        <v>343365</v>
      </c>
    </row>
    <row r="58" spans="1:59" ht="21" x14ac:dyDescent="0.25">
      <c r="A58" s="166">
        <f t="shared" si="65"/>
        <v>44562</v>
      </c>
      <c r="B58" s="167"/>
      <c r="C58" s="168"/>
      <c r="D58" s="168"/>
      <c r="E58" s="168"/>
      <c r="F58" s="168"/>
      <c r="G58" s="168" t="str">
        <f t="shared" si="35"/>
        <v/>
      </c>
      <c r="H58" s="169" t="str">
        <f t="shared" si="36"/>
        <v/>
      </c>
      <c r="I58" s="170">
        <f>IF(D58&gt;0,IFERROR(GETPIVOTDATA("act_qty",RECPT!$A$3,"yymm","202201","unit","TAL","comm","L"),0),)</f>
        <v>0</v>
      </c>
      <c r="J58" s="119"/>
      <c r="K58" s="166">
        <f t="shared" si="66"/>
        <v>44562</v>
      </c>
      <c r="L58" s="167"/>
      <c r="M58" s="168"/>
      <c r="N58" s="168"/>
      <c r="O58" s="168"/>
      <c r="P58" s="168"/>
      <c r="Q58" s="168" t="str">
        <f t="shared" si="37"/>
        <v/>
      </c>
      <c r="R58" s="169" t="str">
        <f t="shared" si="38"/>
        <v/>
      </c>
      <c r="S58" s="170">
        <f>IF(N58&gt;0,IFERROR(GETPIVOTDATA("act_qty",RECPT!$A$3,"yymm","202201","unit","TAL","comm","F"),0),)</f>
        <v>0</v>
      </c>
      <c r="T58" s="104"/>
      <c r="U58" s="166">
        <f t="shared" si="67"/>
        <v>44562</v>
      </c>
      <c r="V58" s="167">
        <v>63.41</v>
      </c>
      <c r="W58" s="168">
        <v>2.4300000000000002</v>
      </c>
      <c r="X58" s="168">
        <v>2.34</v>
      </c>
      <c r="Y58" s="168">
        <v>7.4</v>
      </c>
      <c r="Z58" s="168">
        <v>11.5</v>
      </c>
      <c r="AA58" s="168">
        <f t="shared" si="39"/>
        <v>4.7699999999999996</v>
      </c>
      <c r="AB58" s="169">
        <f t="shared" si="40"/>
        <v>0.9629629629629628</v>
      </c>
      <c r="AC58" s="170">
        <f>IF(X58&gt;0,IFERROR(GETPIVOTDATA("act_qty",RECPT!$A$3,"yymm","202201","unit","MPR","comm","L"),0),)</f>
        <v>3604</v>
      </c>
      <c r="AD58" s="119"/>
      <c r="AE58" s="166">
        <f t="shared" si="68"/>
        <v>44562</v>
      </c>
      <c r="AF58" s="167">
        <v>63.05</v>
      </c>
      <c r="AG58" s="168">
        <v>2.87</v>
      </c>
      <c r="AH58" s="168">
        <v>2.36</v>
      </c>
      <c r="AI58" s="168">
        <v>3.45</v>
      </c>
      <c r="AJ58" s="168">
        <v>32.35</v>
      </c>
      <c r="AK58" s="168">
        <f t="shared" si="41"/>
        <v>5.23</v>
      </c>
      <c r="AL58" s="169">
        <f t="shared" si="42"/>
        <v>0.82229965156794416</v>
      </c>
      <c r="AM58" s="170">
        <f>IF(AH58&gt;0,IFERROR(GETPIVOTDATA("act_qty",RECPT!$A$3,"yymm","202201","unit","MPR","comm","F"),0),)</f>
        <v>3743.3</v>
      </c>
      <c r="AN58" s="104"/>
      <c r="AO58" s="172">
        <f t="shared" si="47"/>
        <v>44562</v>
      </c>
      <c r="AP58" s="167">
        <f t="shared" si="50"/>
        <v>60.705618327056868</v>
      </c>
      <c r="AQ58" s="168">
        <f t="shared" si="51"/>
        <v>5.0952150158790683</v>
      </c>
      <c r="AR58" s="168">
        <f t="shared" si="52"/>
        <v>2.8806526213672026</v>
      </c>
      <c r="AS58" s="168">
        <f t="shared" si="53"/>
        <v>14.267307539530263</v>
      </c>
      <c r="AT58" s="168">
        <f t="shared" si="54"/>
        <v>28.15018753542542</v>
      </c>
      <c r="AU58" s="168">
        <f t="shared" si="55"/>
        <v>7.9758676372462709</v>
      </c>
      <c r="AV58" s="169">
        <f t="shared" si="56"/>
        <v>0.56536429029780777</v>
      </c>
      <c r="AW58" s="170">
        <f t="shared" si="48"/>
        <v>229972.55</v>
      </c>
      <c r="AX58" s="104"/>
      <c r="AY58" s="172">
        <f t="shared" si="57"/>
        <v>44562</v>
      </c>
      <c r="AZ58" s="167">
        <f t="shared" si="58"/>
        <v>59.926972031235259</v>
      </c>
      <c r="BA58" s="168">
        <f t="shared" si="59"/>
        <v>6.6587857477365615</v>
      </c>
      <c r="BB58" s="168">
        <f t="shared" si="60"/>
        <v>2.8947607254687915</v>
      </c>
      <c r="BC58" s="168">
        <f t="shared" si="61"/>
        <v>5.1120276735306955</v>
      </c>
      <c r="BD58" s="168">
        <f t="shared" si="62"/>
        <v>42.4941338386909</v>
      </c>
      <c r="BE58" s="168">
        <f t="shared" si="63"/>
        <v>9.553546473205353</v>
      </c>
      <c r="BF58" s="169">
        <f t="shared" si="64"/>
        <v>0.43472801725941873</v>
      </c>
      <c r="BG58" s="170">
        <f t="shared" si="49"/>
        <v>359375.9</v>
      </c>
    </row>
    <row r="59" spans="1:59" ht="21" x14ac:dyDescent="0.25">
      <c r="A59" s="166">
        <f t="shared" si="65"/>
        <v>44593</v>
      </c>
      <c r="B59" s="167"/>
      <c r="C59" s="168"/>
      <c r="D59" s="168"/>
      <c r="E59" s="168"/>
      <c r="F59" s="168"/>
      <c r="G59" s="168" t="str">
        <f t="shared" si="35"/>
        <v/>
      </c>
      <c r="H59" s="169" t="str">
        <f t="shared" si="36"/>
        <v/>
      </c>
      <c r="I59" s="170">
        <f>IF(D59&gt;0,IFERROR(GETPIVOTDATA("act_qty",RECPT!$A$3,"yymm","202202","unit","TAL","comm","L"),0),)</f>
        <v>0</v>
      </c>
      <c r="J59" s="119"/>
      <c r="K59" s="166">
        <f t="shared" si="66"/>
        <v>44593</v>
      </c>
      <c r="L59" s="167"/>
      <c r="M59" s="168"/>
      <c r="N59" s="168"/>
      <c r="O59" s="168"/>
      <c r="P59" s="168"/>
      <c r="Q59" s="168" t="str">
        <f t="shared" si="37"/>
        <v/>
      </c>
      <c r="R59" s="169" t="str">
        <f t="shared" si="38"/>
        <v/>
      </c>
      <c r="S59" s="170">
        <f>IF(N59&gt;0,IFERROR(GETPIVOTDATA("act_qty",RECPT!$A$3,"yymm","202202","unit","TAL","comm","F"),0),)</f>
        <v>0</v>
      </c>
      <c r="T59" s="104"/>
      <c r="U59" s="166">
        <f t="shared" si="67"/>
        <v>44593</v>
      </c>
      <c r="V59" s="167">
        <v>0</v>
      </c>
      <c r="W59" s="168">
        <v>0</v>
      </c>
      <c r="X59" s="168">
        <v>0</v>
      </c>
      <c r="Y59" s="168">
        <v>0</v>
      </c>
      <c r="Z59" s="168">
        <v>0</v>
      </c>
      <c r="AA59" s="168" t="str">
        <f t="shared" si="39"/>
        <v/>
      </c>
      <c r="AB59" s="169" t="str">
        <f t="shared" si="40"/>
        <v/>
      </c>
      <c r="AC59" s="170">
        <f>IF(X59&gt;0,IFERROR(GETPIVOTDATA("act_qty",RECPT!$A$3,"yymm","202202","unit","MPR","comm","L"),0),)</f>
        <v>0</v>
      </c>
      <c r="AD59" s="119"/>
      <c r="AE59" s="166">
        <f t="shared" si="68"/>
        <v>44593</v>
      </c>
      <c r="AF59" s="167">
        <v>0</v>
      </c>
      <c r="AG59" s="168">
        <v>0</v>
      </c>
      <c r="AH59" s="168">
        <v>0</v>
      </c>
      <c r="AI59" s="168">
        <v>0</v>
      </c>
      <c r="AJ59" s="168">
        <v>0</v>
      </c>
      <c r="AK59" s="168" t="str">
        <f t="shared" si="41"/>
        <v/>
      </c>
      <c r="AL59" s="169" t="str">
        <f t="shared" si="42"/>
        <v/>
      </c>
      <c r="AM59" s="170">
        <f>IF(AH59&gt;0,IFERROR(GETPIVOTDATA("act_qty",RECPT!$A$3,"yymm","202202","unit","MPR","comm","F"),0),)</f>
        <v>0</v>
      </c>
      <c r="AN59" s="104"/>
      <c r="AO59" s="172">
        <f t="shared" si="47"/>
        <v>44593</v>
      </c>
      <c r="AP59" s="167">
        <f t="shared" si="50"/>
        <v>60.8145612043825</v>
      </c>
      <c r="AQ59" s="168">
        <f t="shared" si="51"/>
        <v>4.9012886808132423</v>
      </c>
      <c r="AR59" s="168">
        <f t="shared" si="52"/>
        <v>2.890543250803955</v>
      </c>
      <c r="AS59" s="168">
        <f t="shared" si="53"/>
        <v>13.712542769773718</v>
      </c>
      <c r="AT59" s="168">
        <f t="shared" si="54"/>
        <v>28.004708272661937</v>
      </c>
      <c r="AU59" s="168">
        <f t="shared" si="55"/>
        <v>7.7918319316171978</v>
      </c>
      <c r="AV59" s="169">
        <f t="shared" si="56"/>
        <v>0.58975168349486895</v>
      </c>
      <c r="AW59" s="170">
        <f t="shared" si="48"/>
        <v>245722.6</v>
      </c>
      <c r="AX59" s="104"/>
      <c r="AY59" s="172">
        <f t="shared" si="57"/>
        <v>44593</v>
      </c>
      <c r="AZ59" s="167">
        <f t="shared" si="58"/>
        <v>60.359511822770195</v>
      </c>
      <c r="BA59" s="168">
        <f t="shared" si="59"/>
        <v>6.0524706135882766</v>
      </c>
      <c r="BB59" s="168">
        <f t="shared" si="60"/>
        <v>2.9048153118442479</v>
      </c>
      <c r="BC59" s="168">
        <f t="shared" si="61"/>
        <v>5.0989797110408732</v>
      </c>
      <c r="BD59" s="168">
        <f t="shared" si="62"/>
        <v>43.477711125042454</v>
      </c>
      <c r="BE59" s="168">
        <f t="shared" si="63"/>
        <v>8.9572859254325241</v>
      </c>
      <c r="BF59" s="169">
        <f t="shared" si="64"/>
        <v>0.47993877166833443</v>
      </c>
      <c r="BG59" s="170">
        <f t="shared" si="49"/>
        <v>275637.59999999998</v>
      </c>
    </row>
    <row r="60" spans="1:59" ht="21.5" thickBot="1" x14ac:dyDescent="0.3">
      <c r="A60" s="166">
        <f t="shared" si="65"/>
        <v>44621</v>
      </c>
      <c r="B60" s="183"/>
      <c r="C60" s="184"/>
      <c r="D60" s="184"/>
      <c r="E60" s="168"/>
      <c r="F60" s="168"/>
      <c r="G60" s="168" t="str">
        <f t="shared" si="35"/>
        <v/>
      </c>
      <c r="H60" s="169" t="str">
        <f t="shared" si="36"/>
        <v/>
      </c>
      <c r="I60" s="170">
        <f>IF(D60&gt;0,IFERROR(GETPIVOTDATA("act_qty",RECPT!$A$3,"yymm","202203","unit","TAL","comm","L"),0),)</f>
        <v>0</v>
      </c>
      <c r="J60" s="119"/>
      <c r="K60" s="166">
        <f t="shared" si="66"/>
        <v>44621</v>
      </c>
      <c r="L60" s="183"/>
      <c r="M60" s="184"/>
      <c r="N60" s="184"/>
      <c r="O60" s="168"/>
      <c r="P60" s="168"/>
      <c r="Q60" s="168" t="str">
        <f t="shared" si="37"/>
        <v/>
      </c>
      <c r="R60" s="169" t="str">
        <f t="shared" si="38"/>
        <v/>
      </c>
      <c r="S60" s="170">
        <f>IF(N60&gt;0,IFERROR(GETPIVOTDATA("act_qty",RECPT!$A$3,"yymm","202203","unit","TAL","comm","F"),0),)</f>
        <v>0</v>
      </c>
      <c r="T60" s="104"/>
      <c r="U60" s="166">
        <f t="shared" si="67"/>
        <v>44621</v>
      </c>
      <c r="V60" s="183">
        <v>0</v>
      </c>
      <c r="W60" s="184">
        <v>0</v>
      </c>
      <c r="X60" s="184">
        <v>0</v>
      </c>
      <c r="Y60" s="168">
        <v>0</v>
      </c>
      <c r="Z60" s="168">
        <v>0</v>
      </c>
      <c r="AA60" s="168" t="str">
        <f t="shared" si="39"/>
        <v/>
      </c>
      <c r="AB60" s="169" t="str">
        <f t="shared" si="40"/>
        <v/>
      </c>
      <c r="AC60" s="170">
        <f>IF(X60&gt;0,IFERROR(GETPIVOTDATA("act_qty",RECPT!$A$3,"yymm","202203","unit","MPR","comm","L"),0),)</f>
        <v>0</v>
      </c>
      <c r="AD60" s="119"/>
      <c r="AE60" s="166">
        <f t="shared" si="68"/>
        <v>44621</v>
      </c>
      <c r="AF60" s="183">
        <v>0</v>
      </c>
      <c r="AG60" s="184">
        <v>0</v>
      </c>
      <c r="AH60" s="184">
        <v>0</v>
      </c>
      <c r="AI60" s="168">
        <v>0</v>
      </c>
      <c r="AJ60" s="168">
        <v>0</v>
      </c>
      <c r="AK60" s="168" t="str">
        <f t="shared" si="41"/>
        <v/>
      </c>
      <c r="AL60" s="169" t="str">
        <f t="shared" si="42"/>
        <v/>
      </c>
      <c r="AM60" s="170">
        <f>IF(AH60&gt;0,IFERROR(GETPIVOTDATA("act_qty",RECPT!$A$3,"yymm","202203","unit","MPR","comm","F"),0),)</f>
        <v>0</v>
      </c>
      <c r="AN60" s="104"/>
      <c r="AO60" s="185">
        <f t="shared" si="47"/>
        <v>44621</v>
      </c>
      <c r="AP60" s="183">
        <f t="shared" si="50"/>
        <v>61.57762254831578</v>
      </c>
      <c r="AQ60" s="184">
        <f t="shared" si="51"/>
        <v>4.6533482050786716</v>
      </c>
      <c r="AR60" s="184">
        <f t="shared" si="52"/>
        <v>2.7259402223713169</v>
      </c>
      <c r="AS60" s="184">
        <f t="shared" si="53"/>
        <v>12.800573784828732</v>
      </c>
      <c r="AT60" s="184">
        <f t="shared" si="54"/>
        <v>28.774393778406647</v>
      </c>
      <c r="AU60" s="168">
        <f t="shared" si="55"/>
        <v>7.379288427449989</v>
      </c>
      <c r="AV60" s="169">
        <f t="shared" si="56"/>
        <v>0.58580190053179804</v>
      </c>
      <c r="AW60" s="170">
        <f t="shared" si="48"/>
        <v>268137.09999999998</v>
      </c>
      <c r="AX60" s="104"/>
      <c r="AY60" s="185">
        <f t="shared" si="57"/>
        <v>44621</v>
      </c>
      <c r="AZ60" s="183">
        <f t="shared" si="58"/>
        <v>60.864607332239757</v>
      </c>
      <c r="BA60" s="184">
        <f t="shared" si="59"/>
        <v>5.8950294093927473</v>
      </c>
      <c r="BB60" s="184">
        <f t="shared" si="60"/>
        <v>2.8759540665715049</v>
      </c>
      <c r="BC60" s="184">
        <f t="shared" si="61"/>
        <v>5.1302807566301212</v>
      </c>
      <c r="BD60" s="184">
        <f t="shared" si="62"/>
        <v>42.846574031315896</v>
      </c>
      <c r="BE60" s="168">
        <f t="shared" si="63"/>
        <v>8.7709834759642522</v>
      </c>
      <c r="BF60" s="169">
        <f t="shared" si="64"/>
        <v>0.4878608513791553</v>
      </c>
      <c r="BG60" s="170">
        <f t="shared" si="49"/>
        <v>375713.30000000005</v>
      </c>
    </row>
    <row r="61" spans="1:59" ht="21.5" thickBot="1" x14ac:dyDescent="0.3">
      <c r="A61" s="191" t="s">
        <v>42</v>
      </c>
      <c r="B61" s="192"/>
      <c r="C61" s="192"/>
      <c r="D61" s="192"/>
      <c r="E61" s="192"/>
      <c r="F61" s="192"/>
      <c r="G61" s="193" t="str">
        <f t="shared" si="35"/>
        <v/>
      </c>
      <c r="H61" s="194" t="str">
        <f t="shared" si="36"/>
        <v/>
      </c>
      <c r="I61" s="195">
        <f>SUM(I49:I60)</f>
        <v>0</v>
      </c>
      <c r="J61" s="119"/>
      <c r="K61" s="191" t="s">
        <v>42</v>
      </c>
      <c r="L61" s="192"/>
      <c r="M61" s="192"/>
      <c r="N61" s="192"/>
      <c r="O61" s="192"/>
      <c r="P61" s="192"/>
      <c r="Q61" s="193" t="str">
        <f t="shared" si="37"/>
        <v/>
      </c>
      <c r="R61" s="194" t="str">
        <f t="shared" si="38"/>
        <v/>
      </c>
      <c r="S61" s="195">
        <f>SUM(S49:S60)</f>
        <v>0</v>
      </c>
      <c r="T61" s="104"/>
      <c r="U61" s="191" t="s">
        <v>42</v>
      </c>
      <c r="V61" s="192">
        <v>63.35</v>
      </c>
      <c r="W61" s="192">
        <v>2.57</v>
      </c>
      <c r="X61" s="192">
        <v>2.21</v>
      </c>
      <c r="Y61" s="192">
        <v>7.5</v>
      </c>
      <c r="Z61" s="192">
        <v>12.3</v>
      </c>
      <c r="AA61" s="193">
        <f t="shared" si="39"/>
        <v>4.7799999999999994</v>
      </c>
      <c r="AB61" s="194">
        <f t="shared" si="40"/>
        <v>0.8599221789883269</v>
      </c>
      <c r="AC61" s="195">
        <f>SUM(AC49:AC60)</f>
        <v>34783.199999999997</v>
      </c>
      <c r="AD61" s="171"/>
      <c r="AE61" s="196" t="s">
        <v>42</v>
      </c>
      <c r="AF61" s="192">
        <v>63.23</v>
      </c>
      <c r="AG61" s="192">
        <v>2.64</v>
      </c>
      <c r="AH61" s="192">
        <v>2.31</v>
      </c>
      <c r="AI61" s="192">
        <v>4.9800000000000004</v>
      </c>
      <c r="AJ61" s="192">
        <v>30.86</v>
      </c>
      <c r="AK61" s="193">
        <f t="shared" si="41"/>
        <v>4.95</v>
      </c>
      <c r="AL61" s="194">
        <f t="shared" si="42"/>
        <v>0.875</v>
      </c>
      <c r="AM61" s="195">
        <f>SUM(AM49:AM60)</f>
        <v>49770.3</v>
      </c>
      <c r="AN61" s="104"/>
      <c r="AO61" s="196" t="str">
        <f t="shared" si="47"/>
        <v>CUMML</v>
      </c>
      <c r="AP61" s="192">
        <f>+(B19*$I19+B40*$I40+B61*$I61+V19*$AC19+V40*$AC40+V61*$AC61+AP19*$AW19+AP40*$AW40)/$AW61</f>
        <v>61.315220987200291</v>
      </c>
      <c r="AQ61" s="192">
        <f>+(C19*$I19+C40*$I40+C61*$I61+W19*$AC19+W40*$AC40+W61*$AC61+AQ19*$AW19+AQ40*$AW40)/$AW61</f>
        <v>4.6625084143490225</v>
      </c>
      <c r="AR61" s="192">
        <f>+(D19*$I19+D40*$I40+D61*$I61+X19*$AC19+X40*$AC40+X61*$AC61+AR19*$AW19+AR40*$AW40)/$AW61</f>
        <v>2.6979330951289842</v>
      </c>
      <c r="AS61" s="192">
        <f>+(E19*$I19+E40*$I40+E61*$I61+Y19*$AC19+Y40*$AC40+Y61*$AC61+AS19*$AW19+AS40*$AW40)/$AW61</f>
        <v>14.719331426862228</v>
      </c>
      <c r="AT61" s="192">
        <f>+(F19*$I19+F40*$I40+F61*$I61+Z19*$AC19+Z40*$AC40+Z61*$AC61+AT19*$AW19+AT40*$AW40)/$AW61</f>
        <v>27.357332779842871</v>
      </c>
      <c r="AU61" s="193">
        <f t="shared" si="55"/>
        <v>7.3604415094780062</v>
      </c>
      <c r="AV61" s="194">
        <f>IF(AQ61&gt;0,+AR61/AQ61,"")</f>
        <v>0.57864412358506567</v>
      </c>
      <c r="AW61" s="195">
        <f>SUM(AW49:AW60)</f>
        <v>2807564.1900000004</v>
      </c>
      <c r="AX61" s="104"/>
      <c r="AY61" s="196" t="s">
        <v>42</v>
      </c>
      <c r="AZ61" s="192">
        <f>+(L19*$S19+L40*$S40+L61*$S61+AF19*$AM19+AF40*$AM40+AF61*$AM61+AZ19*$BG19+AZ40*$BG40)/$BG61</f>
        <v>60.530835318640754</v>
      </c>
      <c r="BA61" s="192">
        <f>+(M19*$S19+M40*$S40+M61*$S61+AG19*$AM19+AG40*$AM40+AG61*$AM61+BA19*$BG19+BA40*$BG40)/$BG61</f>
        <v>5.8927942280362382</v>
      </c>
      <c r="BB61" s="192">
        <f>+(N19*$S19+N40*$S40+N61*$S61+AH19*$AM19+AH40*$AM40+AH61*$AM61+BB19*$BG19+BB40*$BG40)/$BG61</f>
        <v>2.8254988235221963</v>
      </c>
      <c r="BC61" s="192">
        <f>+(O19*$S19+O40*$S40+O61*$S61+AI19*$AM19+AI40*$AM40+AI61*$AM61+BC19*$BG19+BC40*$BG40)/$BG61</f>
        <v>5.3026790796998231</v>
      </c>
      <c r="BD61" s="192">
        <f>+(P19*$S19+P40*$S40+P61*$S61+AJ19*$AM19+AJ40*$AM40+AJ61*$AM61+BD19*$BG19+BD40*$BG40)/$BG61</f>
        <v>42.414854197124455</v>
      </c>
      <c r="BE61" s="193">
        <f t="shared" si="63"/>
        <v>8.7182930515584349</v>
      </c>
      <c r="BF61" s="194">
        <f>IF(BA61&gt;0,+BB61/BA61,"")</f>
        <v>0.4794837074200346</v>
      </c>
      <c r="BG61" s="195">
        <f>SUM(BG49:BG60)</f>
        <v>4082507.96</v>
      </c>
    </row>
    <row r="62" spans="1:59" ht="21" x14ac:dyDescent="0.25">
      <c r="A62" s="5"/>
      <c r="B62" s="205" t="e">
        <f>B56*1.4298+G56</f>
        <v>#VALUE!</v>
      </c>
      <c r="C62" s="5"/>
      <c r="D62" s="5"/>
      <c r="E62" s="5"/>
      <c r="F62" s="5"/>
      <c r="G62" s="5"/>
      <c r="H62" s="5"/>
      <c r="I62" s="21"/>
      <c r="J62" s="5"/>
      <c r="K62" s="5"/>
      <c r="L62" s="205" t="e">
        <f>L56*1.4298+Q56</f>
        <v>#VALUE!</v>
      </c>
      <c r="M62" s="5"/>
      <c r="N62" s="5"/>
      <c r="O62" s="5"/>
      <c r="P62" s="5"/>
      <c r="Q62" s="5"/>
      <c r="R62" s="5"/>
      <c r="S62" s="5"/>
      <c r="T62" s="5"/>
      <c r="U62" s="5"/>
      <c r="V62" s="205" t="e">
        <f>V56*1.4298+AA56</f>
        <v>#VALUE!</v>
      </c>
      <c r="W62" s="5"/>
      <c r="X62" s="5"/>
      <c r="Y62" s="5"/>
      <c r="Z62" s="5"/>
      <c r="AA62" s="5"/>
      <c r="AB62" s="5"/>
      <c r="AC62" s="5"/>
      <c r="AD62" s="5"/>
      <c r="AE62" s="5"/>
      <c r="AF62" s="205" t="e">
        <f>AF56*1.4298+AK56</f>
        <v>#VALUE!</v>
      </c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</row>
    <row r="63" spans="1:59" ht="21" x14ac:dyDescent="0.35">
      <c r="A63" s="22"/>
      <c r="B63" s="212" t="e">
        <f>B61*1.4298+G61</f>
        <v>#VALUE!</v>
      </c>
      <c r="C63" s="10"/>
      <c r="D63" s="10"/>
      <c r="E63" s="10"/>
      <c r="F63" s="10"/>
      <c r="G63" s="10"/>
      <c r="H63" s="10"/>
      <c r="I63" s="23"/>
      <c r="J63" s="5"/>
      <c r="K63" s="22"/>
      <c r="L63" s="212" t="e">
        <f>L61*1.4298+Q61</f>
        <v>#VALUE!</v>
      </c>
      <c r="M63" s="10"/>
      <c r="N63" s="10"/>
      <c r="O63" s="10"/>
      <c r="P63" s="10"/>
      <c r="Q63" s="10"/>
      <c r="R63" s="10"/>
      <c r="S63" s="23"/>
      <c r="T63" s="5"/>
      <c r="U63" s="5"/>
      <c r="V63" s="212">
        <f>V61*1.4298+AA61</f>
        <v>95.357830000000007</v>
      </c>
      <c r="W63" s="5"/>
      <c r="X63" s="5"/>
      <c r="Y63" s="5"/>
      <c r="Z63" s="5"/>
      <c r="AA63" s="5"/>
      <c r="AB63" s="5"/>
      <c r="AC63" s="5"/>
      <c r="AD63" s="5"/>
      <c r="AE63" s="5"/>
      <c r="AF63" s="212">
        <f>AF61*1.4298+AK61</f>
        <v>95.356253999999993</v>
      </c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</row>
    <row r="64" spans="1:59" ht="34.5" customHeight="1" x14ac:dyDescent="0.45">
      <c r="A64" s="588"/>
      <c r="B64" s="588"/>
      <c r="C64" s="588"/>
      <c r="D64" s="588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14"/>
      <c r="R64" s="14"/>
      <c r="S64" s="14"/>
      <c r="T64" s="24"/>
      <c r="U64" s="13"/>
      <c r="V64" s="14"/>
      <c r="W64" s="14"/>
      <c r="X64" s="14"/>
      <c r="Y64" s="14"/>
      <c r="Z64" s="14"/>
      <c r="AA64" s="14"/>
      <c r="AB64" s="24"/>
      <c r="AC64" s="24"/>
      <c r="AD64" s="24"/>
      <c r="AE64" s="24"/>
      <c r="AF64" s="24"/>
      <c r="AG64" s="24"/>
      <c r="AH64" s="24"/>
      <c r="AI64" s="25"/>
      <c r="AJ64" s="11"/>
      <c r="AK64" s="24"/>
      <c r="AL64" s="24"/>
      <c r="AM64" s="24"/>
      <c r="AN64" s="24"/>
      <c r="AO64" s="24"/>
      <c r="AP64" s="10"/>
      <c r="AQ64" s="10"/>
      <c r="AR64" s="10"/>
      <c r="AS64" s="10"/>
      <c r="AT64" s="10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</row>
    <row r="65" spans="1:59" s="371" customFormat="1" ht="29.25" customHeight="1" x14ac:dyDescent="0.5">
      <c r="A65" s="591" t="s">
        <v>49</v>
      </c>
      <c r="B65" s="591"/>
      <c r="C65" s="591" t="s">
        <v>50</v>
      </c>
      <c r="D65" s="591"/>
      <c r="E65" s="591"/>
      <c r="F65" s="591"/>
      <c r="G65" s="24"/>
      <c r="H65" s="29"/>
      <c r="I65" s="29"/>
      <c r="J65" s="24"/>
      <c r="K65" s="592" t="s">
        <v>51</v>
      </c>
      <c r="L65" s="592"/>
      <c r="M65" s="591" t="s">
        <v>52</v>
      </c>
      <c r="N65" s="591"/>
      <c r="O65" s="591"/>
      <c r="P65" s="591"/>
      <c r="Q65" s="29"/>
      <c r="R65" s="364"/>
      <c r="S65" s="364"/>
      <c r="T65" s="365"/>
      <c r="U65" s="366"/>
      <c r="V65" s="367"/>
      <c r="W65" s="367"/>
      <c r="X65" s="366"/>
      <c r="Y65" s="368"/>
      <c r="Z65" s="369"/>
      <c r="AA65" s="364"/>
      <c r="AB65" s="365"/>
      <c r="AC65" s="365"/>
      <c r="AD65" s="365"/>
      <c r="AE65" s="366"/>
      <c r="AF65" s="367"/>
      <c r="AG65" s="367"/>
      <c r="AH65" s="364"/>
      <c r="AI65" s="369"/>
      <c r="AJ65" s="369"/>
      <c r="AK65" s="365"/>
      <c r="AL65" s="365"/>
      <c r="AM65" s="365"/>
      <c r="AN65" s="365"/>
      <c r="AO65" s="365"/>
      <c r="AP65" s="365"/>
      <c r="AQ65" s="365"/>
      <c r="AR65" s="365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</row>
    <row r="66" spans="1:59" ht="29" thickBot="1" x14ac:dyDescent="0.7">
      <c r="A66" s="28"/>
      <c r="B66" s="28"/>
      <c r="C66" s="28"/>
      <c r="D66" s="28"/>
      <c r="E66" s="28"/>
      <c r="F66" s="28"/>
      <c r="G66" s="24"/>
      <c r="H66" s="11"/>
      <c r="I66" s="31"/>
      <c r="J66" s="24"/>
      <c r="K66" s="32">
        <f t="shared" ref="K66:K67" si="69">AE42</f>
        <v>0</v>
      </c>
      <c r="L66" s="32">
        <f>AF42</f>
        <v>95.190550000000002</v>
      </c>
      <c r="M66" s="32">
        <f>AG42</f>
        <v>0</v>
      </c>
      <c r="N66" s="32">
        <f>AH42</f>
        <v>0</v>
      </c>
      <c r="O66" s="32">
        <f>AI42</f>
        <v>0</v>
      </c>
      <c r="P66" s="32">
        <f>AJ42</f>
        <v>0</v>
      </c>
      <c r="Q66" s="11"/>
      <c r="R66" s="11"/>
      <c r="S66" s="11"/>
      <c r="T66" s="24"/>
      <c r="U66" s="11"/>
      <c r="V66" s="11"/>
      <c r="W66" s="11"/>
      <c r="X66" s="11"/>
      <c r="Y66" s="11"/>
      <c r="Z66" s="11"/>
      <c r="AA66" s="29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</row>
    <row r="67" spans="1:59" ht="21.5" thickBot="1" x14ac:dyDescent="0.5">
      <c r="A67" s="448"/>
      <c r="B67" s="449" t="s">
        <v>53</v>
      </c>
      <c r="C67" s="450" t="s">
        <v>54</v>
      </c>
      <c r="D67" s="450" t="s">
        <v>55</v>
      </c>
      <c r="E67" s="450" t="s">
        <v>37</v>
      </c>
      <c r="F67" s="451" t="s">
        <v>38</v>
      </c>
      <c r="G67" s="452" t="s">
        <v>41</v>
      </c>
      <c r="H67" s="453"/>
      <c r="I67" s="453"/>
      <c r="J67" s="454"/>
      <c r="K67" s="455">
        <f t="shared" si="69"/>
        <v>0</v>
      </c>
      <c r="L67" s="449" t="s">
        <v>53</v>
      </c>
      <c r="M67" s="450" t="s">
        <v>54</v>
      </c>
      <c r="N67" s="450" t="s">
        <v>55</v>
      </c>
      <c r="O67" s="450" t="s">
        <v>37</v>
      </c>
      <c r="P67" s="451" t="s">
        <v>38</v>
      </c>
      <c r="Q67" s="452" t="s">
        <v>41</v>
      </c>
      <c r="R67" s="24"/>
      <c r="S67" s="24"/>
      <c r="T67" s="24"/>
      <c r="U67" s="38"/>
      <c r="V67" s="39"/>
      <c r="W67" s="39"/>
      <c r="X67" s="39"/>
      <c r="Y67" s="39"/>
      <c r="Z67" s="39"/>
      <c r="AA67" s="29"/>
      <c r="AB67" s="39"/>
      <c r="AC67" s="24"/>
      <c r="AD67" s="24"/>
      <c r="AE67" s="38"/>
      <c r="AF67" s="39"/>
      <c r="AG67" s="39"/>
      <c r="AH67" s="39"/>
      <c r="AI67" s="39"/>
      <c r="AJ67" s="39"/>
      <c r="AK67" s="39"/>
      <c r="AL67" s="24"/>
      <c r="AM67" s="24"/>
      <c r="AN67" s="24"/>
      <c r="AO67" s="24"/>
      <c r="AP67" s="24"/>
      <c r="AQ67" s="24"/>
      <c r="AR67" s="24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</row>
    <row r="68" spans="1:59" ht="21" thickBot="1" x14ac:dyDescent="0.5">
      <c r="A68" s="456" t="str">
        <f t="shared" ref="A68:A69" si="70">A5</f>
        <v>Act 20-21</v>
      </c>
      <c r="B68" s="457">
        <v>43.27</v>
      </c>
      <c r="C68" s="458">
        <v>4.7300000000000004</v>
      </c>
      <c r="D68" s="458">
        <v>3.9</v>
      </c>
      <c r="E68" s="458">
        <v>7.25</v>
      </c>
      <c r="F68" s="459">
        <v>27.43</v>
      </c>
      <c r="G68" s="460"/>
      <c r="H68" s="453"/>
      <c r="I68" s="453"/>
      <c r="J68" s="454"/>
      <c r="K68" s="456" t="str">
        <f>A68</f>
        <v>Act 20-21</v>
      </c>
      <c r="L68" s="457"/>
      <c r="M68" s="458"/>
      <c r="N68" s="458"/>
      <c r="O68" s="458"/>
      <c r="P68" s="459"/>
      <c r="Q68" s="460"/>
      <c r="R68" s="24"/>
      <c r="S68" s="24"/>
      <c r="T68" s="24"/>
      <c r="U68" s="44"/>
      <c r="V68" s="44"/>
      <c r="W68" s="44"/>
      <c r="X68" s="44"/>
      <c r="Y68" s="44"/>
      <c r="Z68" s="44"/>
      <c r="AA68" s="29"/>
      <c r="AB68" s="45"/>
      <c r="AC68" s="24"/>
      <c r="AD68" s="24"/>
      <c r="AE68" s="44"/>
      <c r="AF68" s="46"/>
      <c r="AG68" s="46"/>
      <c r="AH68" s="46"/>
      <c r="AI68" s="46"/>
      <c r="AJ68" s="46"/>
      <c r="AK68" s="45"/>
      <c r="AL68" s="24"/>
      <c r="AM68" s="24"/>
      <c r="AN68" s="24"/>
      <c r="AO68" s="24"/>
      <c r="AP68" s="24"/>
      <c r="AQ68" s="24"/>
      <c r="AR68" s="24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</row>
    <row r="69" spans="1:59" ht="21" thickBot="1" x14ac:dyDescent="0.5">
      <c r="A69" s="461" t="str">
        <f t="shared" si="70"/>
        <v>APP 21-22</v>
      </c>
      <c r="B69" s="449">
        <v>50</v>
      </c>
      <c r="C69" s="450">
        <v>2.25</v>
      </c>
      <c r="D69" s="450">
        <v>3.5</v>
      </c>
      <c r="E69" s="450">
        <v>5</v>
      </c>
      <c r="F69" s="451">
        <v>5</v>
      </c>
      <c r="G69" s="462"/>
      <c r="H69" s="453"/>
      <c r="I69" s="453"/>
      <c r="J69" s="454"/>
      <c r="K69" s="461" t="str">
        <f t="shared" ref="K69:K82" si="71">A69</f>
        <v>APP 21-22</v>
      </c>
      <c r="L69" s="449">
        <v>30</v>
      </c>
      <c r="M69" s="450">
        <v>18</v>
      </c>
      <c r="N69" s="450">
        <v>5</v>
      </c>
      <c r="O69" s="450">
        <v>5</v>
      </c>
      <c r="P69" s="451">
        <v>10</v>
      </c>
      <c r="Q69" s="462"/>
      <c r="R69" s="24"/>
      <c r="S69" s="24"/>
      <c r="T69" s="24"/>
      <c r="U69" s="48"/>
      <c r="V69" s="49"/>
      <c r="W69" s="49"/>
      <c r="X69" s="49"/>
      <c r="Y69" s="49"/>
      <c r="Z69" s="49"/>
      <c r="AA69" s="29"/>
      <c r="AB69" s="8"/>
      <c r="AC69" s="24"/>
      <c r="AD69" s="24"/>
      <c r="AE69" s="50"/>
      <c r="AF69" s="51"/>
      <c r="AG69" s="51"/>
      <c r="AH69" s="51"/>
      <c r="AI69" s="51"/>
      <c r="AJ69" s="51"/>
      <c r="AK69" s="8"/>
      <c r="AL69" s="24"/>
      <c r="AM69" s="24"/>
      <c r="AN69" s="24"/>
      <c r="AO69" s="24"/>
      <c r="AP69" s="24"/>
      <c r="AQ69" s="24"/>
      <c r="AR69" s="24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</row>
    <row r="70" spans="1:59" ht="21" x14ac:dyDescent="0.45">
      <c r="A70" s="463">
        <f>A7</f>
        <v>44287</v>
      </c>
      <c r="B70" s="464">
        <v>42.81</v>
      </c>
      <c r="C70" s="465">
        <v>4.33</v>
      </c>
      <c r="D70" s="465">
        <v>4.03</v>
      </c>
      <c r="E70" s="465">
        <v>5.6</v>
      </c>
      <c r="F70" s="466">
        <v>30.2</v>
      </c>
      <c r="G70" s="467">
        <f>IF(B70&gt;0,IFERROR(GETPIVOTDATA("act_qty",RECPT!$A$3,"yymm","202104","unit","KTR","comm","LS"),0),)</f>
        <v>44383</v>
      </c>
      <c r="H70" s="453"/>
      <c r="I70" s="453"/>
      <c r="J70" s="454"/>
      <c r="K70" s="463">
        <f t="shared" si="71"/>
        <v>44287</v>
      </c>
      <c r="L70" s="464"/>
      <c r="M70" s="465"/>
      <c r="N70" s="465"/>
      <c r="O70" s="465"/>
      <c r="P70" s="466"/>
      <c r="Q70" s="467">
        <f>IF(L70&gt;0,IFERROR(GETPIVOTDATA("act_qty",RECPT!$A$3,"yymm","202104","unit","TDM","comm","BD"),0),)</f>
        <v>0</v>
      </c>
      <c r="R70" s="24"/>
      <c r="S70" s="24"/>
      <c r="T70" s="24"/>
      <c r="U70" s="9"/>
      <c r="V70" s="15"/>
      <c r="W70" s="15"/>
      <c r="X70" s="15"/>
      <c r="Y70" s="15"/>
      <c r="Z70" s="15"/>
      <c r="AA70" s="29"/>
      <c r="AB70" s="23"/>
      <c r="AC70" s="24"/>
      <c r="AD70" s="24"/>
      <c r="AE70" s="9"/>
      <c r="AF70" s="10"/>
      <c r="AG70" s="10"/>
      <c r="AH70" s="10"/>
      <c r="AI70" s="10"/>
      <c r="AJ70" s="10"/>
      <c r="AK70" s="23"/>
      <c r="AL70" s="24"/>
      <c r="AM70" s="24"/>
      <c r="AN70" s="24"/>
      <c r="AO70" s="24"/>
      <c r="AP70" s="24"/>
      <c r="AQ70" s="24"/>
      <c r="AR70" s="24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</row>
    <row r="71" spans="1:59" ht="21" x14ac:dyDescent="0.45">
      <c r="A71" s="448">
        <f t="shared" ref="A71:A82" si="72">A8</f>
        <v>44317</v>
      </c>
      <c r="B71" s="464"/>
      <c r="C71" s="468"/>
      <c r="D71" s="468"/>
      <c r="E71" s="468"/>
      <c r="F71" s="469"/>
      <c r="G71" s="470">
        <f>IF(B71&gt;0,IFERROR(GETPIVOTDATA("act_qty",RECPT!$A$3,"yymm","202105","unit","KTR","comm","LS"),0),)</f>
        <v>0</v>
      </c>
      <c r="H71" s="453"/>
      <c r="I71" s="453"/>
      <c r="J71" s="454"/>
      <c r="K71" s="448">
        <f t="shared" si="71"/>
        <v>44317</v>
      </c>
      <c r="L71" s="464"/>
      <c r="M71" s="468"/>
      <c r="N71" s="468"/>
      <c r="O71" s="468"/>
      <c r="P71" s="469"/>
      <c r="Q71" s="470">
        <f>IF(L71&gt;0,IFERROR(GETPIVOTDATA("act_qty",RECPT!$A$3,"yymm","202105","unit","TDM","comm","BD"),0),)</f>
        <v>0</v>
      </c>
      <c r="R71" s="24"/>
      <c r="S71" s="24"/>
      <c r="T71" s="24"/>
      <c r="U71" s="9"/>
      <c r="V71" s="15"/>
      <c r="W71" s="15"/>
      <c r="X71" s="15"/>
      <c r="Y71" s="15"/>
      <c r="Z71" s="15"/>
      <c r="AA71" s="29"/>
      <c r="AB71" s="10"/>
      <c r="AC71" s="24"/>
      <c r="AD71" s="24"/>
      <c r="AE71" s="9"/>
      <c r="AF71" s="10"/>
      <c r="AG71" s="10"/>
      <c r="AH71" s="10"/>
      <c r="AI71" s="10"/>
      <c r="AJ71" s="10"/>
      <c r="AK71" s="23"/>
      <c r="AL71" s="24"/>
      <c r="AM71" s="24"/>
      <c r="AN71" s="24"/>
      <c r="AO71" s="24"/>
      <c r="AP71" s="24"/>
      <c r="AQ71" s="24"/>
      <c r="AR71" s="24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</row>
    <row r="72" spans="1:59" ht="21" x14ac:dyDescent="0.45">
      <c r="A72" s="448">
        <f t="shared" si="72"/>
        <v>44348</v>
      </c>
      <c r="B72" s="464"/>
      <c r="C72" s="468"/>
      <c r="D72" s="468"/>
      <c r="E72" s="468"/>
      <c r="F72" s="469"/>
      <c r="G72" s="470">
        <f>IF(B72&gt;0,IFERROR(GETPIVOTDATA("act_qty",RECPT!$A$3,"yymm","202106","unit","KTR","comm","LS"),0),)</f>
        <v>0</v>
      </c>
      <c r="H72" s="453"/>
      <c r="I72" s="453"/>
      <c r="J72" s="454"/>
      <c r="K72" s="448">
        <f t="shared" si="71"/>
        <v>44348</v>
      </c>
      <c r="L72" s="464"/>
      <c r="M72" s="468"/>
      <c r="N72" s="468"/>
      <c r="O72" s="468"/>
      <c r="P72" s="469"/>
      <c r="Q72" s="470">
        <f>IF(L72&gt;0,IFERROR(GETPIVOTDATA("act_qty",RECPT!$A$3,"yymm","202106","unit","TDM","comm","BD"),0),)</f>
        <v>0</v>
      </c>
      <c r="R72" s="24"/>
      <c r="S72" s="24"/>
      <c r="T72" s="24"/>
      <c r="U72" s="9"/>
      <c r="V72" s="15"/>
      <c r="W72" s="15"/>
      <c r="X72" s="15"/>
      <c r="Y72" s="15"/>
      <c r="Z72" s="15"/>
      <c r="AA72" s="29"/>
      <c r="AB72" s="10"/>
      <c r="AC72" s="24"/>
      <c r="AD72" s="24"/>
      <c r="AE72" s="9"/>
      <c r="AF72" s="10"/>
      <c r="AG72" s="10"/>
      <c r="AH72" s="10"/>
      <c r="AI72" s="10"/>
      <c r="AJ72" s="10"/>
      <c r="AK72" s="23"/>
      <c r="AL72" s="24"/>
      <c r="AM72" s="24"/>
      <c r="AN72" s="24"/>
      <c r="AO72" s="24"/>
      <c r="AP72" s="24"/>
      <c r="AQ72" s="24"/>
      <c r="AR72" s="24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</row>
    <row r="73" spans="1:59" ht="21" x14ac:dyDescent="0.45">
      <c r="A73" s="448">
        <f t="shared" si="72"/>
        <v>44378</v>
      </c>
      <c r="B73" s="464"/>
      <c r="C73" s="468"/>
      <c r="D73" s="468"/>
      <c r="E73" s="468"/>
      <c r="F73" s="469"/>
      <c r="G73" s="470">
        <f>IF(B73&gt;0,IFERROR(GETPIVOTDATA("act_qty",RECPT!$A$3,"yymm","202107","unit","KTR","comm","LS"),0),)</f>
        <v>0</v>
      </c>
      <c r="H73" s="453"/>
      <c r="I73" s="453"/>
      <c r="J73" s="454"/>
      <c r="K73" s="448">
        <f t="shared" si="71"/>
        <v>44378</v>
      </c>
      <c r="L73" s="464"/>
      <c r="M73" s="468"/>
      <c r="N73" s="468"/>
      <c r="O73" s="468"/>
      <c r="P73" s="469"/>
      <c r="Q73" s="470">
        <f>IF(L73&gt;0,IFERROR(GETPIVOTDATA("act_qty",RECPT!$A$3,"yymm","202107","unit","TDM","comm","BD"),0),)</f>
        <v>0</v>
      </c>
      <c r="R73" s="24"/>
      <c r="S73" s="24"/>
      <c r="T73" s="24"/>
      <c r="U73" s="9"/>
      <c r="V73" s="15"/>
      <c r="W73" s="15"/>
      <c r="X73" s="15"/>
      <c r="Y73" s="15"/>
      <c r="Z73" s="15"/>
      <c r="AA73" s="29"/>
      <c r="AB73" s="10"/>
      <c r="AC73" s="24"/>
      <c r="AD73" s="24"/>
      <c r="AE73" s="9"/>
      <c r="AF73" s="10"/>
      <c r="AG73" s="10"/>
      <c r="AH73" s="10"/>
      <c r="AI73" s="10"/>
      <c r="AJ73" s="10"/>
      <c r="AK73" s="23"/>
      <c r="AL73" s="24"/>
      <c r="AM73" s="24"/>
      <c r="AN73" s="24"/>
      <c r="AO73" s="24"/>
      <c r="AP73" s="24"/>
      <c r="AQ73" s="24"/>
      <c r="AR73" s="24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</row>
    <row r="74" spans="1:59" ht="21" x14ac:dyDescent="0.45">
      <c r="A74" s="448">
        <f t="shared" si="72"/>
        <v>44409</v>
      </c>
      <c r="B74" s="464"/>
      <c r="C74" s="468"/>
      <c r="D74" s="468"/>
      <c r="E74" s="468"/>
      <c r="F74" s="469"/>
      <c r="G74" s="470">
        <f>IF(B74&gt;0,IFERROR(GETPIVOTDATA("act_qty",RECPT!$A$3,"yymm","202108","unit","KTR","comm","LS"),0),)</f>
        <v>0</v>
      </c>
      <c r="H74" s="453"/>
      <c r="I74" s="453"/>
      <c r="J74" s="454"/>
      <c r="K74" s="448">
        <f t="shared" si="71"/>
        <v>44409</v>
      </c>
      <c r="L74" s="464"/>
      <c r="M74" s="468"/>
      <c r="N74" s="468"/>
      <c r="O74" s="468"/>
      <c r="P74" s="469"/>
      <c r="Q74" s="470">
        <f>IF(L74&gt;0,IFERROR(GETPIVOTDATA("act_qty",RECPT!$A$3,"yymm","202108","unit","TDM","comm","BD"),0),)</f>
        <v>0</v>
      </c>
      <c r="R74" s="24"/>
      <c r="S74" s="24"/>
      <c r="T74" s="24"/>
      <c r="U74" s="9"/>
      <c r="V74" s="15"/>
      <c r="W74" s="15"/>
      <c r="X74" s="15"/>
      <c r="Y74" s="15"/>
      <c r="Z74" s="15"/>
      <c r="AA74" s="29"/>
      <c r="AB74" s="10"/>
      <c r="AC74" s="24"/>
      <c r="AD74" s="24"/>
      <c r="AE74" s="9"/>
      <c r="AF74" s="10"/>
      <c r="AG74" s="10"/>
      <c r="AH74" s="10"/>
      <c r="AI74" s="10"/>
      <c r="AJ74" s="10"/>
      <c r="AK74" s="23"/>
      <c r="AL74" s="24"/>
      <c r="AM74" s="24"/>
      <c r="AN74" s="24"/>
      <c r="AO74" s="24"/>
      <c r="AP74" s="24"/>
      <c r="AQ74" s="24"/>
      <c r="AR74" s="24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</row>
    <row r="75" spans="1:59" ht="21" x14ac:dyDescent="0.45">
      <c r="A75" s="448">
        <f t="shared" si="72"/>
        <v>44440</v>
      </c>
      <c r="B75" s="464"/>
      <c r="C75" s="468"/>
      <c r="D75" s="468"/>
      <c r="E75" s="468"/>
      <c r="F75" s="469"/>
      <c r="G75" s="470">
        <f>IF(B75&gt;0,IFERROR(GETPIVOTDATA("act_qty",RECPT!$A$3,"yymm","202109","unit","KTR","comm","LS"),0),)</f>
        <v>0</v>
      </c>
      <c r="H75" s="453"/>
      <c r="I75" s="453"/>
      <c r="J75" s="454"/>
      <c r="K75" s="448">
        <f t="shared" si="71"/>
        <v>44440</v>
      </c>
      <c r="L75" s="464"/>
      <c r="M75" s="468"/>
      <c r="N75" s="468"/>
      <c r="O75" s="468"/>
      <c r="P75" s="469"/>
      <c r="Q75" s="470">
        <f>IF(L75&gt;0,IFERROR(GETPIVOTDATA("act_qty",RECPT!$A$3,"yymm","202109","unit","TDM","comm","BD"),0),)</f>
        <v>0</v>
      </c>
      <c r="R75" s="24"/>
      <c r="S75" s="24"/>
      <c r="T75" s="24"/>
      <c r="U75" s="9"/>
      <c r="V75" s="15"/>
      <c r="W75" s="15"/>
      <c r="X75" s="15"/>
      <c r="Y75" s="15"/>
      <c r="Z75" s="15"/>
      <c r="AA75" s="29"/>
      <c r="AB75" s="10"/>
      <c r="AC75" s="24"/>
      <c r="AD75" s="24"/>
      <c r="AE75" s="9"/>
      <c r="AF75" s="10"/>
      <c r="AG75" s="10"/>
      <c r="AH75" s="10"/>
      <c r="AI75" s="10"/>
      <c r="AJ75" s="10"/>
      <c r="AK75" s="23"/>
      <c r="AL75" s="24"/>
      <c r="AM75" s="24"/>
      <c r="AN75" s="24"/>
      <c r="AO75" s="24"/>
      <c r="AP75" s="24"/>
      <c r="AQ75" s="24"/>
      <c r="AR75" s="24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</row>
    <row r="76" spans="1:59" ht="21" x14ac:dyDescent="0.45">
      <c r="A76" s="448">
        <f t="shared" si="72"/>
        <v>44470</v>
      </c>
      <c r="B76" s="464"/>
      <c r="C76" s="468"/>
      <c r="D76" s="468"/>
      <c r="E76" s="468"/>
      <c r="F76" s="469"/>
      <c r="G76" s="470">
        <f>IF(B76&gt;0,IFERROR(GETPIVOTDATA("act_qty",RECPT!$A$3,"yymm","202110","unit","KTR","comm","LS"),0),)</f>
        <v>0</v>
      </c>
      <c r="H76" s="453"/>
      <c r="I76" s="453"/>
      <c r="J76" s="454"/>
      <c r="K76" s="448">
        <f t="shared" si="71"/>
        <v>44470</v>
      </c>
      <c r="L76" s="464"/>
      <c r="M76" s="468"/>
      <c r="N76" s="468"/>
      <c r="O76" s="468"/>
      <c r="P76" s="469"/>
      <c r="Q76" s="470">
        <f>IF(L76&gt;0,IFERROR(GETPIVOTDATA("act_qty",RECPT!$A$3,"yymm","202110","unit","TDM","comm","BD"),0),)</f>
        <v>0</v>
      </c>
      <c r="R76" s="24"/>
      <c r="S76" s="24"/>
      <c r="T76" s="24"/>
      <c r="U76" s="9"/>
      <c r="V76" s="15"/>
      <c r="W76" s="15"/>
      <c r="X76" s="15"/>
      <c r="Y76" s="15"/>
      <c r="Z76" s="15"/>
      <c r="AA76" s="29"/>
      <c r="AB76" s="10"/>
      <c r="AC76" s="24"/>
      <c r="AD76" s="24"/>
      <c r="AE76" s="9"/>
      <c r="AF76" s="10"/>
      <c r="AG76" s="10"/>
      <c r="AH76" s="10"/>
      <c r="AI76" s="10"/>
      <c r="AJ76" s="10"/>
      <c r="AK76" s="23"/>
      <c r="AL76" s="24"/>
      <c r="AM76" s="24"/>
      <c r="AN76" s="24"/>
      <c r="AO76" s="24"/>
      <c r="AP76" s="24"/>
      <c r="AQ76" s="24"/>
      <c r="AR76" s="24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</row>
    <row r="77" spans="1:59" ht="21" x14ac:dyDescent="0.45">
      <c r="A77" s="448">
        <f t="shared" si="72"/>
        <v>44501</v>
      </c>
      <c r="B77" s="464"/>
      <c r="C77" s="468"/>
      <c r="D77" s="468"/>
      <c r="E77" s="468"/>
      <c r="F77" s="471"/>
      <c r="G77" s="470">
        <f>IF(B77&gt;0,IFERROR(GETPIVOTDATA("act_qty",RECPT!$A$3,"yymm","202111","unit","KTR","comm","LS"),0),)</f>
        <v>0</v>
      </c>
      <c r="H77" s="453"/>
      <c r="I77" s="453"/>
      <c r="J77" s="454"/>
      <c r="K77" s="448">
        <f t="shared" si="71"/>
        <v>44501</v>
      </c>
      <c r="L77" s="464"/>
      <c r="M77" s="468"/>
      <c r="N77" s="468"/>
      <c r="O77" s="468"/>
      <c r="P77" s="471"/>
      <c r="Q77" s="470">
        <f>IF(L77&gt;0,IFERROR(GETPIVOTDATA("act_qty",RECPT!$A$3,"yymm","202111","unit","TDM","comm","BD"),0),)</f>
        <v>0</v>
      </c>
      <c r="R77" s="24"/>
      <c r="S77" s="24"/>
      <c r="T77" s="24"/>
      <c r="U77" s="9"/>
      <c r="V77" s="15"/>
      <c r="W77" s="15"/>
      <c r="X77" s="15"/>
      <c r="Y77" s="15"/>
      <c r="Z77" s="15"/>
      <c r="AA77" s="29"/>
      <c r="AB77" s="10"/>
      <c r="AC77" s="24"/>
      <c r="AD77" s="24"/>
      <c r="AE77" s="9"/>
      <c r="AF77" s="10"/>
      <c r="AG77" s="10"/>
      <c r="AH77" s="10"/>
      <c r="AI77" s="10"/>
      <c r="AJ77" s="10"/>
      <c r="AK77" s="23"/>
      <c r="AL77" s="24"/>
      <c r="AM77" s="24"/>
      <c r="AN77" s="24"/>
      <c r="AO77" s="24"/>
      <c r="AP77" s="24"/>
      <c r="AQ77" s="24"/>
      <c r="AR77" s="24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</row>
    <row r="78" spans="1:59" ht="21" x14ac:dyDescent="0.45">
      <c r="A78" s="448">
        <f t="shared" si="72"/>
        <v>44531</v>
      </c>
      <c r="B78" s="464"/>
      <c r="C78" s="468"/>
      <c r="D78" s="468"/>
      <c r="E78" s="468"/>
      <c r="F78" s="471"/>
      <c r="G78" s="470">
        <f>IF(B78&gt;0,IFERROR(GETPIVOTDATA("act_qty",RECPT!$A$3,"yymm","202112","unit","KTR","comm","LS"),0),)</f>
        <v>0</v>
      </c>
      <c r="H78" s="453"/>
      <c r="I78" s="453"/>
      <c r="J78" s="454"/>
      <c r="K78" s="448">
        <f t="shared" si="71"/>
        <v>44531</v>
      </c>
      <c r="L78" s="464"/>
      <c r="M78" s="468"/>
      <c r="N78" s="468"/>
      <c r="O78" s="468"/>
      <c r="P78" s="471"/>
      <c r="Q78" s="470">
        <f>IF(L78&gt;0,IFERROR(GETPIVOTDATA("act_qty",RECPT!$A$3,"yymm","202112","unit","TDM","comm","BD"),0),)</f>
        <v>0</v>
      </c>
      <c r="R78" s="24"/>
      <c r="S78" s="24"/>
      <c r="T78" s="24"/>
      <c r="U78" s="9"/>
      <c r="V78" s="15"/>
      <c r="W78" s="15"/>
      <c r="X78" s="15"/>
      <c r="Y78" s="15"/>
      <c r="Z78" s="15"/>
      <c r="AA78" s="29"/>
      <c r="AB78" s="10"/>
      <c r="AC78" s="24"/>
      <c r="AD78" s="24"/>
      <c r="AE78" s="9"/>
      <c r="AF78" s="10"/>
      <c r="AG78" s="10"/>
      <c r="AH78" s="10"/>
      <c r="AI78" s="10"/>
      <c r="AJ78" s="10"/>
      <c r="AK78" s="23"/>
      <c r="AL78" s="24"/>
      <c r="AM78" s="24"/>
      <c r="AN78" s="24"/>
      <c r="AO78" s="24"/>
      <c r="AP78" s="24"/>
      <c r="AQ78" s="24"/>
      <c r="AR78" s="24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</row>
    <row r="79" spans="1:59" ht="21" x14ac:dyDescent="0.45">
      <c r="A79" s="448">
        <f t="shared" si="72"/>
        <v>44562</v>
      </c>
      <c r="B79" s="464"/>
      <c r="C79" s="468"/>
      <c r="D79" s="468"/>
      <c r="E79" s="468"/>
      <c r="F79" s="471"/>
      <c r="G79" s="470">
        <f>IF(B79&gt;0,IFERROR(GETPIVOTDATA("act_qty",RECPT!$A$3,"yymm","202201","unit","KTR","comm","LS"),0),)</f>
        <v>0</v>
      </c>
      <c r="H79" s="453"/>
      <c r="I79" s="453"/>
      <c r="J79" s="454"/>
      <c r="K79" s="448">
        <f t="shared" si="71"/>
        <v>44562</v>
      </c>
      <c r="L79" s="464"/>
      <c r="M79" s="468"/>
      <c r="N79" s="468"/>
      <c r="O79" s="468"/>
      <c r="P79" s="471"/>
      <c r="Q79" s="470">
        <f>IF(L79&gt;0,IFERROR(GETPIVOTDATA("act_qty",RECPT!$A$3,"yymm","202201","unit","TDM","comm","BD"),0),)</f>
        <v>0</v>
      </c>
      <c r="R79" s="24"/>
      <c r="S79" s="24"/>
      <c r="T79" s="24"/>
      <c r="U79" s="9"/>
      <c r="V79" s="15"/>
      <c r="W79" s="15"/>
      <c r="X79" s="15"/>
      <c r="Y79" s="15"/>
      <c r="Z79" s="15"/>
      <c r="AA79" s="29"/>
      <c r="AB79" s="10"/>
      <c r="AC79" s="24"/>
      <c r="AD79" s="24"/>
      <c r="AE79" s="9"/>
      <c r="AF79" s="10"/>
      <c r="AG79" s="10"/>
      <c r="AH79" s="10"/>
      <c r="AI79" s="10"/>
      <c r="AJ79" s="10"/>
      <c r="AK79" s="23"/>
      <c r="AL79" s="24"/>
      <c r="AM79" s="24"/>
      <c r="AN79" s="24"/>
      <c r="AO79" s="24"/>
      <c r="AP79" s="24"/>
      <c r="AQ79" s="24"/>
      <c r="AR79" s="24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</row>
    <row r="80" spans="1:59" ht="21" x14ac:dyDescent="0.45">
      <c r="A80" s="448">
        <f t="shared" si="72"/>
        <v>44593</v>
      </c>
      <c r="B80" s="464"/>
      <c r="C80" s="468"/>
      <c r="D80" s="468"/>
      <c r="E80" s="468"/>
      <c r="F80" s="471"/>
      <c r="G80" s="470">
        <f>IF(B80&gt;0,IFERROR(GETPIVOTDATA("act_qty",RECPT!$A$3,"yymm","202202","unit","KTR","comm","LS"),0),)</f>
        <v>0</v>
      </c>
      <c r="H80" s="453"/>
      <c r="I80" s="453"/>
      <c r="J80" s="454"/>
      <c r="K80" s="448">
        <f t="shared" si="71"/>
        <v>44593</v>
      </c>
      <c r="L80" s="464"/>
      <c r="M80" s="468"/>
      <c r="N80" s="468"/>
      <c r="O80" s="468"/>
      <c r="P80" s="471"/>
      <c r="Q80" s="470">
        <f>IF(L80&gt;0,IFERROR(GETPIVOTDATA("act_qty",RECPT!$A$3,"yymm","202202","unit","TDM","comm","BD"),0),)</f>
        <v>0</v>
      </c>
      <c r="R80" s="24"/>
      <c r="S80" s="24"/>
      <c r="T80" s="24"/>
      <c r="U80" s="9"/>
      <c r="V80" s="15"/>
      <c r="W80" s="15"/>
      <c r="X80" s="15"/>
      <c r="Y80" s="15"/>
      <c r="Z80" s="15"/>
      <c r="AA80" s="29"/>
      <c r="AB80" s="10"/>
      <c r="AC80" s="24"/>
      <c r="AD80" s="24"/>
      <c r="AE80" s="9"/>
      <c r="AF80" s="10"/>
      <c r="AG80" s="10"/>
      <c r="AH80" s="10"/>
      <c r="AI80" s="10"/>
      <c r="AJ80" s="10"/>
      <c r="AK80" s="23"/>
      <c r="AL80" s="24"/>
      <c r="AM80" s="24"/>
      <c r="AN80" s="24"/>
      <c r="AO80" s="24"/>
      <c r="AP80" s="24"/>
      <c r="AQ80" s="24"/>
      <c r="AR80" s="24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</row>
    <row r="81" spans="1:59" ht="21.5" thickBot="1" x14ac:dyDescent="0.5">
      <c r="A81" s="456">
        <f t="shared" si="72"/>
        <v>44621</v>
      </c>
      <c r="B81" s="464"/>
      <c r="C81" s="472"/>
      <c r="D81" s="472"/>
      <c r="E81" s="472"/>
      <c r="F81" s="473"/>
      <c r="G81" s="474">
        <f>IF(B81&gt;0,IFERROR(GETPIVOTDATA("act_qty",RECPT!$A$3,"yymm","202203","unit","KTR","comm","LS"),0),)</f>
        <v>0</v>
      </c>
      <c r="H81" s="453"/>
      <c r="I81" s="453"/>
      <c r="J81" s="454"/>
      <c r="K81" s="456">
        <f t="shared" si="71"/>
        <v>44621</v>
      </c>
      <c r="L81" s="464"/>
      <c r="M81" s="472"/>
      <c r="N81" s="472"/>
      <c r="O81" s="472"/>
      <c r="P81" s="473"/>
      <c r="Q81" s="474">
        <f>IF(L81&gt;0,IFERROR(GETPIVOTDATA("act_qty",RECPT!$A$3,"yymm","202203","unit","TDM","comm","BD"),0),)</f>
        <v>0</v>
      </c>
      <c r="R81" s="24"/>
      <c r="S81" s="24"/>
      <c r="T81" s="24"/>
      <c r="U81" s="9"/>
      <c r="V81" s="15"/>
      <c r="W81" s="15"/>
      <c r="X81" s="15"/>
      <c r="Y81" s="15"/>
      <c r="Z81" s="15"/>
      <c r="AA81" s="29"/>
      <c r="AB81" s="10"/>
      <c r="AC81" s="24"/>
      <c r="AD81" s="24"/>
      <c r="AE81" s="9"/>
      <c r="AF81" s="10"/>
      <c r="AG81" s="10"/>
      <c r="AH81" s="10"/>
      <c r="AI81" s="10"/>
      <c r="AJ81" s="10"/>
      <c r="AK81" s="23"/>
      <c r="AL81" s="24"/>
      <c r="AM81" s="24"/>
      <c r="AN81" s="24"/>
      <c r="AO81" s="24"/>
      <c r="AP81" s="24"/>
      <c r="AQ81" s="24"/>
      <c r="AR81" s="24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1:59" ht="21" thickBot="1" x14ac:dyDescent="0.5">
      <c r="A82" s="461" t="str">
        <f t="shared" si="72"/>
        <v>CUMML</v>
      </c>
      <c r="B82" s="449"/>
      <c r="C82" s="450"/>
      <c r="D82" s="450"/>
      <c r="E82" s="450"/>
      <c r="F82" s="451"/>
      <c r="G82" s="475">
        <f>SUM(G70:G81)</f>
        <v>44383</v>
      </c>
      <c r="H82" s="453"/>
      <c r="I82" s="453"/>
      <c r="J82" s="454"/>
      <c r="K82" s="461" t="str">
        <f t="shared" si="71"/>
        <v>CUMML</v>
      </c>
      <c r="L82" s="449"/>
      <c r="M82" s="450"/>
      <c r="N82" s="450"/>
      <c r="O82" s="450"/>
      <c r="P82" s="451"/>
      <c r="Q82" s="475">
        <f>SUM(Q70:Q81)</f>
        <v>0</v>
      </c>
      <c r="R82" s="24"/>
      <c r="S82" s="24"/>
      <c r="T82" s="24"/>
      <c r="U82" s="65"/>
      <c r="V82" s="10"/>
      <c r="W82" s="10"/>
      <c r="X82" s="10"/>
      <c r="Y82" s="10"/>
      <c r="Z82" s="10"/>
      <c r="AA82" s="24"/>
      <c r="AB82" s="23"/>
      <c r="AC82" s="24"/>
      <c r="AD82" s="24"/>
      <c r="AE82" s="9"/>
      <c r="AF82" s="10"/>
      <c r="AG82" s="10"/>
      <c r="AH82" s="10"/>
      <c r="AI82" s="10"/>
      <c r="AJ82" s="10"/>
      <c r="AK82" s="23"/>
      <c r="AL82" s="24"/>
      <c r="AM82" s="24"/>
      <c r="AN82" s="24"/>
      <c r="AO82" s="24"/>
      <c r="AP82" s="24"/>
      <c r="AQ82" s="24"/>
      <c r="AR82" s="24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</row>
    <row r="83" spans="1:59" ht="18" customHeight="1" x14ac:dyDescent="0.65">
      <c r="A83" s="372"/>
      <c r="B83" s="372"/>
      <c r="C83" s="372"/>
      <c r="D83" s="372"/>
      <c r="E83" s="372"/>
      <c r="F83" s="372"/>
      <c r="G83" s="372"/>
      <c r="H83" s="372"/>
      <c r="I83" s="373"/>
      <c r="J83" s="372"/>
      <c r="K83" s="372"/>
      <c r="L83" s="372"/>
      <c r="M83" s="372"/>
      <c r="N83" s="372"/>
      <c r="O83" s="372"/>
      <c r="P83" s="372"/>
      <c r="Q83" s="11"/>
      <c r="R83" s="24"/>
      <c r="S83" s="24"/>
      <c r="T83" s="24"/>
      <c r="U83" s="24"/>
      <c r="V83" s="24"/>
      <c r="W83" s="24"/>
      <c r="X83" s="24"/>
      <c r="Y83" s="24"/>
      <c r="Z83" s="24"/>
      <c r="AA83" s="29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</row>
    <row r="84" spans="1:59" ht="28.5" x14ac:dyDescent="0.65">
      <c r="A84" s="374"/>
      <c r="B84" s="375"/>
      <c r="C84" s="375"/>
      <c r="D84" s="375"/>
      <c r="E84" s="375"/>
      <c r="F84" s="375"/>
      <c r="G84" s="372"/>
      <c r="H84" s="372"/>
      <c r="I84" s="373"/>
      <c r="J84" s="372"/>
      <c r="K84" s="374"/>
      <c r="L84" s="375"/>
      <c r="M84" s="375"/>
      <c r="N84" s="375"/>
      <c r="O84" s="375"/>
      <c r="P84" s="375"/>
      <c r="Q84" s="11"/>
      <c r="R84" s="24"/>
      <c r="S84" s="24"/>
      <c r="T84" s="24"/>
      <c r="U84" s="9"/>
      <c r="V84" s="10"/>
      <c r="W84" s="10"/>
      <c r="X84" s="10"/>
      <c r="Y84" s="10"/>
      <c r="Z84" s="10"/>
      <c r="AA84" s="29"/>
      <c r="AB84" s="24"/>
      <c r="AC84" s="24"/>
      <c r="AD84" s="24"/>
      <c r="AE84" s="9"/>
      <c r="AF84" s="10"/>
      <c r="AG84" s="10"/>
      <c r="AH84" s="10"/>
      <c r="AI84" s="66"/>
      <c r="AJ84" s="66"/>
      <c r="AK84" s="24"/>
      <c r="AL84" s="24"/>
      <c r="AM84" s="24"/>
      <c r="AN84" s="24"/>
      <c r="AO84" s="24"/>
      <c r="AP84" s="24"/>
      <c r="AQ84" s="24"/>
      <c r="AR84" s="24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1:59" ht="21.75" customHeight="1" x14ac:dyDescent="0.65">
      <c r="A85" s="376"/>
      <c r="B85" s="377"/>
      <c r="C85" s="377"/>
      <c r="D85" s="377"/>
      <c r="E85" s="377"/>
      <c r="F85" s="377"/>
      <c r="G85" s="372"/>
      <c r="H85" s="372"/>
      <c r="I85" s="373"/>
      <c r="J85" s="372"/>
      <c r="K85" s="376"/>
      <c r="L85" s="377"/>
      <c r="M85" s="377"/>
      <c r="N85" s="377"/>
      <c r="O85" s="377"/>
      <c r="P85" s="377"/>
      <c r="Q85" s="11"/>
      <c r="R85" s="24"/>
      <c r="S85" s="24"/>
      <c r="T85" s="24"/>
      <c r="U85" s="67"/>
      <c r="V85" s="68"/>
      <c r="W85" s="68"/>
      <c r="X85" s="68"/>
      <c r="Y85" s="68"/>
      <c r="Z85" s="68"/>
      <c r="AA85" s="29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</row>
    <row r="86" spans="1:59" ht="28.5" x14ac:dyDescent="0.65">
      <c r="A86" s="372"/>
      <c r="B86" s="372"/>
      <c r="C86" s="372"/>
      <c r="D86" s="372"/>
      <c r="E86" s="372"/>
      <c r="F86" s="372"/>
      <c r="G86" s="372"/>
      <c r="H86" s="372"/>
      <c r="I86" s="373"/>
      <c r="J86" s="372"/>
      <c r="K86" s="372"/>
      <c r="L86" s="372"/>
      <c r="M86" s="372"/>
      <c r="N86" s="372"/>
      <c r="O86" s="372"/>
      <c r="P86" s="372"/>
      <c r="Q86" s="11"/>
      <c r="R86" s="24"/>
      <c r="S86" s="24"/>
      <c r="T86" s="24"/>
      <c r="U86" s="24"/>
      <c r="V86" s="24"/>
      <c r="W86" s="24"/>
      <c r="X86" s="24"/>
      <c r="Y86" s="24"/>
      <c r="Z86" s="24"/>
      <c r="AA86" s="29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</row>
    <row r="87" spans="1:59" ht="31.5" customHeight="1" x14ac:dyDescent="0.65">
      <c r="A87" s="372"/>
      <c r="B87" s="372"/>
      <c r="C87" s="372"/>
      <c r="D87" s="372"/>
      <c r="E87" s="372"/>
      <c r="F87" s="372"/>
      <c r="G87" s="372"/>
      <c r="H87" s="372"/>
      <c r="I87" s="373"/>
      <c r="J87" s="372"/>
      <c r="K87" s="372"/>
      <c r="L87" s="372"/>
      <c r="M87" s="372"/>
      <c r="N87" s="372"/>
      <c r="O87" s="372"/>
      <c r="P87" s="372"/>
      <c r="Q87" s="11"/>
      <c r="R87" s="24"/>
      <c r="S87" s="24"/>
      <c r="T87" s="24"/>
      <c r="U87" s="24"/>
      <c r="V87" s="24"/>
      <c r="W87" s="24"/>
      <c r="X87" s="24"/>
      <c r="Y87" s="24"/>
      <c r="Z87" s="24"/>
      <c r="AA87" s="29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</row>
    <row r="88" spans="1:59" ht="38.25" customHeight="1" x14ac:dyDescent="0.35">
      <c r="A88" s="588"/>
      <c r="B88" s="588"/>
      <c r="C88" s="588"/>
      <c r="D88" s="588"/>
      <c r="E88" s="588"/>
      <c r="F88" s="588"/>
      <c r="G88" s="588"/>
      <c r="H88" s="588"/>
      <c r="I88" s="588"/>
      <c r="J88" s="588"/>
      <c r="K88" s="588"/>
      <c r="L88" s="588"/>
      <c r="M88" s="588"/>
      <c r="N88" s="588"/>
      <c r="O88" s="588"/>
      <c r="P88" s="588"/>
      <c r="Q88" s="11"/>
      <c r="R88" s="24"/>
      <c r="S88" s="24"/>
      <c r="T88" s="24"/>
      <c r="U88" s="24"/>
      <c r="V88" s="24"/>
      <c r="W88" s="24"/>
      <c r="X88" s="24"/>
      <c r="Y88" s="24"/>
      <c r="Z88" s="24"/>
      <c r="AA88" s="29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</row>
    <row r="89" spans="1:59" s="386" customFormat="1" ht="35.25" customHeight="1" x14ac:dyDescent="0.35">
      <c r="A89" s="378"/>
      <c r="B89" s="379"/>
      <c r="C89" s="379"/>
      <c r="D89" s="378"/>
      <c r="E89" s="380"/>
      <c r="F89" s="381"/>
      <c r="G89" s="382"/>
      <c r="H89" s="382"/>
      <c r="I89" s="383"/>
      <c r="J89" s="382"/>
      <c r="K89" s="378"/>
      <c r="L89" s="379"/>
      <c r="M89" s="379"/>
      <c r="N89" s="378"/>
      <c r="O89" s="380"/>
      <c r="P89" s="381"/>
      <c r="Q89" s="384"/>
      <c r="R89" s="384"/>
      <c r="S89" s="384"/>
      <c r="T89" s="384"/>
      <c r="U89" s="384"/>
      <c r="V89" s="384"/>
      <c r="W89" s="384"/>
      <c r="X89" s="384"/>
      <c r="Y89" s="384"/>
      <c r="Z89" s="384"/>
      <c r="AA89" s="384"/>
      <c r="AB89" s="384"/>
      <c r="AC89" s="384"/>
      <c r="AD89" s="384"/>
      <c r="AE89" s="384"/>
      <c r="AF89" s="384"/>
      <c r="AG89" s="384"/>
      <c r="AH89" s="384"/>
      <c r="AI89" s="384"/>
      <c r="AJ89" s="384"/>
      <c r="AK89" s="384"/>
      <c r="AL89" s="384"/>
      <c r="AM89" s="384"/>
      <c r="AN89" s="384"/>
      <c r="AO89" s="384"/>
      <c r="AP89" s="384"/>
      <c r="AQ89" s="384"/>
      <c r="AR89" s="384"/>
      <c r="AS89" s="385"/>
      <c r="AT89" s="385"/>
      <c r="AU89" s="385"/>
      <c r="AV89" s="385"/>
      <c r="AW89" s="385"/>
      <c r="AX89" s="385"/>
      <c r="AY89" s="385"/>
      <c r="AZ89" s="385"/>
      <c r="BA89" s="385"/>
      <c r="BB89" s="385"/>
      <c r="BC89" s="385"/>
      <c r="BD89" s="385"/>
      <c r="BE89" s="385"/>
      <c r="BF89" s="385"/>
      <c r="BG89" s="385"/>
    </row>
    <row r="90" spans="1:59" ht="21" customHeight="1" x14ac:dyDescent="0.65">
      <c r="A90" s="387"/>
      <c r="B90" s="387"/>
      <c r="C90" s="387"/>
      <c r="D90" s="387"/>
      <c r="E90" s="387"/>
      <c r="F90" s="387"/>
      <c r="G90" s="372"/>
      <c r="H90" s="372"/>
      <c r="I90" s="373"/>
      <c r="J90" s="372"/>
      <c r="K90" s="589"/>
      <c r="L90" s="589"/>
      <c r="M90" s="589"/>
      <c r="N90" s="589"/>
      <c r="O90" s="589"/>
      <c r="P90" s="589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</row>
    <row r="91" spans="1:59" ht="28.5" x14ac:dyDescent="0.65">
      <c r="A91" s="387"/>
      <c r="B91" s="388"/>
      <c r="C91" s="388"/>
      <c r="D91" s="388"/>
      <c r="E91" s="388"/>
      <c r="F91" s="388"/>
      <c r="G91" s="372"/>
      <c r="H91" s="372"/>
      <c r="I91" s="373"/>
      <c r="J91" s="372"/>
      <c r="K91" s="387"/>
      <c r="L91" s="388"/>
      <c r="M91" s="388"/>
      <c r="N91" s="388"/>
      <c r="O91" s="388"/>
      <c r="P91" s="388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</row>
    <row r="92" spans="1:59" ht="28.5" x14ac:dyDescent="0.65">
      <c r="A92" s="389"/>
      <c r="B92" s="390"/>
      <c r="C92" s="391"/>
      <c r="D92" s="390"/>
      <c r="E92" s="390"/>
      <c r="F92" s="390"/>
      <c r="G92" s="372"/>
      <c r="H92" s="372"/>
      <c r="I92" s="373"/>
      <c r="J92" s="372"/>
      <c r="K92" s="389"/>
      <c r="L92" s="390"/>
      <c r="M92" s="391"/>
      <c r="N92" s="390"/>
      <c r="O92" s="390"/>
      <c r="P92" s="390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</row>
    <row r="93" spans="1:59" ht="28.5" x14ac:dyDescent="0.65">
      <c r="A93" s="392"/>
      <c r="B93" s="393"/>
      <c r="C93" s="393"/>
      <c r="D93" s="393"/>
      <c r="E93" s="393"/>
      <c r="F93" s="393"/>
      <c r="G93" s="372"/>
      <c r="H93" s="372"/>
      <c r="I93" s="373"/>
      <c r="J93" s="372"/>
      <c r="K93" s="392"/>
      <c r="L93" s="393"/>
      <c r="M93" s="393"/>
      <c r="N93" s="393"/>
      <c r="O93" s="393"/>
      <c r="P93" s="393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</row>
    <row r="94" spans="1:59" ht="28.5" x14ac:dyDescent="0.65">
      <c r="A94" s="374"/>
      <c r="B94" s="375"/>
      <c r="C94" s="375"/>
      <c r="D94" s="375"/>
      <c r="E94" s="375"/>
      <c r="F94" s="375"/>
      <c r="G94" s="372"/>
      <c r="H94" s="372"/>
      <c r="I94" s="373"/>
      <c r="J94" s="372"/>
      <c r="K94" s="374"/>
      <c r="L94" s="375"/>
      <c r="M94" s="375"/>
      <c r="N94" s="375"/>
      <c r="O94" s="375"/>
      <c r="P94" s="375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</row>
    <row r="95" spans="1:59" ht="28.5" x14ac:dyDescent="0.65">
      <c r="A95" s="374"/>
      <c r="B95" s="375"/>
      <c r="C95" s="375"/>
      <c r="D95" s="375"/>
      <c r="E95" s="375"/>
      <c r="F95" s="375"/>
      <c r="G95" s="372"/>
      <c r="H95" s="372"/>
      <c r="I95" s="373"/>
      <c r="J95" s="372"/>
      <c r="K95" s="374"/>
      <c r="L95" s="375"/>
      <c r="M95" s="375"/>
      <c r="N95" s="375"/>
      <c r="O95" s="375"/>
      <c r="P95" s="375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</row>
    <row r="96" spans="1:59" ht="28.5" x14ac:dyDescent="0.65">
      <c r="A96" s="374"/>
      <c r="B96" s="375"/>
      <c r="C96" s="375"/>
      <c r="D96" s="375"/>
      <c r="E96" s="375"/>
      <c r="F96" s="375"/>
      <c r="G96" s="372"/>
      <c r="H96" s="372"/>
      <c r="I96" s="373"/>
      <c r="J96" s="372"/>
      <c r="K96" s="374"/>
      <c r="L96" s="375"/>
      <c r="M96" s="375"/>
      <c r="N96" s="375"/>
      <c r="O96" s="375"/>
      <c r="P96" s="375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</row>
    <row r="97" spans="1:59" ht="28.5" x14ac:dyDescent="0.65">
      <c r="A97" s="374"/>
      <c r="B97" s="375"/>
      <c r="C97" s="375"/>
      <c r="D97" s="375"/>
      <c r="E97" s="375"/>
      <c r="F97" s="375"/>
      <c r="G97" s="372"/>
      <c r="H97" s="372"/>
      <c r="I97" s="373"/>
      <c r="J97" s="372"/>
      <c r="K97" s="374"/>
      <c r="L97" s="375"/>
      <c r="M97" s="375"/>
      <c r="N97" s="375"/>
      <c r="O97" s="375"/>
      <c r="P97" s="375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</row>
    <row r="98" spans="1:59" ht="28.5" x14ac:dyDescent="0.65">
      <c r="A98" s="374"/>
      <c r="B98" s="375"/>
      <c r="C98" s="375"/>
      <c r="D98" s="375"/>
      <c r="E98" s="375"/>
      <c r="F98" s="375"/>
      <c r="G98" s="372"/>
      <c r="H98" s="372"/>
      <c r="I98" s="373"/>
      <c r="J98" s="372"/>
      <c r="K98" s="374"/>
      <c r="L98" s="375"/>
      <c r="M98" s="375"/>
      <c r="N98" s="375"/>
      <c r="O98" s="375"/>
      <c r="P98" s="375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</row>
    <row r="99" spans="1:59" ht="28.5" x14ac:dyDescent="0.65">
      <c r="A99" s="374"/>
      <c r="B99" s="375"/>
      <c r="C99" s="375"/>
      <c r="D99" s="375"/>
      <c r="E99" s="375"/>
      <c r="F99" s="375"/>
      <c r="G99" s="372"/>
      <c r="H99" s="372"/>
      <c r="I99" s="373"/>
      <c r="J99" s="372"/>
      <c r="K99" s="374"/>
      <c r="L99" s="375"/>
      <c r="M99" s="375"/>
      <c r="N99" s="375"/>
      <c r="O99" s="375"/>
      <c r="P99" s="375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</row>
    <row r="100" spans="1:59" ht="28.5" x14ac:dyDescent="0.65">
      <c r="A100" s="374"/>
      <c r="B100" s="375"/>
      <c r="C100" s="375"/>
      <c r="D100" s="375"/>
      <c r="E100" s="375"/>
      <c r="F100" s="375"/>
      <c r="G100" s="372"/>
      <c r="H100" s="372"/>
      <c r="I100" s="373"/>
      <c r="J100" s="372"/>
      <c r="K100" s="374"/>
      <c r="L100" s="375"/>
      <c r="M100" s="375"/>
      <c r="N100" s="375"/>
      <c r="O100" s="375"/>
      <c r="P100" s="375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</row>
    <row r="101" spans="1:59" ht="28.5" x14ac:dyDescent="0.65">
      <c r="A101" s="374"/>
      <c r="B101" s="375"/>
      <c r="C101" s="375"/>
      <c r="D101" s="375"/>
      <c r="E101" s="375"/>
      <c r="F101" s="375"/>
      <c r="G101" s="372"/>
      <c r="H101" s="372"/>
      <c r="I101" s="373"/>
      <c r="J101" s="372"/>
      <c r="K101" s="374"/>
      <c r="L101" s="375"/>
      <c r="M101" s="375"/>
      <c r="N101" s="375"/>
      <c r="O101" s="375"/>
      <c r="P101" s="375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</row>
    <row r="102" spans="1:59" ht="28.5" x14ac:dyDescent="0.65">
      <c r="A102" s="374"/>
      <c r="B102" s="375"/>
      <c r="C102" s="375"/>
      <c r="D102" s="375"/>
      <c r="E102" s="375"/>
      <c r="F102" s="375"/>
      <c r="G102" s="372"/>
      <c r="H102" s="372"/>
      <c r="I102" s="373"/>
      <c r="J102" s="372"/>
      <c r="K102" s="374"/>
      <c r="L102" s="375"/>
      <c r="M102" s="375"/>
      <c r="N102" s="375"/>
      <c r="O102" s="375"/>
      <c r="P102" s="375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</row>
    <row r="103" spans="1:59" ht="28.5" x14ac:dyDescent="0.65">
      <c r="A103" s="374"/>
      <c r="B103" s="375"/>
      <c r="C103" s="375"/>
      <c r="D103" s="375"/>
      <c r="E103" s="375"/>
      <c r="F103" s="375"/>
      <c r="G103" s="372"/>
      <c r="H103" s="372"/>
      <c r="I103" s="373"/>
      <c r="J103" s="372"/>
      <c r="K103" s="374"/>
      <c r="L103" s="375"/>
      <c r="M103" s="375"/>
      <c r="N103" s="375"/>
      <c r="O103" s="375"/>
      <c r="P103" s="375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</row>
    <row r="104" spans="1:59" ht="28.5" x14ac:dyDescent="0.65">
      <c r="A104" s="374"/>
      <c r="B104" s="375"/>
      <c r="C104" s="375"/>
      <c r="D104" s="375"/>
      <c r="E104" s="375"/>
      <c r="F104" s="375"/>
      <c r="G104" s="372"/>
      <c r="H104" s="372"/>
      <c r="I104" s="373"/>
      <c r="J104" s="372"/>
      <c r="K104" s="374"/>
      <c r="L104" s="375"/>
      <c r="M104" s="375"/>
      <c r="N104" s="375"/>
      <c r="O104" s="375"/>
      <c r="P104" s="375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</row>
    <row r="105" spans="1:59" ht="28.5" x14ac:dyDescent="0.65">
      <c r="A105" s="374"/>
      <c r="B105" s="375"/>
      <c r="C105" s="375"/>
      <c r="D105" s="375"/>
      <c r="E105" s="375"/>
      <c r="F105" s="375"/>
      <c r="G105" s="372"/>
      <c r="H105" s="372"/>
      <c r="I105" s="373"/>
      <c r="J105" s="372"/>
      <c r="K105" s="374"/>
      <c r="L105" s="375"/>
      <c r="M105" s="375"/>
      <c r="N105" s="375"/>
      <c r="O105" s="375"/>
      <c r="P105" s="375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</row>
    <row r="106" spans="1:59" ht="28.5" x14ac:dyDescent="0.65">
      <c r="A106" s="394"/>
      <c r="B106" s="375"/>
      <c r="C106" s="375"/>
      <c r="D106" s="375"/>
      <c r="E106" s="375"/>
      <c r="F106" s="375"/>
      <c r="G106" s="372"/>
      <c r="H106" s="372"/>
      <c r="I106" s="373"/>
      <c r="J106" s="372"/>
      <c r="K106" s="394"/>
      <c r="L106" s="375"/>
      <c r="M106" s="375"/>
      <c r="N106" s="375"/>
      <c r="O106" s="375"/>
      <c r="P106" s="375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</row>
    <row r="107" spans="1:59" ht="28.5" x14ac:dyDescent="0.65">
      <c r="A107" s="394"/>
      <c r="B107" s="375"/>
      <c r="C107" s="375"/>
      <c r="D107" s="375"/>
      <c r="E107" s="375"/>
      <c r="F107" s="375"/>
      <c r="G107" s="372"/>
      <c r="H107" s="372"/>
      <c r="I107" s="373"/>
      <c r="J107" s="372"/>
      <c r="K107" s="394"/>
      <c r="L107" s="375"/>
      <c r="M107" s="375"/>
      <c r="N107" s="375"/>
      <c r="O107" s="375"/>
      <c r="P107" s="375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</row>
    <row r="108" spans="1:59" ht="28.5" customHeight="1" x14ac:dyDescent="0.25">
      <c r="A108" s="590"/>
      <c r="B108" s="590"/>
      <c r="C108" s="590"/>
      <c r="D108" s="590"/>
      <c r="E108" s="590"/>
      <c r="F108" s="590"/>
      <c r="G108" s="590"/>
      <c r="H108" s="590"/>
      <c r="I108" s="590"/>
      <c r="J108" s="590"/>
      <c r="K108" s="590"/>
      <c r="L108" s="590"/>
      <c r="M108" s="590"/>
      <c r="N108" s="590"/>
      <c r="O108" s="590"/>
      <c r="P108" s="590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</row>
    <row r="109" spans="1:59" ht="21" customHeight="1" x14ac:dyDescent="0.25">
      <c r="A109" s="24"/>
      <c r="B109" s="24"/>
      <c r="C109" s="24"/>
      <c r="D109" s="24"/>
      <c r="E109" s="24"/>
      <c r="F109" s="24"/>
      <c r="G109" s="24"/>
      <c r="H109" s="24"/>
      <c r="I109" s="37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</row>
    <row r="110" spans="1:59" ht="30.75" customHeight="1" x14ac:dyDescent="0.35">
      <c r="A110" s="9"/>
      <c r="B110" s="10"/>
      <c r="C110" s="10"/>
      <c r="D110" s="10"/>
      <c r="E110" s="10"/>
      <c r="F110" s="10"/>
      <c r="G110" s="24"/>
      <c r="H110" s="24"/>
      <c r="I110" s="37"/>
      <c r="J110" s="24"/>
      <c r="K110" s="9"/>
      <c r="L110" s="10"/>
      <c r="M110" s="10"/>
      <c r="N110" s="10"/>
      <c r="O110" s="10"/>
      <c r="P110" s="10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</row>
    <row r="111" spans="1:59" ht="29.25" customHeight="1" x14ac:dyDescent="0.35">
      <c r="A111" s="67"/>
      <c r="B111" s="68"/>
      <c r="C111" s="68"/>
      <c r="D111" s="68"/>
      <c r="E111" s="68"/>
      <c r="F111" s="68"/>
      <c r="G111" s="24"/>
      <c r="H111" s="24"/>
      <c r="I111" s="37"/>
      <c r="J111" s="24"/>
      <c r="K111" s="67"/>
      <c r="L111" s="68"/>
      <c r="M111" s="68"/>
      <c r="N111" s="68"/>
      <c r="O111" s="68"/>
      <c r="P111" s="68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</row>
    <row r="112" spans="1:59" ht="12.5" x14ac:dyDescent="0.25">
      <c r="A112" s="24"/>
      <c r="B112" s="24"/>
      <c r="C112" s="24"/>
      <c r="D112" s="24"/>
      <c r="E112" s="24"/>
      <c r="F112" s="24"/>
      <c r="G112" s="24"/>
      <c r="H112" s="24"/>
      <c r="I112" s="37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</row>
    <row r="113" spans="1:59" ht="12.5" x14ac:dyDescent="0.25">
      <c r="A113" s="24"/>
      <c r="B113" s="24"/>
      <c r="C113" s="24"/>
      <c r="D113" s="24"/>
      <c r="E113" s="24"/>
      <c r="F113" s="24"/>
      <c r="G113" s="24"/>
      <c r="H113" s="24"/>
      <c r="I113" s="37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</row>
    <row r="114" spans="1:59" ht="12.5" x14ac:dyDescent="0.25">
      <c r="A114" s="24"/>
      <c r="B114" s="24"/>
      <c r="C114" s="24"/>
      <c r="D114" s="24"/>
      <c r="E114" s="24"/>
      <c r="F114" s="24"/>
      <c r="G114" s="24"/>
      <c r="H114" s="24"/>
      <c r="I114" s="37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</row>
    <row r="115" spans="1:59" ht="12.5" x14ac:dyDescent="0.25">
      <c r="A115" s="24"/>
      <c r="B115" s="24"/>
      <c r="C115" s="24"/>
      <c r="D115" s="24"/>
      <c r="E115" s="24"/>
      <c r="F115" s="24"/>
      <c r="G115" s="24"/>
      <c r="H115" s="24"/>
      <c r="I115" s="37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</row>
    <row r="116" spans="1:59" ht="12.5" x14ac:dyDescent="0.25">
      <c r="A116" s="24"/>
      <c r="B116" s="24"/>
      <c r="C116" s="24"/>
      <c r="D116" s="24"/>
      <c r="E116" s="24"/>
      <c r="F116" s="24"/>
      <c r="G116" s="24"/>
      <c r="H116" s="24"/>
      <c r="I116" s="37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</row>
    <row r="117" spans="1:59" ht="12.5" x14ac:dyDescent="0.25">
      <c r="A117" s="24"/>
      <c r="B117" s="24"/>
      <c r="C117" s="24"/>
      <c r="D117" s="24"/>
      <c r="E117" s="24"/>
      <c r="F117" s="24"/>
      <c r="G117" s="24"/>
      <c r="H117" s="24"/>
      <c r="I117" s="37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</row>
    <row r="118" spans="1:59" ht="12.5" x14ac:dyDescent="0.25">
      <c r="A118" s="24"/>
      <c r="B118" s="24"/>
      <c r="C118" s="24"/>
      <c r="D118" s="24"/>
      <c r="E118" s="24"/>
      <c r="F118" s="24"/>
      <c r="G118" s="24"/>
      <c r="H118" s="24"/>
      <c r="I118" s="37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</row>
    <row r="119" spans="1:59" ht="16" x14ac:dyDescent="0.35">
      <c r="A119" s="24"/>
      <c r="B119" s="24"/>
      <c r="C119" s="24"/>
      <c r="D119" s="24"/>
      <c r="E119" s="24"/>
      <c r="F119" s="24"/>
      <c r="G119" s="24"/>
      <c r="H119" s="24"/>
      <c r="I119" s="37"/>
      <c r="J119" s="24"/>
      <c r="K119" s="73"/>
      <c r="L119" s="73"/>
      <c r="M119" s="73"/>
      <c r="N119" s="73"/>
      <c r="O119" s="73"/>
      <c r="P119" s="7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</row>
    <row r="120" spans="1:59" ht="15.5" x14ac:dyDescent="0.35">
      <c r="A120" s="18"/>
      <c r="B120" s="18"/>
      <c r="C120" s="18"/>
      <c r="D120" s="18"/>
      <c r="E120" s="18"/>
      <c r="F120" s="18"/>
      <c r="G120" s="18"/>
      <c r="H120" s="18"/>
      <c r="I120" s="75"/>
      <c r="J120" s="18"/>
      <c r="K120" s="76"/>
      <c r="L120" s="76"/>
      <c r="M120" s="76"/>
      <c r="N120" s="76"/>
      <c r="O120" s="76"/>
      <c r="P120" s="76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</row>
    <row r="121" spans="1:59" ht="15.5" x14ac:dyDescent="0.35">
      <c r="A121" s="18"/>
      <c r="B121" s="18"/>
      <c r="C121" s="18"/>
      <c r="D121" s="18"/>
      <c r="E121" s="18"/>
      <c r="F121" s="18"/>
      <c r="G121" s="18"/>
      <c r="H121" s="18"/>
      <c r="I121" s="75"/>
      <c r="J121" s="18"/>
      <c r="K121" s="76"/>
      <c r="L121" s="76"/>
      <c r="M121" s="76"/>
      <c r="N121" s="76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</row>
    <row r="122" spans="1:59" ht="15.5" x14ac:dyDescent="0.35">
      <c r="A122" s="18"/>
      <c r="B122" s="18"/>
      <c r="C122" s="18"/>
      <c r="D122" s="18"/>
      <c r="E122" s="18"/>
      <c r="F122" s="18"/>
      <c r="G122" s="18"/>
      <c r="H122" s="18"/>
      <c r="I122" s="75"/>
      <c r="J122" s="18"/>
      <c r="K122" s="77"/>
      <c r="L122" s="78"/>
      <c r="M122" s="79"/>
      <c r="N122" s="80"/>
      <c r="O122" s="79"/>
      <c r="P122" s="79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</row>
    <row r="123" spans="1:59" ht="15.5" x14ac:dyDescent="0.35">
      <c r="A123" s="18"/>
      <c r="B123" s="18"/>
      <c r="C123" s="18"/>
      <c r="D123" s="18"/>
      <c r="E123" s="18"/>
      <c r="F123" s="18"/>
      <c r="G123" s="18"/>
      <c r="H123" s="18"/>
      <c r="I123" s="75"/>
      <c r="J123" s="18"/>
      <c r="K123" s="77"/>
      <c r="L123" s="78"/>
      <c r="M123" s="79"/>
      <c r="N123" s="80"/>
      <c r="O123" s="79"/>
      <c r="P123" s="79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</row>
    <row r="124" spans="1:59" ht="15.5" x14ac:dyDescent="0.35">
      <c r="A124" s="18"/>
      <c r="B124" s="18"/>
      <c r="C124" s="18"/>
      <c r="D124" s="18"/>
      <c r="E124" s="18"/>
      <c r="F124" s="18"/>
      <c r="G124" s="18"/>
      <c r="H124" s="18"/>
      <c r="I124" s="75"/>
      <c r="J124" s="18"/>
      <c r="K124" s="77"/>
      <c r="L124" s="78"/>
      <c r="M124" s="79"/>
      <c r="N124" s="80"/>
      <c r="O124" s="79"/>
      <c r="P124" s="79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</row>
    <row r="125" spans="1:59" ht="15.5" x14ac:dyDescent="0.35">
      <c r="A125" s="18"/>
      <c r="B125" s="18"/>
      <c r="C125" s="18"/>
      <c r="D125" s="18"/>
      <c r="E125" s="18"/>
      <c r="F125" s="18"/>
      <c r="G125" s="18"/>
      <c r="H125" s="18"/>
      <c r="I125" s="75"/>
      <c r="J125" s="18"/>
      <c r="K125" s="77"/>
      <c r="L125" s="78"/>
      <c r="M125" s="79"/>
      <c r="N125" s="80"/>
      <c r="O125" s="79"/>
      <c r="P125" s="79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</row>
    <row r="126" spans="1:59" ht="15.5" x14ac:dyDescent="0.35">
      <c r="A126" s="18"/>
      <c r="B126" s="18"/>
      <c r="C126" s="18"/>
      <c r="D126" s="18"/>
      <c r="E126" s="18"/>
      <c r="F126" s="18"/>
      <c r="G126" s="18"/>
      <c r="H126" s="18"/>
      <c r="I126" s="75"/>
      <c r="J126" s="18"/>
      <c r="K126" s="77"/>
      <c r="L126" s="78"/>
      <c r="M126" s="79"/>
      <c r="N126" s="80"/>
      <c r="O126" s="79"/>
      <c r="P126" s="79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</row>
    <row r="127" spans="1:59" x14ac:dyDescent="0.3">
      <c r="A127" s="18"/>
      <c r="B127" s="18"/>
      <c r="C127" s="18"/>
      <c r="D127" s="18"/>
      <c r="E127" s="18"/>
      <c r="F127" s="18"/>
      <c r="G127" s="18"/>
      <c r="H127" s="18"/>
      <c r="I127" s="75"/>
      <c r="J127" s="18"/>
      <c r="K127" s="81"/>
      <c r="L127" s="82"/>
      <c r="M127" s="82"/>
      <c r="N127" s="82"/>
      <c r="O127" s="82"/>
      <c r="P127" s="82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</row>
    <row r="128" spans="1:59" x14ac:dyDescent="0.3">
      <c r="A128" s="18"/>
      <c r="B128" s="18"/>
      <c r="C128" s="18"/>
      <c r="D128" s="18"/>
      <c r="E128" s="18"/>
      <c r="F128" s="18"/>
      <c r="G128" s="18"/>
      <c r="H128" s="18"/>
      <c r="I128" s="75"/>
      <c r="J128" s="18"/>
      <c r="K128" s="81"/>
      <c r="L128" s="83"/>
      <c r="M128" s="83"/>
      <c r="N128" s="83"/>
      <c r="O128" s="83"/>
      <c r="P128" s="83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</row>
    <row r="129" spans="1:44" x14ac:dyDescent="0.3">
      <c r="A129" s="18"/>
      <c r="B129" s="18"/>
      <c r="C129" s="18"/>
      <c r="D129" s="18"/>
      <c r="E129" s="18"/>
      <c r="F129" s="18"/>
      <c r="G129" s="18"/>
      <c r="H129" s="18"/>
      <c r="I129" s="75"/>
      <c r="J129" s="18"/>
      <c r="K129" s="81"/>
      <c r="L129" s="84"/>
      <c r="M129" s="81"/>
      <c r="N129" s="81"/>
      <c r="O129" s="81"/>
      <c r="P129" s="81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</row>
    <row r="130" spans="1:44" x14ac:dyDescent="0.3">
      <c r="A130" s="18"/>
      <c r="B130" s="18"/>
      <c r="C130" s="18"/>
      <c r="D130" s="18"/>
      <c r="E130" s="18"/>
      <c r="F130" s="18"/>
      <c r="G130" s="18"/>
      <c r="H130" s="18"/>
      <c r="I130" s="75"/>
      <c r="J130" s="18"/>
      <c r="K130" s="81"/>
      <c r="L130" s="84"/>
      <c r="M130" s="81"/>
      <c r="N130" s="81"/>
      <c r="O130" s="81"/>
      <c r="P130" s="81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</row>
    <row r="131" spans="1:44" x14ac:dyDescent="0.3">
      <c r="A131" s="18"/>
      <c r="B131" s="18"/>
      <c r="C131" s="18"/>
      <c r="D131" s="18"/>
      <c r="E131" s="18"/>
      <c r="F131" s="18"/>
      <c r="G131" s="18"/>
      <c r="H131" s="18"/>
      <c r="I131" s="75"/>
      <c r="J131" s="18"/>
      <c r="K131" s="81"/>
      <c r="L131" s="83"/>
      <c r="M131" s="83"/>
      <c r="N131" s="83"/>
      <c r="O131" s="83"/>
      <c r="P131" s="83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</row>
    <row r="132" spans="1:44" x14ac:dyDescent="0.3">
      <c r="A132" s="18"/>
      <c r="B132" s="18"/>
      <c r="C132" s="18"/>
      <c r="D132" s="18"/>
      <c r="E132" s="18"/>
      <c r="F132" s="18"/>
      <c r="G132" s="18"/>
      <c r="H132" s="18"/>
      <c r="I132" s="75"/>
      <c r="J132" s="18"/>
      <c r="K132" s="18"/>
      <c r="L132" s="85"/>
      <c r="M132" s="85"/>
      <c r="N132" s="85"/>
      <c r="O132" s="85"/>
      <c r="P132" s="85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</row>
    <row r="133" spans="1:44" x14ac:dyDescent="0.3">
      <c r="A133" s="18"/>
      <c r="B133" s="18"/>
      <c r="C133" s="18"/>
      <c r="D133" s="18"/>
      <c r="E133" s="18"/>
      <c r="F133" s="18"/>
      <c r="G133" s="18"/>
      <c r="H133" s="18"/>
      <c r="I133" s="75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</row>
    <row r="134" spans="1:44" x14ac:dyDescent="0.3">
      <c r="A134" s="18"/>
      <c r="B134" s="18"/>
      <c r="C134" s="18"/>
      <c r="D134" s="18"/>
      <c r="E134" s="18"/>
      <c r="F134" s="18"/>
      <c r="G134" s="18"/>
      <c r="H134" s="18"/>
      <c r="I134" s="75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</row>
    <row r="135" spans="1:44" x14ac:dyDescent="0.3">
      <c r="A135" s="18"/>
      <c r="B135" s="18"/>
      <c r="C135" s="18"/>
      <c r="D135" s="18"/>
      <c r="E135" s="18"/>
      <c r="F135" s="18"/>
      <c r="G135" s="18"/>
      <c r="H135" s="18"/>
      <c r="I135" s="75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</row>
    <row r="136" spans="1:44" x14ac:dyDescent="0.3">
      <c r="A136" s="18"/>
      <c r="B136" s="18"/>
      <c r="C136" s="18"/>
      <c r="D136" s="18"/>
      <c r="E136" s="18"/>
      <c r="F136" s="18"/>
      <c r="G136" s="18"/>
      <c r="H136" s="18"/>
      <c r="I136" s="75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</row>
    <row r="137" spans="1:44" x14ac:dyDescent="0.3">
      <c r="A137" s="18"/>
      <c r="B137" s="18"/>
      <c r="C137" s="18"/>
      <c r="D137" s="18"/>
      <c r="E137" s="18"/>
      <c r="F137" s="18"/>
      <c r="G137" s="18"/>
      <c r="H137" s="18"/>
      <c r="I137" s="75"/>
      <c r="J137" s="18"/>
      <c r="K137" s="81"/>
      <c r="L137" s="84"/>
      <c r="M137" s="81"/>
      <c r="N137" s="81"/>
      <c r="O137" s="81"/>
      <c r="P137" s="81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</row>
    <row r="138" spans="1:44" x14ac:dyDescent="0.3">
      <c r="A138" s="18"/>
      <c r="B138" s="18"/>
      <c r="C138" s="18"/>
      <c r="D138" s="18"/>
      <c r="E138" s="18"/>
      <c r="F138" s="18"/>
      <c r="G138" s="18"/>
      <c r="H138" s="18"/>
      <c r="I138" s="75"/>
      <c r="J138" s="18"/>
      <c r="K138" s="81"/>
      <c r="L138" s="84"/>
      <c r="M138" s="81"/>
      <c r="N138" s="81"/>
      <c r="O138" s="81"/>
      <c r="P138" s="81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</row>
    <row r="139" spans="1:44" x14ac:dyDescent="0.3">
      <c r="A139" s="18"/>
      <c r="B139" s="18"/>
      <c r="C139" s="18"/>
      <c r="D139" s="18"/>
      <c r="E139" s="18"/>
      <c r="F139" s="18"/>
      <c r="G139" s="18"/>
      <c r="H139" s="18"/>
      <c r="I139" s="75"/>
      <c r="J139" s="18"/>
      <c r="K139" s="81"/>
      <c r="L139" s="84"/>
      <c r="M139" s="81"/>
      <c r="N139" s="81"/>
      <c r="O139" s="81"/>
      <c r="P139" s="81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</row>
    <row r="140" spans="1:44" x14ac:dyDescent="0.3">
      <c r="A140" s="18"/>
      <c r="B140" s="18"/>
      <c r="C140" s="18"/>
      <c r="D140" s="18"/>
      <c r="E140" s="18"/>
      <c r="F140" s="18"/>
      <c r="G140" s="18"/>
      <c r="H140" s="18"/>
      <c r="I140" s="75"/>
      <c r="J140" s="18"/>
      <c r="K140" s="81"/>
      <c r="L140" s="84"/>
      <c r="M140" s="81"/>
      <c r="N140" s="81"/>
      <c r="O140" s="81"/>
      <c r="P140" s="81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</row>
    <row r="141" spans="1:44" x14ac:dyDescent="0.3">
      <c r="A141" s="18"/>
      <c r="B141" s="18"/>
      <c r="C141" s="18"/>
      <c r="D141" s="18"/>
      <c r="E141" s="18"/>
      <c r="F141" s="18"/>
      <c r="G141" s="18"/>
      <c r="H141" s="18"/>
      <c r="I141" s="75"/>
      <c r="J141" s="18"/>
      <c r="K141" s="81"/>
      <c r="L141" s="84"/>
      <c r="M141" s="81"/>
      <c r="N141" s="81"/>
      <c r="O141" s="81"/>
      <c r="P141" s="81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</row>
    <row r="142" spans="1:44" x14ac:dyDescent="0.3">
      <c r="A142" s="18"/>
      <c r="B142" s="18"/>
      <c r="C142" s="18"/>
      <c r="D142" s="18"/>
      <c r="E142" s="18"/>
      <c r="F142" s="18"/>
      <c r="G142" s="18"/>
      <c r="H142" s="18"/>
      <c r="I142" s="75"/>
      <c r="J142" s="18"/>
      <c r="K142" s="81"/>
      <c r="L142" s="84"/>
      <c r="M142" s="81"/>
      <c r="N142" s="81"/>
      <c r="O142" s="81"/>
      <c r="P142" s="81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</row>
    <row r="143" spans="1:44" x14ac:dyDescent="0.3">
      <c r="A143" s="18"/>
      <c r="B143" s="18"/>
      <c r="C143" s="18"/>
      <c r="D143" s="18"/>
      <c r="E143" s="18"/>
      <c r="F143" s="18"/>
      <c r="G143" s="18"/>
      <c r="H143" s="18"/>
      <c r="I143" s="75"/>
      <c r="J143" s="18"/>
      <c r="K143" s="81"/>
      <c r="L143" s="84"/>
      <c r="M143" s="81"/>
      <c r="N143" s="81"/>
      <c r="O143" s="81"/>
      <c r="P143" s="81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</row>
    <row r="144" spans="1:44" x14ac:dyDescent="0.3">
      <c r="A144" s="18"/>
      <c r="B144" s="18"/>
      <c r="C144" s="18"/>
      <c r="D144" s="18"/>
      <c r="E144" s="18"/>
      <c r="F144" s="18"/>
      <c r="G144" s="18"/>
      <c r="H144" s="18"/>
      <c r="I144" s="75"/>
      <c r="J144" s="18"/>
      <c r="K144" s="81"/>
      <c r="L144" s="84"/>
      <c r="M144" s="81"/>
      <c r="N144" s="81"/>
      <c r="O144" s="81"/>
      <c r="P144" s="81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</row>
    <row r="145" spans="1:44" x14ac:dyDescent="0.3">
      <c r="A145" s="18"/>
      <c r="B145" s="18"/>
      <c r="C145" s="18"/>
      <c r="D145" s="18"/>
      <c r="E145" s="18"/>
      <c r="F145" s="18"/>
      <c r="G145" s="18"/>
      <c r="H145" s="18"/>
      <c r="I145" s="75"/>
      <c r="J145" s="18"/>
      <c r="K145" s="81"/>
      <c r="L145" s="84"/>
      <c r="M145" s="81"/>
      <c r="N145" s="81"/>
      <c r="O145" s="81"/>
      <c r="P145" s="81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</row>
    <row r="146" spans="1:44" ht="15.5" x14ac:dyDescent="0.35">
      <c r="A146" s="18"/>
      <c r="B146" s="18"/>
      <c r="C146" s="18"/>
      <c r="D146" s="18"/>
      <c r="E146" s="18"/>
      <c r="F146" s="18"/>
      <c r="G146" s="18"/>
      <c r="H146" s="18"/>
      <c r="I146" s="75"/>
      <c r="J146" s="18"/>
      <c r="K146" s="86"/>
      <c r="L146" s="86"/>
      <c r="M146" s="87"/>
      <c r="N146" s="87"/>
      <c r="O146" s="87"/>
      <c r="P146" s="87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</row>
    <row r="147" spans="1:44" ht="15.5" x14ac:dyDescent="0.35">
      <c r="A147" s="18"/>
      <c r="B147" s="18"/>
      <c r="C147" s="18"/>
      <c r="D147" s="18"/>
      <c r="E147" s="18"/>
      <c r="F147" s="18"/>
      <c r="G147" s="18"/>
      <c r="H147" s="18"/>
      <c r="I147" s="75"/>
      <c r="J147" s="18"/>
      <c r="K147" s="86"/>
      <c r="L147" s="86"/>
      <c r="M147" s="87"/>
      <c r="N147" s="87"/>
      <c r="O147" s="87"/>
      <c r="P147" s="87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</row>
    <row r="148" spans="1:44" x14ac:dyDescent="0.3">
      <c r="A148" s="18"/>
      <c r="B148" s="18"/>
      <c r="C148" s="18"/>
      <c r="D148" s="18"/>
      <c r="E148" s="18"/>
      <c r="F148" s="18"/>
      <c r="G148" s="18"/>
      <c r="H148" s="18"/>
      <c r="I148" s="75"/>
      <c r="J148" s="18"/>
      <c r="K148" s="18"/>
      <c r="L148" s="85"/>
      <c r="M148" s="85"/>
      <c r="N148" s="85"/>
      <c r="O148" s="85"/>
      <c r="P148" s="85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</row>
    <row r="149" spans="1:44" x14ac:dyDescent="0.3">
      <c r="A149" s="18"/>
      <c r="B149" s="18"/>
      <c r="C149" s="18"/>
      <c r="D149" s="18"/>
      <c r="E149" s="18"/>
      <c r="F149" s="18"/>
      <c r="G149" s="18"/>
      <c r="H149" s="18"/>
      <c r="I149" s="75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</row>
    <row r="150" spans="1:44" x14ac:dyDescent="0.3">
      <c r="A150" s="18"/>
      <c r="B150" s="18"/>
      <c r="C150" s="18"/>
      <c r="D150" s="18"/>
      <c r="E150" s="18"/>
      <c r="F150" s="18"/>
      <c r="G150" s="18"/>
      <c r="H150" s="18"/>
      <c r="I150" s="75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</row>
    <row r="151" spans="1:44" ht="15.5" x14ac:dyDescent="0.35">
      <c r="A151" s="18"/>
      <c r="B151" s="18"/>
      <c r="C151" s="18"/>
      <c r="D151" s="18"/>
      <c r="E151" s="18"/>
      <c r="F151" s="18"/>
      <c r="G151" s="18"/>
      <c r="H151" s="18"/>
      <c r="I151" s="75"/>
      <c r="J151" s="18"/>
      <c r="K151" s="88"/>
      <c r="L151" s="88"/>
      <c r="M151" s="89"/>
      <c r="N151" s="89"/>
      <c r="O151" s="89"/>
      <c r="P151" s="89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</row>
    <row r="152" spans="1:44" ht="15.5" x14ac:dyDescent="0.35">
      <c r="A152" s="18"/>
      <c r="B152" s="18"/>
      <c r="C152" s="18"/>
      <c r="D152" s="18"/>
      <c r="E152" s="18"/>
      <c r="F152" s="18"/>
      <c r="G152" s="18"/>
      <c r="H152" s="18"/>
      <c r="I152" s="75"/>
      <c r="J152" s="18"/>
      <c r="K152" s="88"/>
      <c r="L152" s="88"/>
      <c r="M152" s="89"/>
      <c r="N152" s="89"/>
      <c r="O152" s="89"/>
      <c r="P152" s="89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</row>
    <row r="153" spans="1:44" ht="15.5" x14ac:dyDescent="0.35">
      <c r="A153" s="18"/>
      <c r="B153" s="18"/>
      <c r="C153" s="18"/>
      <c r="D153" s="18"/>
      <c r="E153" s="18"/>
      <c r="F153" s="18"/>
      <c r="G153" s="18"/>
      <c r="H153" s="18"/>
      <c r="I153" s="75"/>
      <c r="J153" s="18"/>
      <c r="K153" s="88"/>
      <c r="L153" s="88"/>
      <c r="M153" s="89"/>
      <c r="N153" s="89"/>
      <c r="O153" s="89"/>
      <c r="P153" s="89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</row>
    <row r="154" spans="1:44" ht="15.5" x14ac:dyDescent="0.35">
      <c r="A154" s="18"/>
      <c r="B154" s="18"/>
      <c r="C154" s="18"/>
      <c r="D154" s="18"/>
      <c r="E154" s="18"/>
      <c r="F154" s="18"/>
      <c r="G154" s="18"/>
      <c r="H154" s="18"/>
      <c r="I154" s="75"/>
      <c r="J154" s="18"/>
      <c r="K154" s="88"/>
      <c r="L154" s="88"/>
      <c r="M154" s="89"/>
      <c r="N154" s="89"/>
      <c r="O154" s="89"/>
      <c r="P154" s="89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</row>
    <row r="155" spans="1:44" ht="15.5" x14ac:dyDescent="0.35">
      <c r="A155" s="18"/>
      <c r="B155" s="18"/>
      <c r="C155" s="18"/>
      <c r="D155" s="18"/>
      <c r="E155" s="18"/>
      <c r="F155" s="18"/>
      <c r="G155" s="18"/>
      <c r="H155" s="18"/>
      <c r="I155" s="75"/>
      <c r="J155" s="18"/>
      <c r="K155" s="88"/>
      <c r="L155" s="88"/>
      <c r="M155" s="89"/>
      <c r="N155" s="89"/>
      <c r="O155" s="89"/>
      <c r="P155" s="89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</row>
    <row r="156" spans="1:44" ht="15.5" x14ac:dyDescent="0.35">
      <c r="A156" s="18"/>
      <c r="B156" s="18"/>
      <c r="C156" s="18"/>
      <c r="D156" s="18"/>
      <c r="E156" s="18"/>
      <c r="F156" s="18"/>
      <c r="G156" s="18"/>
      <c r="H156" s="18"/>
      <c r="I156" s="75"/>
      <c r="J156" s="18"/>
      <c r="K156" s="88"/>
      <c r="L156" s="88"/>
      <c r="M156" s="89"/>
      <c r="N156" s="89"/>
      <c r="O156" s="89"/>
      <c r="P156" s="89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</row>
    <row r="157" spans="1:44" ht="15.5" x14ac:dyDescent="0.35">
      <c r="A157" s="18"/>
      <c r="B157" s="18"/>
      <c r="C157" s="18"/>
      <c r="D157" s="18"/>
      <c r="E157" s="18"/>
      <c r="F157" s="18"/>
      <c r="G157" s="18"/>
      <c r="H157" s="18"/>
      <c r="I157" s="75"/>
      <c r="J157" s="18"/>
      <c r="K157" s="88"/>
      <c r="L157" s="88"/>
      <c r="M157" s="89"/>
      <c r="N157" s="89"/>
      <c r="O157" s="89"/>
      <c r="P157" s="89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</row>
    <row r="158" spans="1:44" ht="15.5" x14ac:dyDescent="0.35">
      <c r="A158" s="18"/>
      <c r="B158" s="18"/>
      <c r="C158" s="18"/>
      <c r="D158" s="18"/>
      <c r="E158" s="18"/>
      <c r="F158" s="18"/>
      <c r="G158" s="18"/>
      <c r="H158" s="18"/>
      <c r="I158" s="75"/>
      <c r="J158" s="18"/>
      <c r="K158" s="88"/>
      <c r="L158" s="88"/>
      <c r="M158" s="89"/>
      <c r="N158" s="89"/>
      <c r="O158" s="89"/>
      <c r="P158" s="89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</row>
    <row r="159" spans="1:44" ht="15.5" x14ac:dyDescent="0.35">
      <c r="A159" s="18"/>
      <c r="B159" s="18"/>
      <c r="C159" s="18"/>
      <c r="D159" s="18"/>
      <c r="E159" s="18"/>
      <c r="F159" s="18"/>
      <c r="G159" s="18"/>
      <c r="H159" s="18"/>
      <c r="I159" s="75"/>
      <c r="J159" s="18"/>
      <c r="K159" s="88"/>
      <c r="L159" s="88"/>
      <c r="M159" s="89"/>
      <c r="N159" s="89"/>
      <c r="O159" s="89"/>
      <c r="P159" s="89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</row>
    <row r="160" spans="1:44" x14ac:dyDescent="0.3">
      <c r="A160" s="18"/>
      <c r="B160" s="18"/>
      <c r="C160" s="18"/>
      <c r="D160" s="18"/>
      <c r="E160" s="18"/>
      <c r="F160" s="18"/>
      <c r="G160" s="18"/>
      <c r="H160" s="18"/>
      <c r="I160" s="75"/>
      <c r="J160" s="18"/>
      <c r="K160" s="18"/>
      <c r="L160" s="85"/>
      <c r="M160" s="85"/>
      <c r="N160" s="85"/>
      <c r="O160" s="85"/>
      <c r="P160" s="85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</row>
    <row r="161" spans="1:44" x14ac:dyDescent="0.3">
      <c r="A161" s="18"/>
      <c r="B161" s="18"/>
      <c r="C161" s="18"/>
      <c r="D161" s="18"/>
      <c r="E161" s="18"/>
      <c r="F161" s="18"/>
      <c r="G161" s="18"/>
      <c r="H161" s="18"/>
      <c r="I161" s="75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</row>
    <row r="162" spans="1:44" x14ac:dyDescent="0.3">
      <c r="A162" s="18"/>
      <c r="B162" s="18"/>
      <c r="C162" s="18"/>
      <c r="D162" s="18"/>
      <c r="E162" s="18"/>
      <c r="F162" s="18"/>
      <c r="G162" s="18"/>
      <c r="H162" s="18"/>
      <c r="I162" s="75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</row>
    <row r="163" spans="1:44" x14ac:dyDescent="0.3">
      <c r="A163" s="18"/>
      <c r="B163" s="18"/>
      <c r="C163" s="18"/>
      <c r="D163" s="18"/>
      <c r="E163" s="18"/>
      <c r="F163" s="18"/>
      <c r="G163" s="18"/>
      <c r="H163" s="18"/>
      <c r="I163" s="75"/>
      <c r="J163" s="18"/>
      <c r="K163" s="90"/>
      <c r="L163" s="90"/>
      <c r="M163" s="90"/>
      <c r="N163" s="90"/>
      <c r="O163" s="90"/>
      <c r="P163" s="90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</row>
    <row r="164" spans="1:44" x14ac:dyDescent="0.3">
      <c r="A164" s="18"/>
      <c r="B164" s="18"/>
      <c r="C164" s="18"/>
      <c r="D164" s="18"/>
      <c r="E164" s="18"/>
      <c r="F164" s="18"/>
      <c r="G164" s="18"/>
      <c r="H164" s="18"/>
      <c r="I164" s="75"/>
      <c r="J164" s="18"/>
      <c r="K164" s="90"/>
      <c r="L164" s="90"/>
      <c r="M164" s="90"/>
      <c r="N164" s="90"/>
      <c r="O164" s="81"/>
      <c r="P164" s="81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</row>
    <row r="165" spans="1:44" x14ac:dyDescent="0.3">
      <c r="A165" s="18"/>
      <c r="B165" s="18"/>
      <c r="C165" s="18"/>
      <c r="D165" s="18"/>
      <c r="E165" s="18"/>
      <c r="F165" s="18"/>
      <c r="G165" s="18"/>
      <c r="H165" s="18"/>
      <c r="I165" s="75"/>
      <c r="J165" s="18"/>
      <c r="K165" s="81"/>
      <c r="L165" s="82"/>
      <c r="M165" s="81"/>
      <c r="N165" s="81"/>
      <c r="O165" s="81"/>
      <c r="P165" s="81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</row>
    <row r="166" spans="1:44" x14ac:dyDescent="0.3">
      <c r="A166" s="18"/>
      <c r="B166" s="18"/>
      <c r="C166" s="18"/>
      <c r="D166" s="18"/>
      <c r="E166" s="18"/>
      <c r="F166" s="18"/>
      <c r="G166" s="18"/>
      <c r="H166" s="18"/>
      <c r="I166" s="75"/>
      <c r="J166" s="18"/>
      <c r="K166" s="81"/>
      <c r="L166" s="82"/>
      <c r="M166" s="81"/>
      <c r="N166" s="81"/>
      <c r="O166" s="81"/>
      <c r="P166" s="81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</row>
    <row r="167" spans="1:44" x14ac:dyDescent="0.3">
      <c r="A167" s="18"/>
      <c r="B167" s="18"/>
      <c r="C167" s="18"/>
      <c r="D167" s="18"/>
      <c r="E167" s="18"/>
      <c r="F167" s="18"/>
      <c r="G167" s="18"/>
      <c r="H167" s="18"/>
      <c r="I167" s="75"/>
      <c r="J167" s="18"/>
      <c r="K167" s="81"/>
      <c r="L167" s="82"/>
      <c r="M167" s="81"/>
      <c r="N167" s="81"/>
      <c r="O167" s="81"/>
      <c r="P167" s="81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</row>
    <row r="168" spans="1:44" x14ac:dyDescent="0.3">
      <c r="A168" s="18"/>
      <c r="B168" s="18"/>
      <c r="C168" s="18"/>
      <c r="D168" s="18"/>
      <c r="E168" s="18"/>
      <c r="F168" s="18"/>
      <c r="G168" s="18"/>
      <c r="H168" s="18"/>
      <c r="I168" s="75"/>
      <c r="J168" s="18"/>
      <c r="K168" s="81"/>
      <c r="L168" s="82"/>
      <c r="M168" s="81"/>
      <c r="N168" s="81"/>
      <c r="O168" s="81"/>
      <c r="P168" s="81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</row>
    <row r="169" spans="1:44" x14ac:dyDescent="0.3">
      <c r="A169" s="18"/>
      <c r="B169" s="18"/>
      <c r="C169" s="18"/>
      <c r="D169" s="18"/>
      <c r="E169" s="18"/>
      <c r="F169" s="18"/>
      <c r="G169" s="18"/>
      <c r="H169" s="18"/>
      <c r="I169" s="75"/>
      <c r="J169" s="18"/>
      <c r="K169" s="81"/>
      <c r="L169" s="82"/>
      <c r="M169" s="81"/>
      <c r="N169" s="81"/>
      <c r="O169" s="81"/>
      <c r="P169" s="81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</row>
    <row r="170" spans="1:44" x14ac:dyDescent="0.3">
      <c r="A170" s="18"/>
      <c r="B170" s="18"/>
      <c r="C170" s="18"/>
      <c r="D170" s="18"/>
      <c r="E170" s="18"/>
      <c r="F170" s="18"/>
      <c r="G170" s="18"/>
      <c r="H170" s="18"/>
      <c r="I170" s="75"/>
      <c r="J170" s="18"/>
      <c r="K170" s="81"/>
      <c r="L170" s="82"/>
      <c r="M170" s="81"/>
      <c r="N170" s="81"/>
      <c r="O170" s="81"/>
      <c r="P170" s="81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</row>
    <row r="171" spans="1:44" x14ac:dyDescent="0.3">
      <c r="A171" s="18"/>
      <c r="B171" s="18"/>
      <c r="C171" s="18"/>
      <c r="D171" s="18"/>
      <c r="E171" s="18"/>
      <c r="F171" s="18"/>
      <c r="G171" s="18"/>
      <c r="H171" s="18"/>
      <c r="I171" s="75"/>
      <c r="J171" s="18"/>
      <c r="K171" s="81"/>
      <c r="L171" s="82"/>
      <c r="M171" s="81"/>
      <c r="N171" s="81"/>
      <c r="O171" s="81"/>
      <c r="P171" s="81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</row>
    <row r="172" spans="1:44" x14ac:dyDescent="0.3">
      <c r="A172" s="18"/>
      <c r="B172" s="18"/>
      <c r="C172" s="18"/>
      <c r="D172" s="18"/>
      <c r="E172" s="18"/>
      <c r="F172" s="18"/>
      <c r="G172" s="18"/>
      <c r="H172" s="18"/>
      <c r="I172" s="75"/>
      <c r="J172" s="18"/>
      <c r="K172" s="81"/>
      <c r="L172" s="82"/>
      <c r="M172" s="81"/>
      <c r="N172" s="81"/>
      <c r="O172" s="81"/>
      <c r="P172" s="81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</row>
    <row r="173" spans="1:44" x14ac:dyDescent="0.3">
      <c r="A173" s="18"/>
      <c r="B173" s="18"/>
      <c r="C173" s="18"/>
      <c r="D173" s="18"/>
      <c r="E173" s="18"/>
      <c r="F173" s="18"/>
      <c r="G173" s="18"/>
      <c r="H173" s="18"/>
      <c r="I173" s="75"/>
      <c r="J173" s="18"/>
      <c r="K173" s="18"/>
      <c r="L173" s="91"/>
      <c r="M173" s="91"/>
      <c r="N173" s="91"/>
      <c r="O173" s="91"/>
      <c r="P173" s="91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</row>
    <row r="174" spans="1:44" x14ac:dyDescent="0.3">
      <c r="A174" s="18"/>
      <c r="B174" s="18"/>
      <c r="C174" s="18"/>
      <c r="D174" s="18"/>
      <c r="E174" s="18"/>
      <c r="F174" s="18"/>
      <c r="G174" s="18"/>
      <c r="H174" s="18"/>
      <c r="I174" s="75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</row>
    <row r="175" spans="1:44" x14ac:dyDescent="0.3">
      <c r="A175" s="18"/>
      <c r="B175" s="18"/>
      <c r="C175" s="18"/>
      <c r="D175" s="18"/>
      <c r="E175" s="18"/>
      <c r="F175" s="18"/>
      <c r="G175" s="18"/>
      <c r="H175" s="18"/>
      <c r="I175" s="75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</row>
    <row r="176" spans="1:44" x14ac:dyDescent="0.3">
      <c r="A176" s="18"/>
      <c r="B176" s="18"/>
      <c r="C176" s="18"/>
      <c r="D176" s="18"/>
      <c r="E176" s="18"/>
      <c r="F176" s="18"/>
      <c r="G176" s="18"/>
      <c r="H176" s="18"/>
      <c r="I176" s="75"/>
      <c r="J176" s="81"/>
      <c r="K176" s="82"/>
      <c r="L176" s="81"/>
      <c r="M176" s="81"/>
      <c r="N176" s="81"/>
      <c r="O176" s="81"/>
      <c r="P176" s="81"/>
      <c r="Q176" s="82"/>
      <c r="R176" s="81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</row>
    <row r="177" spans="1:44" x14ac:dyDescent="0.3">
      <c r="A177" s="18"/>
      <c r="B177" s="18"/>
      <c r="C177" s="18"/>
      <c r="D177" s="18"/>
      <c r="E177" s="18"/>
      <c r="F177" s="18"/>
      <c r="G177" s="18"/>
      <c r="H177" s="18"/>
      <c r="I177" s="75"/>
      <c r="J177" s="90"/>
      <c r="K177" s="81"/>
      <c r="L177" s="82"/>
      <c r="M177" s="81"/>
      <c r="N177" s="81"/>
      <c r="O177" s="81"/>
      <c r="P177" s="81"/>
      <c r="Q177" s="81"/>
      <c r="R177" s="82"/>
      <c r="S177" s="81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</row>
    <row r="178" spans="1:44" x14ac:dyDescent="0.3">
      <c r="A178" s="18"/>
      <c r="B178" s="18"/>
      <c r="C178" s="18"/>
      <c r="D178" s="18"/>
      <c r="E178" s="18"/>
      <c r="F178" s="18"/>
      <c r="G178" s="18"/>
      <c r="H178" s="18"/>
      <c r="I178" s="75"/>
      <c r="J178" s="81"/>
      <c r="K178" s="81"/>
      <c r="L178" s="82"/>
      <c r="M178" s="81"/>
      <c r="N178" s="81"/>
      <c r="O178" s="81"/>
      <c r="P178" s="81"/>
      <c r="Q178" s="81"/>
      <c r="R178" s="82"/>
      <c r="S178" s="81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</row>
    <row r="179" spans="1:44" x14ac:dyDescent="0.3">
      <c r="A179" s="18"/>
      <c r="B179" s="18"/>
      <c r="C179" s="18"/>
      <c r="D179" s="18"/>
      <c r="E179" s="18"/>
      <c r="F179" s="18"/>
      <c r="G179" s="18"/>
      <c r="H179" s="18"/>
      <c r="I179" s="75"/>
      <c r="J179" s="81"/>
      <c r="K179" s="81"/>
      <c r="L179" s="82"/>
      <c r="M179" s="81"/>
      <c r="N179" s="81"/>
      <c r="O179" s="81"/>
      <c r="P179" s="81"/>
      <c r="Q179" s="81"/>
      <c r="R179" s="82"/>
      <c r="S179" s="81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</row>
    <row r="180" spans="1:44" x14ac:dyDescent="0.3">
      <c r="A180" s="18"/>
      <c r="B180" s="18"/>
      <c r="C180" s="18"/>
      <c r="D180" s="18"/>
      <c r="E180" s="18"/>
      <c r="F180" s="18"/>
      <c r="G180" s="18"/>
      <c r="H180" s="18"/>
      <c r="I180" s="75"/>
      <c r="J180" s="81"/>
      <c r="K180" s="81"/>
      <c r="L180" s="82"/>
      <c r="M180" s="81"/>
      <c r="N180" s="81"/>
      <c r="O180" s="81"/>
      <c r="P180" s="81"/>
      <c r="Q180" s="81"/>
      <c r="R180" s="82"/>
      <c r="S180" s="81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</row>
    <row r="181" spans="1:44" x14ac:dyDescent="0.3">
      <c r="A181" s="18"/>
      <c r="B181" s="18"/>
      <c r="C181" s="18"/>
      <c r="D181" s="18"/>
      <c r="E181" s="18"/>
      <c r="F181" s="18"/>
      <c r="G181" s="18"/>
      <c r="H181" s="18"/>
      <c r="I181" s="75"/>
      <c r="J181" s="81"/>
      <c r="K181" s="81"/>
      <c r="L181" s="82"/>
      <c r="M181" s="81"/>
      <c r="N181" s="81"/>
      <c r="O181" s="81"/>
      <c r="P181" s="81"/>
      <c r="Q181" s="81"/>
      <c r="R181" s="82"/>
      <c r="S181" s="81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</row>
    <row r="182" spans="1:44" x14ac:dyDescent="0.3">
      <c r="A182" s="18"/>
      <c r="B182" s="18"/>
      <c r="C182" s="18"/>
      <c r="D182" s="18"/>
      <c r="E182" s="18"/>
      <c r="F182" s="18"/>
      <c r="G182" s="18"/>
      <c r="H182" s="18"/>
      <c r="I182" s="75"/>
      <c r="J182" s="81"/>
      <c r="K182" s="81"/>
      <c r="L182" s="82"/>
      <c r="M182" s="81"/>
      <c r="N182" s="81"/>
      <c r="O182" s="81"/>
      <c r="P182" s="81"/>
      <c r="Q182" s="81"/>
      <c r="R182" s="82"/>
      <c r="S182" s="81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</row>
    <row r="183" spans="1:44" x14ac:dyDescent="0.3">
      <c r="A183" s="18"/>
      <c r="B183" s="18"/>
      <c r="C183" s="18"/>
      <c r="D183" s="18"/>
      <c r="E183" s="18"/>
      <c r="F183" s="18"/>
      <c r="G183" s="18"/>
      <c r="H183" s="18"/>
      <c r="I183" s="75"/>
      <c r="J183" s="81"/>
      <c r="K183" s="81"/>
      <c r="L183" s="82"/>
      <c r="M183" s="81"/>
      <c r="N183" s="81"/>
      <c r="O183" s="81"/>
      <c r="P183" s="81"/>
      <c r="Q183" s="81"/>
      <c r="R183" s="82"/>
      <c r="S183" s="81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</row>
    <row r="184" spans="1:44" x14ac:dyDescent="0.3">
      <c r="A184" s="18"/>
      <c r="B184" s="18"/>
      <c r="C184" s="18"/>
      <c r="D184" s="18"/>
      <c r="E184" s="18"/>
      <c r="F184" s="18"/>
      <c r="G184" s="18"/>
      <c r="H184" s="18"/>
      <c r="I184" s="75"/>
      <c r="J184" s="18"/>
      <c r="K184" s="81"/>
      <c r="L184" s="82"/>
      <c r="M184" s="81"/>
      <c r="N184" s="81"/>
      <c r="O184" s="81"/>
      <c r="P184" s="81"/>
      <c r="Q184" s="81"/>
      <c r="R184" s="82"/>
      <c r="S184" s="81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</row>
    <row r="185" spans="1:44" x14ac:dyDescent="0.3">
      <c r="A185" s="18"/>
      <c r="B185" s="18"/>
      <c r="C185" s="18"/>
      <c r="D185" s="18"/>
      <c r="E185" s="18"/>
      <c r="F185" s="18"/>
      <c r="G185" s="18"/>
      <c r="H185" s="18"/>
      <c r="I185" s="75"/>
      <c r="J185" s="18"/>
      <c r="K185" s="81"/>
      <c r="L185" s="82"/>
      <c r="M185" s="81"/>
      <c r="N185" s="81"/>
      <c r="O185" s="81"/>
      <c r="P185" s="81"/>
      <c r="Q185" s="81"/>
      <c r="R185" s="82"/>
      <c r="S185" s="81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</row>
    <row r="186" spans="1:44" x14ac:dyDescent="0.3">
      <c r="A186" s="18"/>
      <c r="B186" s="18"/>
      <c r="C186" s="18"/>
      <c r="D186" s="18"/>
      <c r="E186" s="18"/>
      <c r="F186" s="18"/>
      <c r="G186" s="18"/>
      <c r="H186" s="18"/>
      <c r="I186" s="75"/>
      <c r="J186" s="18"/>
      <c r="K186" s="81"/>
      <c r="L186" s="82"/>
      <c r="M186" s="81"/>
      <c r="N186" s="81"/>
      <c r="O186" s="81"/>
      <c r="P186" s="81"/>
      <c r="Q186" s="81"/>
      <c r="R186" s="82"/>
      <c r="S186" s="81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</row>
    <row r="187" spans="1:44" x14ac:dyDescent="0.3">
      <c r="A187" s="18"/>
      <c r="B187" s="18"/>
      <c r="C187" s="18"/>
      <c r="D187" s="18"/>
      <c r="E187" s="18"/>
      <c r="F187" s="18"/>
      <c r="G187" s="18"/>
      <c r="H187" s="18"/>
      <c r="I187" s="75"/>
      <c r="J187" s="18"/>
      <c r="K187" s="81"/>
      <c r="L187" s="82"/>
      <c r="M187" s="81"/>
      <c r="N187" s="81"/>
      <c r="O187" s="81"/>
      <c r="P187" s="81"/>
      <c r="Q187" s="81"/>
      <c r="R187" s="82"/>
      <c r="S187" s="81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</row>
    <row r="188" spans="1:44" x14ac:dyDescent="0.3">
      <c r="A188" s="18"/>
      <c r="B188" s="18"/>
      <c r="C188" s="18"/>
      <c r="D188" s="18"/>
      <c r="E188" s="18"/>
      <c r="F188" s="18"/>
      <c r="G188" s="18"/>
      <c r="H188" s="18"/>
      <c r="I188" s="75"/>
      <c r="J188" s="18"/>
      <c r="K188" s="18"/>
      <c r="L188" s="18"/>
      <c r="M188" s="91"/>
      <c r="N188" s="91"/>
      <c r="O188" s="91"/>
      <c r="P188" s="91"/>
      <c r="Q188" s="91"/>
      <c r="R188" s="91"/>
      <c r="S188" s="91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</row>
    <row r="189" spans="1:44" x14ac:dyDescent="0.3">
      <c r="A189" s="18"/>
      <c r="B189" s="18"/>
      <c r="C189" s="18"/>
      <c r="D189" s="18"/>
      <c r="E189" s="18"/>
      <c r="F189" s="18"/>
      <c r="G189" s="18"/>
      <c r="H189" s="18"/>
      <c r="I189" s="75"/>
      <c r="J189" s="18"/>
      <c r="K189" s="90"/>
      <c r="L189" s="90"/>
      <c r="M189" s="90"/>
      <c r="N189" s="90"/>
      <c r="O189" s="90"/>
      <c r="P189" s="90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</row>
    <row r="190" spans="1:44" x14ac:dyDescent="0.3">
      <c r="A190" s="18"/>
      <c r="B190" s="18"/>
      <c r="C190" s="18"/>
      <c r="D190" s="18"/>
      <c r="E190" s="18"/>
      <c r="F190" s="18"/>
      <c r="G190" s="18"/>
      <c r="H190" s="18"/>
      <c r="I190" s="75"/>
      <c r="J190" s="18"/>
      <c r="K190" s="90"/>
      <c r="L190" s="90"/>
      <c r="M190" s="90"/>
      <c r="N190" s="90"/>
      <c r="O190" s="81"/>
      <c r="P190" s="81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</row>
    <row r="191" spans="1:44" x14ac:dyDescent="0.3">
      <c r="A191" s="18"/>
      <c r="B191" s="18"/>
      <c r="C191" s="18"/>
      <c r="D191" s="18"/>
      <c r="E191" s="18"/>
      <c r="F191" s="18"/>
      <c r="G191" s="18"/>
      <c r="H191" s="18"/>
      <c r="I191" s="75"/>
      <c r="J191" s="18"/>
      <c r="K191" s="81"/>
      <c r="L191" s="82"/>
      <c r="M191" s="81"/>
      <c r="N191" s="81"/>
      <c r="O191" s="81"/>
      <c r="P191" s="81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</row>
    <row r="192" spans="1:44" x14ac:dyDescent="0.3">
      <c r="A192" s="18"/>
      <c r="B192" s="18"/>
      <c r="C192" s="18"/>
      <c r="D192" s="18"/>
      <c r="E192" s="18"/>
      <c r="F192" s="18"/>
      <c r="G192" s="18"/>
      <c r="H192" s="18"/>
      <c r="I192" s="75"/>
      <c r="J192" s="18"/>
      <c r="K192" s="81"/>
      <c r="L192" s="82"/>
      <c r="M192" s="81"/>
      <c r="N192" s="81"/>
      <c r="O192" s="81"/>
      <c r="P192" s="81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</row>
    <row r="193" spans="1:44" x14ac:dyDescent="0.3">
      <c r="A193" s="18"/>
      <c r="B193" s="18"/>
      <c r="C193" s="18"/>
      <c r="D193" s="18"/>
      <c r="E193" s="18"/>
      <c r="F193" s="18"/>
      <c r="G193" s="18"/>
      <c r="H193" s="18"/>
      <c r="I193" s="75"/>
      <c r="J193" s="18"/>
      <c r="K193" s="81"/>
      <c r="L193" s="82"/>
      <c r="M193" s="81"/>
      <c r="N193" s="81"/>
      <c r="O193" s="81"/>
      <c r="P193" s="81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</row>
    <row r="194" spans="1:44" x14ac:dyDescent="0.3">
      <c r="A194" s="18"/>
      <c r="B194" s="18"/>
      <c r="C194" s="18"/>
      <c r="D194" s="18"/>
      <c r="E194" s="18"/>
      <c r="F194" s="18"/>
      <c r="G194" s="18"/>
      <c r="H194" s="18"/>
      <c r="I194" s="75"/>
      <c r="J194" s="18"/>
      <c r="K194" s="81"/>
      <c r="L194" s="82"/>
      <c r="M194" s="81"/>
      <c r="N194" s="81"/>
      <c r="O194" s="81"/>
      <c r="P194" s="81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</row>
    <row r="195" spans="1:44" x14ac:dyDescent="0.3">
      <c r="A195" s="18"/>
      <c r="B195" s="18"/>
      <c r="C195" s="18"/>
      <c r="D195" s="18"/>
      <c r="E195" s="18"/>
      <c r="F195" s="18"/>
      <c r="G195" s="18"/>
      <c r="H195" s="18"/>
      <c r="I195" s="75"/>
      <c r="J195" s="18"/>
      <c r="K195" s="81"/>
      <c r="L195" s="82"/>
      <c r="M195" s="81"/>
      <c r="N195" s="81"/>
      <c r="O195" s="81"/>
      <c r="P195" s="81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</row>
    <row r="196" spans="1:44" x14ac:dyDescent="0.3">
      <c r="A196" s="18"/>
      <c r="B196" s="18"/>
      <c r="C196" s="18"/>
      <c r="D196" s="18"/>
      <c r="E196" s="18"/>
      <c r="F196" s="18"/>
      <c r="G196" s="18"/>
      <c r="H196" s="18"/>
      <c r="I196" s="75"/>
      <c r="J196" s="18"/>
      <c r="K196" s="81"/>
      <c r="L196" s="82"/>
      <c r="M196" s="81"/>
      <c r="N196" s="81"/>
      <c r="O196" s="81"/>
      <c r="P196" s="81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</row>
    <row r="197" spans="1:44" x14ac:dyDescent="0.3">
      <c r="A197" s="18"/>
      <c r="B197" s="18"/>
      <c r="C197" s="18"/>
      <c r="D197" s="18"/>
      <c r="E197" s="18"/>
      <c r="F197" s="18"/>
      <c r="G197" s="18"/>
      <c r="H197" s="18"/>
      <c r="I197" s="75"/>
      <c r="J197" s="18"/>
      <c r="K197" s="81"/>
      <c r="L197" s="82"/>
      <c r="M197" s="81"/>
      <c r="N197" s="81"/>
      <c r="O197" s="81"/>
      <c r="P197" s="81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</row>
    <row r="198" spans="1:44" x14ac:dyDescent="0.3">
      <c r="A198" s="18"/>
      <c r="B198" s="18"/>
      <c r="C198" s="18"/>
      <c r="D198" s="18"/>
      <c r="E198" s="18"/>
      <c r="F198" s="18"/>
      <c r="G198" s="18"/>
      <c r="H198" s="18"/>
      <c r="I198" s="75"/>
      <c r="J198" s="18"/>
      <c r="K198" s="81"/>
      <c r="L198" s="82"/>
      <c r="M198" s="81"/>
      <c r="N198" s="81"/>
      <c r="O198" s="81"/>
      <c r="P198" s="81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</row>
    <row r="199" spans="1:44" x14ac:dyDescent="0.3">
      <c r="A199" s="18"/>
      <c r="B199" s="18"/>
      <c r="C199" s="18"/>
      <c r="D199" s="18"/>
      <c r="E199" s="18"/>
      <c r="F199" s="18"/>
      <c r="G199" s="18"/>
      <c r="H199" s="18"/>
      <c r="I199" s="75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</row>
    <row r="200" spans="1:44" x14ac:dyDescent="0.3">
      <c r="A200" s="18"/>
      <c r="B200" s="18"/>
      <c r="C200" s="18"/>
      <c r="D200" s="18"/>
      <c r="E200" s="18"/>
      <c r="F200" s="18"/>
      <c r="G200" s="18"/>
      <c r="H200" s="18"/>
      <c r="I200" s="75"/>
      <c r="J200" s="18"/>
      <c r="K200" s="18"/>
      <c r="L200" s="91"/>
      <c r="M200" s="91"/>
      <c r="N200" s="91"/>
      <c r="O200" s="91"/>
      <c r="P200" s="91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</row>
    <row r="201" spans="1:44" x14ac:dyDescent="0.3">
      <c r="A201" s="18"/>
      <c r="B201" s="18"/>
      <c r="C201" s="18"/>
      <c r="D201" s="18"/>
      <c r="E201" s="18"/>
      <c r="F201" s="18"/>
      <c r="G201" s="18"/>
      <c r="H201" s="18"/>
      <c r="I201" s="75"/>
      <c r="J201" s="18"/>
      <c r="K201" s="18"/>
      <c r="L201" s="91"/>
      <c r="M201" s="91"/>
      <c r="N201" s="91"/>
      <c r="O201" s="91"/>
      <c r="P201" s="91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</row>
    <row r="202" spans="1:44" x14ac:dyDescent="0.3">
      <c r="A202" s="18"/>
      <c r="B202" s="18"/>
      <c r="C202" s="18"/>
      <c r="D202" s="18"/>
      <c r="E202" s="18"/>
      <c r="F202" s="18"/>
      <c r="G202" s="18"/>
      <c r="H202" s="18"/>
      <c r="I202" s="75"/>
      <c r="J202" s="18"/>
      <c r="K202" s="90"/>
      <c r="L202" s="90"/>
      <c r="M202" s="90"/>
      <c r="N202" s="90"/>
      <c r="O202" s="81"/>
      <c r="P202" s="81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</row>
    <row r="203" spans="1:44" x14ac:dyDescent="0.3">
      <c r="A203" s="18"/>
      <c r="B203" s="18"/>
      <c r="C203" s="18"/>
      <c r="D203" s="18"/>
      <c r="E203" s="18"/>
      <c r="F203" s="18"/>
      <c r="G203" s="18"/>
      <c r="H203" s="18"/>
      <c r="I203" s="75"/>
      <c r="J203" s="18"/>
      <c r="K203" s="81"/>
      <c r="L203" s="82"/>
      <c r="M203" s="81"/>
      <c r="N203" s="81"/>
      <c r="O203" s="81"/>
      <c r="P203" s="81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</row>
    <row r="204" spans="1:44" x14ac:dyDescent="0.3">
      <c r="A204" s="18"/>
      <c r="B204" s="18"/>
      <c r="C204" s="18"/>
      <c r="D204" s="18"/>
      <c r="E204" s="18"/>
      <c r="F204" s="18"/>
      <c r="G204" s="18"/>
      <c r="H204" s="18"/>
      <c r="I204" s="75"/>
      <c r="J204" s="18"/>
      <c r="K204" s="81"/>
      <c r="L204" s="82"/>
      <c r="M204" s="81"/>
      <c r="N204" s="81"/>
      <c r="O204" s="81"/>
      <c r="P204" s="81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</row>
    <row r="205" spans="1:44" x14ac:dyDescent="0.3">
      <c r="A205" s="18"/>
      <c r="B205" s="18"/>
      <c r="C205" s="18"/>
      <c r="D205" s="18"/>
      <c r="E205" s="18"/>
      <c r="F205" s="18"/>
      <c r="G205" s="18"/>
      <c r="H205" s="18"/>
      <c r="I205" s="75"/>
      <c r="J205" s="18"/>
      <c r="K205" s="81"/>
      <c r="L205" s="82"/>
      <c r="M205" s="81"/>
      <c r="N205" s="81"/>
      <c r="O205" s="81"/>
      <c r="P205" s="81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</row>
    <row r="206" spans="1:44" x14ac:dyDescent="0.3">
      <c r="A206" s="18"/>
      <c r="B206" s="18"/>
      <c r="C206" s="18"/>
      <c r="D206" s="18"/>
      <c r="E206" s="18"/>
      <c r="F206" s="18"/>
      <c r="G206" s="18"/>
      <c r="H206" s="18"/>
      <c r="I206" s="75"/>
      <c r="J206" s="18"/>
      <c r="K206" s="81"/>
      <c r="L206" s="82"/>
      <c r="M206" s="81"/>
      <c r="N206" s="81"/>
      <c r="O206" s="81"/>
      <c r="P206" s="81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</row>
    <row r="207" spans="1:44" x14ac:dyDescent="0.3">
      <c r="A207" s="18"/>
      <c r="B207" s="18"/>
      <c r="C207" s="18"/>
      <c r="D207" s="18"/>
      <c r="E207" s="18"/>
      <c r="F207" s="18"/>
      <c r="G207" s="18"/>
      <c r="H207" s="18"/>
      <c r="I207" s="75"/>
      <c r="J207" s="18"/>
      <c r="K207" s="81"/>
      <c r="L207" s="82"/>
      <c r="M207" s="81"/>
      <c r="N207" s="81"/>
      <c r="O207" s="81"/>
      <c r="P207" s="81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</row>
    <row r="208" spans="1:44" x14ac:dyDescent="0.3">
      <c r="A208" s="18"/>
      <c r="B208" s="18"/>
      <c r="C208" s="18"/>
      <c r="D208" s="18"/>
      <c r="E208" s="18"/>
      <c r="F208" s="18"/>
      <c r="G208" s="18"/>
      <c r="H208" s="18"/>
      <c r="I208" s="75"/>
      <c r="J208" s="18"/>
      <c r="K208" s="81"/>
      <c r="L208" s="82"/>
      <c r="M208" s="81"/>
      <c r="N208" s="81"/>
      <c r="O208" s="81"/>
      <c r="P208" s="81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</row>
    <row r="209" spans="1:44" x14ac:dyDescent="0.3">
      <c r="A209" s="18"/>
      <c r="B209" s="18"/>
      <c r="C209" s="18"/>
      <c r="D209" s="18"/>
      <c r="E209" s="18"/>
      <c r="F209" s="18"/>
      <c r="G209" s="18"/>
      <c r="H209" s="18"/>
      <c r="I209" s="75"/>
      <c r="J209" s="18"/>
      <c r="K209" s="81"/>
      <c r="L209" s="82"/>
      <c r="M209" s="81"/>
      <c r="N209" s="81"/>
      <c r="O209" s="81"/>
      <c r="P209" s="81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</row>
    <row r="210" spans="1:44" x14ac:dyDescent="0.3">
      <c r="A210" s="18"/>
      <c r="B210" s="18"/>
      <c r="C210" s="18"/>
      <c r="D210" s="18"/>
      <c r="E210" s="18"/>
      <c r="F210" s="18"/>
      <c r="G210" s="18"/>
      <c r="H210" s="18"/>
      <c r="I210" s="75"/>
      <c r="J210" s="18"/>
      <c r="K210" s="81"/>
      <c r="L210" s="82"/>
      <c r="M210" s="81"/>
      <c r="N210" s="81"/>
      <c r="O210" s="81"/>
      <c r="P210" s="81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</row>
    <row r="211" spans="1:44" x14ac:dyDescent="0.3">
      <c r="A211" s="18"/>
      <c r="B211" s="18"/>
      <c r="C211" s="18"/>
      <c r="D211" s="18"/>
      <c r="E211" s="18"/>
      <c r="F211" s="18"/>
      <c r="G211" s="18"/>
      <c r="H211" s="18"/>
      <c r="I211" s="75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</row>
    <row r="212" spans="1:44" x14ac:dyDescent="0.3">
      <c r="A212" s="18"/>
      <c r="B212" s="18"/>
      <c r="C212" s="18"/>
      <c r="D212" s="18"/>
      <c r="E212" s="18"/>
      <c r="F212" s="18"/>
      <c r="G212" s="18"/>
      <c r="H212" s="18"/>
      <c r="I212" s="75"/>
      <c r="J212" s="18"/>
      <c r="K212" s="18"/>
      <c r="L212" s="91"/>
      <c r="M212" s="91"/>
      <c r="N212" s="91"/>
      <c r="O212" s="91"/>
      <c r="P212" s="91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</row>
    <row r="213" spans="1:44" x14ac:dyDescent="0.3">
      <c r="A213" s="18"/>
      <c r="B213" s="18"/>
      <c r="C213" s="18"/>
      <c r="D213" s="18"/>
      <c r="E213" s="18"/>
      <c r="F213" s="18"/>
      <c r="G213" s="18"/>
      <c r="H213" s="18"/>
      <c r="I213" s="75"/>
      <c r="J213" s="18"/>
      <c r="K213" s="18"/>
      <c r="L213" s="91"/>
      <c r="M213" s="91"/>
      <c r="N213" s="91"/>
      <c r="O213" s="91"/>
      <c r="P213" s="91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</row>
    <row r="214" spans="1:44" x14ac:dyDescent="0.3">
      <c r="A214" s="18"/>
      <c r="B214" s="18"/>
      <c r="C214" s="18"/>
      <c r="D214" s="18"/>
      <c r="E214" s="18"/>
      <c r="F214" s="18"/>
      <c r="G214" s="18"/>
      <c r="H214" s="18"/>
      <c r="I214" s="75"/>
      <c r="J214" s="18"/>
      <c r="K214" s="92"/>
      <c r="L214" s="92"/>
      <c r="M214" s="92"/>
      <c r="N214" s="92"/>
      <c r="O214" s="92"/>
      <c r="P214" s="92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</row>
    <row r="215" spans="1:44" ht="15.5" x14ac:dyDescent="0.35">
      <c r="A215" s="18"/>
      <c r="B215" s="18"/>
      <c r="C215" s="18"/>
      <c r="D215" s="18"/>
      <c r="E215" s="18"/>
      <c r="F215" s="18"/>
      <c r="G215" s="18"/>
      <c r="H215" s="18"/>
      <c r="I215" s="75"/>
      <c r="J215" s="18"/>
      <c r="K215" s="92"/>
      <c r="L215" s="93"/>
      <c r="M215" s="93"/>
      <c r="N215" s="93"/>
      <c r="O215" s="94"/>
      <c r="P215" s="8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</row>
    <row r="216" spans="1:44" ht="15.5" x14ac:dyDescent="0.35">
      <c r="A216" s="18"/>
      <c r="B216" s="18"/>
      <c r="C216" s="18"/>
      <c r="D216" s="18"/>
      <c r="E216" s="18"/>
      <c r="F216" s="18"/>
      <c r="G216" s="18"/>
      <c r="H216" s="18"/>
      <c r="I216" s="75"/>
      <c r="J216" s="18"/>
      <c r="K216" s="95"/>
      <c r="L216" s="95"/>
      <c r="M216" s="95"/>
      <c r="N216" s="95"/>
      <c r="O216" s="95"/>
      <c r="P216" s="95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</row>
    <row r="217" spans="1:44" ht="15.5" x14ac:dyDescent="0.35">
      <c r="A217" s="18"/>
      <c r="B217" s="18"/>
      <c r="C217" s="18"/>
      <c r="D217" s="18"/>
      <c r="E217" s="18"/>
      <c r="F217" s="18"/>
      <c r="G217" s="18"/>
      <c r="H217" s="18"/>
      <c r="I217" s="75"/>
      <c r="J217" s="18"/>
      <c r="K217" s="95"/>
      <c r="L217" s="95"/>
      <c r="M217" s="95"/>
      <c r="N217" s="95"/>
      <c r="O217" s="95"/>
      <c r="P217" s="95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</row>
    <row r="218" spans="1:44" ht="15.5" x14ac:dyDescent="0.35">
      <c r="A218" s="18"/>
      <c r="B218" s="18"/>
      <c r="C218" s="18"/>
      <c r="D218" s="18"/>
      <c r="E218" s="18"/>
      <c r="F218" s="18"/>
      <c r="G218" s="18"/>
      <c r="H218" s="18"/>
      <c r="I218" s="75"/>
      <c r="J218" s="18"/>
      <c r="K218" s="95"/>
      <c r="L218" s="95"/>
      <c r="M218" s="95"/>
      <c r="N218" s="95"/>
      <c r="O218" s="95"/>
      <c r="P218" s="95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</row>
    <row r="219" spans="1:44" ht="15.5" x14ac:dyDescent="0.35">
      <c r="A219" s="18"/>
      <c r="B219" s="18"/>
      <c r="C219" s="18"/>
      <c r="D219" s="18"/>
      <c r="E219" s="18"/>
      <c r="F219" s="18"/>
      <c r="G219" s="18"/>
      <c r="H219" s="18"/>
      <c r="I219" s="75"/>
      <c r="J219" s="18"/>
      <c r="K219" s="95"/>
      <c r="L219" s="95"/>
      <c r="M219" s="95"/>
      <c r="N219" s="95"/>
      <c r="O219" s="95"/>
      <c r="P219" s="95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</row>
    <row r="220" spans="1:44" ht="15.5" x14ac:dyDescent="0.35">
      <c r="A220" s="18"/>
      <c r="B220" s="18"/>
      <c r="C220" s="18"/>
      <c r="D220" s="18"/>
      <c r="E220" s="18"/>
      <c r="F220" s="18"/>
      <c r="G220" s="18"/>
      <c r="H220" s="18"/>
      <c r="I220" s="75"/>
      <c r="J220" s="18"/>
      <c r="K220" s="95"/>
      <c r="L220" s="95"/>
      <c r="M220" s="95"/>
      <c r="N220" s="95"/>
      <c r="O220" s="95"/>
      <c r="P220" s="95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</row>
    <row r="221" spans="1:44" ht="15.5" x14ac:dyDescent="0.35">
      <c r="A221" s="18"/>
      <c r="B221" s="18"/>
      <c r="C221" s="18"/>
      <c r="D221" s="18"/>
      <c r="E221" s="18"/>
      <c r="F221" s="18"/>
      <c r="G221" s="18"/>
      <c r="H221" s="18"/>
      <c r="I221" s="75"/>
      <c r="J221" s="18"/>
      <c r="K221" s="95"/>
      <c r="L221" s="95"/>
      <c r="M221" s="95"/>
      <c r="N221" s="95"/>
      <c r="O221" s="95"/>
      <c r="P221" s="95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</row>
    <row r="222" spans="1:44" ht="15.5" x14ac:dyDescent="0.35">
      <c r="A222" s="18"/>
      <c r="B222" s="18"/>
      <c r="C222" s="18"/>
      <c r="D222" s="18"/>
      <c r="E222" s="18"/>
      <c r="F222" s="18"/>
      <c r="G222" s="18"/>
      <c r="H222" s="18"/>
      <c r="I222" s="75"/>
      <c r="J222" s="18"/>
      <c r="K222" s="95"/>
      <c r="L222" s="95"/>
      <c r="M222" s="95"/>
      <c r="N222" s="95"/>
      <c r="O222" s="95"/>
      <c r="P222" s="95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</row>
    <row r="223" spans="1:44" ht="15.5" x14ac:dyDescent="0.35">
      <c r="A223" s="18"/>
      <c r="B223" s="18"/>
      <c r="C223" s="18"/>
      <c r="D223" s="18"/>
      <c r="E223" s="18"/>
      <c r="F223" s="18"/>
      <c r="G223" s="18"/>
      <c r="H223" s="18"/>
      <c r="I223" s="75"/>
      <c r="J223" s="18"/>
      <c r="K223" s="95"/>
      <c r="L223" s="95"/>
      <c r="M223" s="95"/>
      <c r="N223" s="95"/>
      <c r="O223" s="95"/>
      <c r="P223" s="95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</row>
    <row r="224" spans="1:44" x14ac:dyDescent="0.3">
      <c r="A224" s="18"/>
      <c r="B224" s="18"/>
      <c r="C224" s="18"/>
      <c r="D224" s="18"/>
      <c r="E224" s="18"/>
      <c r="F224" s="18"/>
      <c r="G224" s="18"/>
      <c r="H224" s="18"/>
      <c r="I224" s="75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</row>
    <row r="225" spans="1:44" x14ac:dyDescent="0.3">
      <c r="A225" s="18"/>
      <c r="B225" s="18"/>
      <c r="C225" s="18"/>
      <c r="D225" s="18"/>
      <c r="E225" s="18"/>
      <c r="F225" s="18"/>
      <c r="G225" s="18"/>
      <c r="H225" s="18"/>
      <c r="I225" s="75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</row>
    <row r="226" spans="1:44" x14ac:dyDescent="0.3">
      <c r="A226" s="18"/>
      <c r="B226" s="18"/>
      <c r="C226" s="18"/>
      <c r="D226" s="18"/>
      <c r="E226" s="18"/>
      <c r="F226" s="18"/>
      <c r="G226" s="18"/>
      <c r="H226" s="18"/>
      <c r="I226" s="75"/>
      <c r="J226" s="18"/>
      <c r="K226" s="90"/>
      <c r="L226" s="90"/>
      <c r="M226" s="90"/>
      <c r="N226" s="90"/>
      <c r="O226" s="90"/>
      <c r="P226" s="90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</row>
    <row r="227" spans="1:44" x14ac:dyDescent="0.3">
      <c r="A227" s="18"/>
      <c r="B227" s="18"/>
      <c r="C227" s="18"/>
      <c r="D227" s="18"/>
      <c r="E227" s="18"/>
      <c r="F227" s="18"/>
      <c r="G227" s="18"/>
      <c r="H227" s="18"/>
      <c r="I227" s="75"/>
      <c r="J227" s="18"/>
      <c r="K227" s="90"/>
      <c r="L227" s="90"/>
      <c r="M227" s="90"/>
      <c r="N227" s="90"/>
      <c r="O227" s="81"/>
      <c r="P227" s="81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</row>
    <row r="228" spans="1:44" x14ac:dyDescent="0.3">
      <c r="A228" s="18"/>
      <c r="B228" s="18"/>
      <c r="C228" s="18"/>
      <c r="D228" s="18"/>
      <c r="E228" s="18"/>
      <c r="F228" s="18"/>
      <c r="G228" s="18"/>
      <c r="H228" s="18"/>
      <c r="I228" s="75"/>
      <c r="J228" s="18"/>
      <c r="K228" s="81"/>
      <c r="L228" s="82"/>
      <c r="M228" s="81"/>
      <c r="N228" s="81"/>
      <c r="O228" s="81"/>
      <c r="P228" s="81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</row>
    <row r="229" spans="1:44" x14ac:dyDescent="0.3">
      <c r="A229" s="18"/>
      <c r="B229" s="18"/>
      <c r="C229" s="18"/>
      <c r="D229" s="18"/>
      <c r="E229" s="18"/>
      <c r="F229" s="18"/>
      <c r="G229" s="18"/>
      <c r="H229" s="18"/>
      <c r="I229" s="75"/>
      <c r="J229" s="18"/>
      <c r="K229" s="81"/>
      <c r="L229" s="82"/>
      <c r="M229" s="81"/>
      <c r="N229" s="81"/>
      <c r="O229" s="81"/>
      <c r="P229" s="81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</row>
    <row r="230" spans="1:44" x14ac:dyDescent="0.3">
      <c r="A230" s="18"/>
      <c r="B230" s="18"/>
      <c r="C230" s="18"/>
      <c r="D230" s="18"/>
      <c r="E230" s="18"/>
      <c r="F230" s="18"/>
      <c r="G230" s="18"/>
      <c r="H230" s="18"/>
      <c r="I230" s="75"/>
      <c r="J230" s="18"/>
      <c r="K230" s="81"/>
      <c r="L230" s="82"/>
      <c r="M230" s="81"/>
      <c r="N230" s="81"/>
      <c r="O230" s="81"/>
      <c r="P230" s="81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</row>
    <row r="231" spans="1:44" x14ac:dyDescent="0.3">
      <c r="A231" s="18"/>
      <c r="B231" s="18"/>
      <c r="C231" s="18"/>
      <c r="D231" s="18"/>
      <c r="E231" s="18"/>
      <c r="F231" s="18"/>
      <c r="G231" s="18"/>
      <c r="H231" s="18"/>
      <c r="I231" s="75"/>
      <c r="J231" s="18"/>
      <c r="K231" s="81"/>
      <c r="L231" s="82"/>
      <c r="M231" s="81"/>
      <c r="N231" s="81"/>
      <c r="O231" s="81"/>
      <c r="P231" s="81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</row>
    <row r="232" spans="1:44" x14ac:dyDescent="0.3">
      <c r="A232" s="18"/>
      <c r="B232" s="18"/>
      <c r="C232" s="18"/>
      <c r="D232" s="18"/>
      <c r="E232" s="18"/>
      <c r="F232" s="18"/>
      <c r="G232" s="18"/>
      <c r="H232" s="18"/>
      <c r="I232" s="75"/>
      <c r="J232" s="18"/>
      <c r="K232" s="81"/>
      <c r="L232" s="82"/>
      <c r="M232" s="81"/>
      <c r="N232" s="81"/>
      <c r="O232" s="81"/>
      <c r="P232" s="81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</row>
    <row r="233" spans="1:44" x14ac:dyDescent="0.3">
      <c r="A233" s="18"/>
      <c r="B233" s="18"/>
      <c r="C233" s="18"/>
      <c r="D233" s="18"/>
      <c r="E233" s="18"/>
      <c r="F233" s="18"/>
      <c r="G233" s="18"/>
      <c r="H233" s="18"/>
      <c r="I233" s="75"/>
      <c r="J233" s="18"/>
      <c r="K233" s="81"/>
      <c r="L233" s="82"/>
      <c r="M233" s="81"/>
      <c r="N233" s="81"/>
      <c r="O233" s="81"/>
      <c r="P233" s="81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</row>
    <row r="234" spans="1:44" x14ac:dyDescent="0.3">
      <c r="A234" s="18"/>
      <c r="B234" s="18"/>
      <c r="C234" s="18"/>
      <c r="D234" s="18"/>
      <c r="E234" s="18"/>
      <c r="F234" s="18"/>
      <c r="G234" s="18"/>
      <c r="H234" s="18"/>
      <c r="I234" s="75"/>
      <c r="J234" s="18"/>
      <c r="K234" s="81"/>
      <c r="L234" s="82"/>
      <c r="M234" s="81"/>
      <c r="N234" s="81"/>
      <c r="O234" s="81"/>
      <c r="P234" s="81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</row>
    <row r="235" spans="1:44" x14ac:dyDescent="0.3">
      <c r="A235" s="18"/>
      <c r="B235" s="18"/>
      <c r="C235" s="18"/>
      <c r="D235" s="18"/>
      <c r="E235" s="18"/>
      <c r="F235" s="18"/>
      <c r="G235" s="18"/>
      <c r="H235" s="18"/>
      <c r="I235" s="75"/>
      <c r="J235" s="18"/>
      <c r="K235" s="81"/>
      <c r="L235" s="82"/>
      <c r="M235" s="81"/>
      <c r="N235" s="81"/>
      <c r="O235" s="81"/>
      <c r="P235" s="81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</row>
    <row r="236" spans="1:44" x14ac:dyDescent="0.3">
      <c r="A236" s="18"/>
      <c r="B236" s="18"/>
      <c r="C236" s="18"/>
      <c r="D236" s="18"/>
      <c r="E236" s="18"/>
      <c r="F236" s="18"/>
      <c r="G236" s="18"/>
      <c r="H236" s="18"/>
      <c r="I236" s="75"/>
      <c r="J236" s="18"/>
      <c r="K236" s="81"/>
      <c r="L236" s="82"/>
      <c r="M236" s="81"/>
      <c r="N236" s="81"/>
      <c r="O236" s="81"/>
      <c r="P236" s="81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</row>
    <row r="237" spans="1:44" x14ac:dyDescent="0.3">
      <c r="A237" s="18"/>
      <c r="B237" s="18"/>
      <c r="C237" s="18"/>
      <c r="D237" s="18"/>
      <c r="E237" s="18"/>
      <c r="F237" s="18"/>
      <c r="G237" s="18"/>
      <c r="H237" s="18"/>
      <c r="I237" s="75"/>
      <c r="J237" s="18"/>
      <c r="K237" s="81"/>
      <c r="L237" s="82"/>
      <c r="M237" s="81"/>
      <c r="N237" s="81"/>
      <c r="O237" s="81"/>
      <c r="P237" s="81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</row>
    <row r="238" spans="1:44" x14ac:dyDescent="0.3">
      <c r="A238" s="18"/>
      <c r="B238" s="18"/>
      <c r="C238" s="18"/>
      <c r="D238" s="18"/>
      <c r="E238" s="18"/>
      <c r="F238" s="18"/>
      <c r="G238" s="18"/>
      <c r="H238" s="18"/>
      <c r="I238" s="75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</row>
    <row r="239" spans="1:44" x14ac:dyDescent="0.3">
      <c r="A239" s="18"/>
      <c r="B239" s="18"/>
      <c r="C239" s="18"/>
      <c r="D239" s="18"/>
      <c r="E239" s="18"/>
      <c r="F239" s="18"/>
      <c r="G239" s="18"/>
      <c r="H239" s="18"/>
      <c r="I239" s="75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</row>
    <row r="240" spans="1:44" x14ac:dyDescent="0.3">
      <c r="A240" s="18"/>
      <c r="B240" s="18"/>
      <c r="C240" s="18"/>
      <c r="D240" s="18"/>
      <c r="E240" s="18"/>
      <c r="F240" s="18"/>
      <c r="G240" s="18"/>
      <c r="H240" s="18"/>
      <c r="I240" s="75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</row>
    <row r="241" spans="1:44" ht="12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75"/>
      <c r="J241" s="18"/>
      <c r="K241" s="96"/>
      <c r="L241" s="96"/>
      <c r="M241" s="96"/>
      <c r="N241" s="96"/>
      <c r="O241" s="96"/>
      <c r="P241" s="96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</row>
    <row r="242" spans="1:44" x14ac:dyDescent="0.3">
      <c r="A242" s="18"/>
      <c r="B242" s="18"/>
      <c r="C242" s="18"/>
      <c r="D242" s="18"/>
      <c r="E242" s="18"/>
      <c r="F242" s="18"/>
      <c r="G242" s="18"/>
      <c r="H242" s="18"/>
      <c r="I242" s="75"/>
      <c r="J242" s="18"/>
      <c r="K242" s="97"/>
      <c r="L242" s="97"/>
      <c r="M242" s="98"/>
      <c r="N242" s="98"/>
      <c r="O242" s="98"/>
      <c r="P242" s="9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</row>
    <row r="243" spans="1:44" ht="15.5" x14ac:dyDescent="0.35">
      <c r="A243" s="18"/>
      <c r="B243" s="18"/>
      <c r="C243" s="18"/>
      <c r="D243" s="18"/>
      <c r="E243" s="18"/>
      <c r="F243" s="18"/>
      <c r="G243" s="18"/>
      <c r="H243" s="18"/>
      <c r="I243" s="75"/>
      <c r="J243" s="18"/>
      <c r="K243" s="99"/>
      <c r="L243" s="100"/>
      <c r="M243" s="100"/>
      <c r="N243" s="100"/>
      <c r="O243" s="99"/>
      <c r="P243" s="99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</row>
    <row r="244" spans="1:44" ht="15.5" x14ac:dyDescent="0.35">
      <c r="A244" s="18"/>
      <c r="B244" s="18"/>
      <c r="C244" s="18"/>
      <c r="D244" s="18"/>
      <c r="E244" s="18"/>
      <c r="F244" s="18"/>
      <c r="G244" s="18"/>
      <c r="H244" s="18"/>
      <c r="I244" s="75"/>
      <c r="J244" s="18"/>
      <c r="K244" s="100"/>
      <c r="L244" s="99"/>
      <c r="M244" s="99"/>
      <c r="N244" s="99"/>
      <c r="O244" s="98"/>
      <c r="P244" s="9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</row>
    <row r="245" spans="1:44" x14ac:dyDescent="0.3">
      <c r="A245" s="18"/>
      <c r="B245" s="18"/>
      <c r="C245" s="18"/>
      <c r="D245" s="18"/>
      <c r="E245" s="18"/>
      <c r="F245" s="18"/>
      <c r="G245" s="18"/>
      <c r="H245" s="18"/>
      <c r="I245" s="75"/>
      <c r="J245" s="18"/>
      <c r="K245" s="98"/>
      <c r="L245" s="101"/>
      <c r="M245" s="98"/>
      <c r="N245" s="98"/>
      <c r="O245" s="98"/>
      <c r="P245" s="9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</row>
    <row r="246" spans="1:44" x14ac:dyDescent="0.3">
      <c r="A246" s="18"/>
      <c r="B246" s="18"/>
      <c r="C246" s="18"/>
      <c r="D246" s="18"/>
      <c r="E246" s="18"/>
      <c r="F246" s="18"/>
      <c r="G246" s="18"/>
      <c r="H246" s="18"/>
      <c r="I246" s="75"/>
      <c r="J246" s="18"/>
      <c r="K246" s="98"/>
      <c r="L246" s="101"/>
      <c r="M246" s="98"/>
      <c r="N246" s="98"/>
      <c r="O246" s="98"/>
      <c r="P246" s="9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</row>
    <row r="247" spans="1:44" x14ac:dyDescent="0.3">
      <c r="A247" s="18"/>
      <c r="B247" s="18"/>
      <c r="C247" s="18"/>
      <c r="D247" s="18"/>
      <c r="E247" s="18"/>
      <c r="F247" s="18"/>
      <c r="G247" s="18"/>
      <c r="H247" s="18"/>
      <c r="I247" s="75"/>
      <c r="J247" s="18"/>
      <c r="K247" s="98"/>
      <c r="L247" s="101"/>
      <c r="M247" s="98"/>
      <c r="N247" s="98"/>
      <c r="O247" s="98"/>
      <c r="P247" s="9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</row>
    <row r="248" spans="1:44" x14ac:dyDescent="0.3">
      <c r="A248" s="18"/>
      <c r="B248" s="18"/>
      <c r="C248" s="18"/>
      <c r="D248" s="18"/>
      <c r="E248" s="18"/>
      <c r="F248" s="18"/>
      <c r="G248" s="18"/>
      <c r="H248" s="18"/>
      <c r="I248" s="75"/>
      <c r="J248" s="18"/>
      <c r="K248" s="98"/>
      <c r="L248" s="98"/>
      <c r="M248" s="98"/>
      <c r="N248" s="98"/>
      <c r="O248" s="98"/>
      <c r="P248" s="9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</row>
    <row r="249" spans="1:44" x14ac:dyDescent="0.3">
      <c r="A249" s="18"/>
      <c r="B249" s="18"/>
      <c r="C249" s="18"/>
      <c r="D249" s="18"/>
      <c r="E249" s="18"/>
      <c r="F249" s="18"/>
      <c r="G249" s="18"/>
      <c r="H249" s="18"/>
      <c r="I249" s="75"/>
      <c r="J249" s="18"/>
      <c r="K249" s="98"/>
      <c r="L249" s="98"/>
      <c r="M249" s="98"/>
      <c r="N249" s="98"/>
      <c r="O249" s="98"/>
      <c r="P249" s="9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</row>
    <row r="250" spans="1:44" x14ac:dyDescent="0.3">
      <c r="A250" s="18"/>
      <c r="B250" s="18"/>
      <c r="C250" s="18"/>
      <c r="D250" s="18"/>
      <c r="E250" s="18"/>
      <c r="F250" s="18"/>
      <c r="G250" s="18"/>
      <c r="H250" s="18"/>
      <c r="I250" s="75"/>
      <c r="J250" s="18"/>
      <c r="K250" s="98"/>
      <c r="L250" s="98"/>
      <c r="M250" s="98"/>
      <c r="N250" s="98"/>
      <c r="O250" s="98"/>
      <c r="P250" s="9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</row>
    <row r="251" spans="1:44" x14ac:dyDescent="0.3">
      <c r="A251" s="18"/>
      <c r="B251" s="18"/>
      <c r="C251" s="18"/>
      <c r="D251" s="18"/>
      <c r="E251" s="18"/>
      <c r="F251" s="18"/>
      <c r="G251" s="18"/>
      <c r="H251" s="18"/>
      <c r="I251" s="75"/>
      <c r="J251" s="18"/>
      <c r="K251" s="98"/>
      <c r="L251" s="98"/>
      <c r="M251" s="98"/>
      <c r="N251" s="98"/>
      <c r="O251" s="98"/>
      <c r="P251" s="9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</row>
    <row r="252" spans="1:44" x14ac:dyDescent="0.3">
      <c r="A252" s="18"/>
      <c r="B252" s="18"/>
      <c r="C252" s="18"/>
      <c r="D252" s="18"/>
      <c r="E252" s="18"/>
      <c r="F252" s="18"/>
      <c r="G252" s="18"/>
      <c r="H252" s="18"/>
      <c r="I252" s="75"/>
      <c r="J252" s="18"/>
      <c r="K252" s="98"/>
      <c r="L252" s="98"/>
      <c r="M252" s="98"/>
      <c r="N252" s="98"/>
      <c r="O252" s="98"/>
      <c r="P252" s="9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</row>
    <row r="253" spans="1:44" x14ac:dyDescent="0.3">
      <c r="A253" s="18"/>
      <c r="B253" s="18"/>
      <c r="C253" s="18"/>
      <c r="D253" s="18"/>
      <c r="E253" s="18"/>
      <c r="F253" s="18"/>
      <c r="G253" s="18"/>
      <c r="H253" s="18"/>
      <c r="I253" s="75"/>
      <c r="J253" s="18"/>
      <c r="K253" s="18"/>
      <c r="L253" s="91"/>
      <c r="M253" s="91"/>
      <c r="N253" s="91"/>
      <c r="O253" s="91"/>
      <c r="P253" s="91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</row>
    <row r="254" spans="1:44" x14ac:dyDescent="0.3">
      <c r="A254" s="18"/>
      <c r="B254" s="18"/>
      <c r="C254" s="18"/>
      <c r="D254" s="18"/>
      <c r="E254" s="18"/>
      <c r="F254" s="18"/>
      <c r="G254" s="18"/>
      <c r="H254" s="18"/>
      <c r="I254" s="75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</row>
    <row r="255" spans="1:44" x14ac:dyDescent="0.3">
      <c r="A255" s="18"/>
      <c r="B255" s="18"/>
      <c r="C255" s="18"/>
      <c r="D255" s="18"/>
      <c r="E255" s="18"/>
      <c r="F255" s="18"/>
      <c r="G255" s="18"/>
      <c r="H255" s="18"/>
      <c r="I255" s="75"/>
      <c r="J255" s="18"/>
      <c r="K255" s="96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</row>
    <row r="256" spans="1:44" x14ac:dyDescent="0.3">
      <c r="A256" s="18"/>
      <c r="B256" s="18"/>
      <c r="C256" s="18"/>
      <c r="D256" s="18"/>
      <c r="E256" s="18"/>
      <c r="F256" s="18"/>
      <c r="G256" s="18"/>
      <c r="H256" s="18"/>
      <c r="I256" s="75"/>
      <c r="J256" s="18"/>
      <c r="K256" s="97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</row>
    <row r="257" spans="1:44" ht="15.5" x14ac:dyDescent="0.35">
      <c r="A257" s="18"/>
      <c r="B257" s="18"/>
      <c r="C257" s="18"/>
      <c r="D257" s="18"/>
      <c r="E257" s="18"/>
      <c r="F257" s="18"/>
      <c r="G257" s="18"/>
      <c r="H257" s="18"/>
      <c r="I257" s="75"/>
      <c r="J257" s="18"/>
      <c r="K257" s="99"/>
      <c r="L257" s="100"/>
      <c r="M257" s="100"/>
      <c r="N257" s="100"/>
      <c r="O257" s="99"/>
      <c r="P257" s="99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</row>
    <row r="258" spans="1:44" ht="15.5" x14ac:dyDescent="0.35">
      <c r="A258" s="18"/>
      <c r="B258" s="18"/>
      <c r="C258" s="18"/>
      <c r="D258" s="18"/>
      <c r="E258" s="18"/>
      <c r="F258" s="18"/>
      <c r="G258" s="18"/>
      <c r="H258" s="18"/>
      <c r="I258" s="75"/>
      <c r="J258" s="18"/>
      <c r="K258" s="100"/>
      <c r="L258" s="99"/>
      <c r="M258" s="99"/>
      <c r="N258" s="99"/>
      <c r="O258" s="98"/>
      <c r="P258" s="9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</row>
    <row r="259" spans="1:44" x14ac:dyDescent="0.3">
      <c r="A259" s="18"/>
      <c r="B259" s="18"/>
      <c r="C259" s="18"/>
      <c r="D259" s="18"/>
      <c r="E259" s="18"/>
      <c r="F259" s="18"/>
      <c r="G259" s="18"/>
      <c r="H259" s="18"/>
      <c r="I259" s="75"/>
      <c r="J259" s="18"/>
      <c r="K259" s="98"/>
      <c r="L259" s="98"/>
      <c r="M259" s="98"/>
      <c r="N259" s="98"/>
      <c r="O259" s="98"/>
      <c r="P259" s="9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</row>
    <row r="260" spans="1:44" x14ac:dyDescent="0.3">
      <c r="A260" s="18"/>
      <c r="B260" s="18"/>
      <c r="C260" s="18"/>
      <c r="D260" s="18"/>
      <c r="E260" s="18"/>
      <c r="F260" s="18"/>
      <c r="G260" s="18"/>
      <c r="H260" s="18"/>
      <c r="I260" s="75"/>
      <c r="J260" s="18"/>
      <c r="K260" s="98"/>
      <c r="L260" s="98"/>
      <c r="M260" s="98"/>
      <c r="N260" s="98"/>
      <c r="O260" s="98"/>
      <c r="P260" s="9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</row>
    <row r="261" spans="1:44" x14ac:dyDescent="0.3">
      <c r="A261" s="18"/>
      <c r="B261" s="18"/>
      <c r="C261" s="18"/>
      <c r="D261" s="18"/>
      <c r="E261" s="18"/>
      <c r="F261" s="18"/>
      <c r="G261" s="18"/>
      <c r="H261" s="18"/>
      <c r="I261" s="75"/>
      <c r="J261" s="18"/>
      <c r="K261" s="98"/>
      <c r="L261" s="98"/>
      <c r="M261" s="98"/>
      <c r="N261" s="98"/>
      <c r="O261" s="98"/>
      <c r="P261" s="9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</row>
    <row r="262" spans="1:44" x14ac:dyDescent="0.3">
      <c r="K262" s="395"/>
      <c r="L262" s="396"/>
      <c r="M262" s="396"/>
      <c r="N262" s="396"/>
      <c r="O262" s="396"/>
      <c r="P262" s="396"/>
    </row>
    <row r="263" spans="1:44" x14ac:dyDescent="0.3">
      <c r="K263" s="395"/>
      <c r="L263" s="396"/>
      <c r="M263" s="396"/>
      <c r="N263" s="396"/>
      <c r="O263" s="396"/>
      <c r="P263" s="396"/>
    </row>
    <row r="264" spans="1:44" x14ac:dyDescent="0.3">
      <c r="K264" s="395"/>
      <c r="L264" s="396"/>
      <c r="M264" s="396"/>
      <c r="N264" s="396"/>
      <c r="O264" s="396"/>
      <c r="P264" s="396"/>
    </row>
    <row r="265" spans="1:44" x14ac:dyDescent="0.3">
      <c r="K265" s="395"/>
      <c r="L265" s="396"/>
      <c r="M265" s="396"/>
      <c r="N265" s="396"/>
      <c r="O265" s="396"/>
      <c r="P265" s="396"/>
    </row>
    <row r="266" spans="1:44" x14ac:dyDescent="0.3">
      <c r="K266" s="395"/>
      <c r="L266" s="396"/>
      <c r="M266" s="396"/>
      <c r="N266" s="396"/>
      <c r="O266" s="396"/>
      <c r="P266" s="396"/>
    </row>
    <row r="267" spans="1:44" x14ac:dyDescent="0.3">
      <c r="L267" s="397"/>
      <c r="M267" s="397"/>
      <c r="N267" s="397"/>
      <c r="O267" s="397"/>
      <c r="P267" s="397"/>
    </row>
  </sheetData>
  <mergeCells count="50">
    <mergeCell ref="A23:C23"/>
    <mergeCell ref="AE44:AG44"/>
    <mergeCell ref="AH44:AJ44"/>
    <mergeCell ref="AO44:AQ44"/>
    <mergeCell ref="AR44:AT44"/>
    <mergeCell ref="X23:Z23"/>
    <mergeCell ref="AE23:AG23"/>
    <mergeCell ref="A1:I1"/>
    <mergeCell ref="K1:S1"/>
    <mergeCell ref="U1:AC1"/>
    <mergeCell ref="AE1:AM1"/>
    <mergeCell ref="AO1:AW1"/>
    <mergeCell ref="AH2:AJ2"/>
    <mergeCell ref="AO2:AQ2"/>
    <mergeCell ref="AR2:AT2"/>
    <mergeCell ref="AY1:BG1"/>
    <mergeCell ref="AY2:BA2"/>
    <mergeCell ref="BB2:BD2"/>
    <mergeCell ref="BB23:BD23"/>
    <mergeCell ref="AH23:AJ23"/>
    <mergeCell ref="AO23:AQ23"/>
    <mergeCell ref="D23:F23"/>
    <mergeCell ref="K23:M23"/>
    <mergeCell ref="N23:P23"/>
    <mergeCell ref="U23:W23"/>
    <mergeCell ref="AR23:AT23"/>
    <mergeCell ref="AY23:BA23"/>
    <mergeCell ref="X2:Z2"/>
    <mergeCell ref="AE2:AG2"/>
    <mergeCell ref="A2:C2"/>
    <mergeCell ref="D2:F2"/>
    <mergeCell ref="K2:M2"/>
    <mergeCell ref="N2:P2"/>
    <mergeCell ref="U2:W2"/>
    <mergeCell ref="A64:P64"/>
    <mergeCell ref="A88:P88"/>
    <mergeCell ref="K90:P90"/>
    <mergeCell ref="BB44:BD44"/>
    <mergeCell ref="A108:P108"/>
    <mergeCell ref="A65:B65"/>
    <mergeCell ref="C65:F65"/>
    <mergeCell ref="K65:L65"/>
    <mergeCell ref="M65:P65"/>
    <mergeCell ref="A44:C44"/>
    <mergeCell ref="D44:F44"/>
    <mergeCell ref="K44:M44"/>
    <mergeCell ref="N44:P44"/>
    <mergeCell ref="U44:W44"/>
    <mergeCell ref="AY44:BA44"/>
    <mergeCell ref="X44:Z44"/>
  </mergeCells>
  <printOptions horizontalCentered="1" verticalCentered="1"/>
  <pageMargins left="0.19685039370078741" right="0.19685039370078741" top="0.43307086614173229" bottom="0.23622047244094491" header="0.19685039370078741" footer="0.19685039370078741"/>
  <pageSetup paperSize="9" scale="10" orientation="landscape" blackAndWhite="1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>
    <pageSetUpPr fitToPage="1"/>
  </sheetPr>
  <dimension ref="A1:BH309"/>
  <sheetViews>
    <sheetView showGridLines="0" showZeros="0" topLeftCell="AT40" zoomScale="70" zoomScaleNormal="70" workbookViewId="0">
      <selection activeCell="AF61" sqref="AF61:AJ61"/>
    </sheetView>
  </sheetViews>
  <sheetFormatPr defaultColWidth="8.7265625" defaultRowHeight="13" x14ac:dyDescent="0.3"/>
  <cols>
    <col min="1" max="1" width="13.36328125" style="6" customWidth="1"/>
    <col min="2" max="2" width="11.453125" style="6" bestFit="1" customWidth="1"/>
    <col min="3" max="3" width="6.1796875" style="6" customWidth="1"/>
    <col min="4" max="4" width="8.08984375" style="6" customWidth="1"/>
    <col min="5" max="6" width="7.6328125" style="6" customWidth="1"/>
    <col min="7" max="7" width="8.54296875" style="6" bestFit="1" customWidth="1"/>
    <col min="8" max="8" width="6.81640625" style="6" customWidth="1"/>
    <col min="9" max="9" width="8.6328125" style="102" customWidth="1"/>
    <col min="10" max="10" width="4.54296875" style="6" customWidth="1"/>
    <col min="11" max="11" width="13.36328125" style="6" customWidth="1"/>
    <col min="12" max="12" width="7.6328125" style="6" customWidth="1"/>
    <col min="13" max="13" width="6.1796875" style="6" customWidth="1"/>
    <col min="14" max="14" width="8.08984375" style="6" customWidth="1"/>
    <col min="15" max="17" width="7.6328125" style="6" customWidth="1"/>
    <col min="18" max="18" width="6.81640625" style="6" customWidth="1"/>
    <col min="19" max="19" width="9.7265625" style="6" customWidth="1"/>
    <col min="20" max="20" width="5" style="6" customWidth="1"/>
    <col min="21" max="21" width="13.36328125" style="6" customWidth="1"/>
    <col min="22" max="22" width="7.6328125" style="6" customWidth="1"/>
    <col min="23" max="23" width="6.1796875" style="6" customWidth="1"/>
    <col min="24" max="24" width="8.08984375" style="6" customWidth="1"/>
    <col min="25" max="26" width="7.6328125" style="6" customWidth="1"/>
    <col min="27" max="27" width="7" style="6" customWidth="1"/>
    <col min="28" max="28" width="6.81640625" style="6" customWidth="1"/>
    <col min="29" max="29" width="11.26953125" style="6" bestFit="1" customWidth="1"/>
    <col min="30" max="30" width="11.54296875" style="6" customWidth="1"/>
    <col min="31" max="31" width="13.36328125" style="6" customWidth="1"/>
    <col min="32" max="32" width="7.6328125" style="6" customWidth="1"/>
    <col min="33" max="33" width="6.1796875" style="6" customWidth="1"/>
    <col min="34" max="34" width="8.08984375" style="6" customWidth="1"/>
    <col min="35" max="36" width="7.6328125" style="6" customWidth="1"/>
    <col min="37" max="37" width="7" style="6" customWidth="1"/>
    <col min="38" max="38" width="6.81640625" style="6" customWidth="1"/>
    <col min="39" max="39" width="11.26953125" style="6" bestFit="1" customWidth="1"/>
    <col min="40" max="40" width="11.26953125" style="6" customWidth="1"/>
    <col min="41" max="41" width="13.36328125" style="6" customWidth="1"/>
    <col min="42" max="42" width="7.6328125" style="6" customWidth="1"/>
    <col min="43" max="43" width="7.6328125" style="6" bestFit="1" customWidth="1"/>
    <col min="44" max="44" width="8.08984375" style="6" customWidth="1"/>
    <col min="45" max="47" width="7.6328125" style="6" customWidth="1"/>
    <col min="48" max="48" width="6.81640625" style="6" customWidth="1"/>
    <col min="49" max="49" width="11.26953125" style="6" bestFit="1" customWidth="1"/>
    <col min="50" max="50" width="8.7265625" style="6"/>
    <col min="51" max="51" width="13.36328125" style="6" customWidth="1"/>
    <col min="52" max="52" width="7.6328125" style="6" customWidth="1"/>
    <col min="53" max="53" width="7.6328125" style="6" bestFit="1" customWidth="1"/>
    <col min="54" max="54" width="8.08984375" style="6" customWidth="1"/>
    <col min="55" max="55" width="7.6328125" style="6" bestFit="1" customWidth="1"/>
    <col min="56" max="56" width="7.6328125" style="6" customWidth="1"/>
    <col min="57" max="57" width="7.6328125" style="6" bestFit="1" customWidth="1"/>
    <col min="58" max="58" width="6.81640625" style="6" customWidth="1"/>
    <col min="59" max="59" width="11.26953125" style="6" bestFit="1" customWidth="1"/>
    <col min="60" max="60" width="11.54296875" style="6" customWidth="1"/>
    <col min="61" max="16384" width="8.7265625" style="6"/>
  </cols>
  <sheetData>
    <row r="1" spans="1:59" ht="22.5" x14ac:dyDescent="0.45">
      <c r="A1" s="593" t="s">
        <v>64</v>
      </c>
      <c r="B1" s="593"/>
      <c r="C1" s="593"/>
      <c r="D1" s="593"/>
      <c r="E1" s="593"/>
      <c r="F1" s="593"/>
      <c r="G1" s="593"/>
      <c r="H1" s="593"/>
      <c r="I1" s="593"/>
      <c r="J1" s="4"/>
      <c r="K1" s="593" t="s">
        <v>64</v>
      </c>
      <c r="L1" s="593"/>
      <c r="M1" s="593"/>
      <c r="N1" s="593"/>
      <c r="O1" s="593"/>
      <c r="P1" s="593"/>
      <c r="Q1" s="593"/>
      <c r="R1" s="593"/>
      <c r="S1" s="593"/>
      <c r="T1" s="5"/>
      <c r="U1" s="593" t="s">
        <v>64</v>
      </c>
      <c r="V1" s="593"/>
      <c r="W1" s="593"/>
      <c r="X1" s="593"/>
      <c r="Y1" s="593"/>
      <c r="Z1" s="593"/>
      <c r="AA1" s="593"/>
      <c r="AB1" s="593"/>
      <c r="AC1" s="593"/>
      <c r="AD1" s="5"/>
      <c r="AE1" s="593" t="s">
        <v>64</v>
      </c>
      <c r="AF1" s="593"/>
      <c r="AG1" s="593"/>
      <c r="AH1" s="593"/>
      <c r="AI1" s="593"/>
      <c r="AJ1" s="593"/>
      <c r="AK1" s="593"/>
      <c r="AL1" s="593"/>
      <c r="AM1" s="593"/>
      <c r="AN1" s="5"/>
      <c r="AO1" s="593" t="s">
        <v>64</v>
      </c>
      <c r="AP1" s="593"/>
      <c r="AQ1" s="593"/>
      <c r="AR1" s="593"/>
      <c r="AS1" s="593"/>
      <c r="AT1" s="593"/>
      <c r="AU1" s="593"/>
      <c r="AV1" s="593"/>
      <c r="AW1" s="593"/>
      <c r="AX1" s="5"/>
      <c r="AY1" s="593" t="s">
        <v>64</v>
      </c>
      <c r="AZ1" s="593"/>
      <c r="BA1" s="593"/>
      <c r="BB1" s="593"/>
      <c r="BC1" s="593"/>
      <c r="BD1" s="593"/>
      <c r="BE1" s="593"/>
      <c r="BF1" s="593"/>
      <c r="BG1" s="593"/>
    </row>
    <row r="2" spans="1:59" ht="28.5" x14ac:dyDescent="0.6">
      <c r="A2" s="586" t="s">
        <v>29</v>
      </c>
      <c r="B2" s="586"/>
      <c r="C2" s="586"/>
      <c r="D2" s="585" t="s">
        <v>30</v>
      </c>
      <c r="E2" s="585"/>
      <c r="F2" s="585"/>
      <c r="G2" s="110"/>
      <c r="H2" s="110"/>
      <c r="I2" s="110"/>
      <c r="J2" s="109"/>
      <c r="K2" s="586" t="s">
        <v>29</v>
      </c>
      <c r="L2" s="586"/>
      <c r="M2" s="586"/>
      <c r="N2" s="585" t="s">
        <v>31</v>
      </c>
      <c r="O2" s="585"/>
      <c r="P2" s="585"/>
      <c r="Q2" s="110"/>
      <c r="R2" s="110"/>
      <c r="S2" s="110"/>
      <c r="T2" s="111"/>
      <c r="U2" s="586" t="s">
        <v>32</v>
      </c>
      <c r="V2" s="586"/>
      <c r="W2" s="586"/>
      <c r="X2" s="585" t="s">
        <v>30</v>
      </c>
      <c r="Y2" s="585"/>
      <c r="Z2" s="585"/>
      <c r="AA2" s="110"/>
      <c r="AB2" s="110"/>
      <c r="AC2" s="110"/>
      <c r="AD2" s="111"/>
      <c r="AE2" s="586" t="s">
        <v>32</v>
      </c>
      <c r="AF2" s="586"/>
      <c r="AG2" s="586"/>
      <c r="AH2" s="585" t="s">
        <v>31</v>
      </c>
      <c r="AI2" s="585"/>
      <c r="AJ2" s="585"/>
      <c r="AK2" s="110"/>
      <c r="AL2" s="110"/>
      <c r="AM2" s="110"/>
      <c r="AN2" s="111"/>
      <c r="AO2" s="586" t="s">
        <v>33</v>
      </c>
      <c r="AP2" s="586"/>
      <c r="AQ2" s="586"/>
      <c r="AR2" s="585" t="s">
        <v>30</v>
      </c>
      <c r="AS2" s="585"/>
      <c r="AT2" s="585"/>
      <c r="AU2" s="110"/>
      <c r="AV2" s="110"/>
      <c r="AW2" s="110"/>
      <c r="AX2" s="111"/>
      <c r="AY2" s="586" t="s">
        <v>33</v>
      </c>
      <c r="AZ2" s="586"/>
      <c r="BA2" s="586"/>
      <c r="BB2" s="585" t="s">
        <v>31</v>
      </c>
      <c r="BC2" s="585"/>
      <c r="BD2" s="585"/>
      <c r="BE2" s="110"/>
      <c r="BF2" s="110"/>
      <c r="BG2" s="111"/>
    </row>
    <row r="3" spans="1:59" ht="9" customHeight="1" thickBot="1" x14ac:dyDescent="0.3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4"/>
      <c r="U3" s="103"/>
      <c r="V3" s="103"/>
      <c r="W3" s="103"/>
      <c r="X3" s="103"/>
      <c r="Y3" s="103"/>
      <c r="Z3" s="103"/>
      <c r="AA3" s="103"/>
      <c r="AB3" s="103"/>
      <c r="AC3" s="103"/>
      <c r="AD3" s="104"/>
      <c r="AE3" s="103"/>
      <c r="AF3" s="103"/>
      <c r="AG3" s="103"/>
      <c r="AH3" s="103"/>
      <c r="AI3" s="103"/>
      <c r="AJ3" s="103"/>
      <c r="AK3" s="103"/>
      <c r="AL3" s="103"/>
      <c r="AM3" s="103"/>
      <c r="AN3" s="104"/>
      <c r="AO3" s="103"/>
      <c r="AP3" s="103"/>
      <c r="AQ3" s="103"/>
      <c r="AR3" s="103"/>
      <c r="AS3" s="103"/>
      <c r="AT3" s="103"/>
      <c r="AU3" s="103"/>
      <c r="AV3" s="103"/>
      <c r="AW3" s="103"/>
      <c r="AX3" s="104"/>
      <c r="AY3" s="103"/>
      <c r="AZ3" s="103"/>
      <c r="BA3" s="103"/>
      <c r="BB3" s="103"/>
      <c r="BC3" s="103"/>
      <c r="BD3" s="103"/>
      <c r="BE3" s="103"/>
      <c r="BF3" s="103"/>
      <c r="BG3" s="104"/>
    </row>
    <row r="4" spans="1:59" ht="25" thickBot="1" x14ac:dyDescent="0.3">
      <c r="A4" s="119"/>
      <c r="B4" s="120" t="s">
        <v>34</v>
      </c>
      <c r="C4" s="121" t="s">
        <v>35</v>
      </c>
      <c r="D4" s="121" t="s">
        <v>36</v>
      </c>
      <c r="E4" s="121" t="s">
        <v>37</v>
      </c>
      <c r="F4" s="121" t="s">
        <v>38</v>
      </c>
      <c r="G4" s="121" t="s">
        <v>39</v>
      </c>
      <c r="H4" s="122" t="s">
        <v>40</v>
      </c>
      <c r="I4" s="123" t="s">
        <v>41</v>
      </c>
      <c r="J4" s="103"/>
      <c r="K4" s="119"/>
      <c r="L4" s="120" t="s">
        <v>34</v>
      </c>
      <c r="M4" s="121" t="s">
        <v>35</v>
      </c>
      <c r="N4" s="121" t="s">
        <v>36</v>
      </c>
      <c r="O4" s="121" t="s">
        <v>37</v>
      </c>
      <c r="P4" s="121" t="s">
        <v>38</v>
      </c>
      <c r="Q4" s="124" t="s">
        <v>39</v>
      </c>
      <c r="R4" s="125" t="s">
        <v>40</v>
      </c>
      <c r="S4" s="123" t="s">
        <v>41</v>
      </c>
      <c r="T4" s="104"/>
      <c r="U4" s="119"/>
      <c r="V4" s="120" t="s">
        <v>34</v>
      </c>
      <c r="W4" s="121" t="s">
        <v>35</v>
      </c>
      <c r="X4" s="121" t="s">
        <v>36</v>
      </c>
      <c r="Y4" s="121" t="s">
        <v>37</v>
      </c>
      <c r="Z4" s="121" t="s">
        <v>38</v>
      </c>
      <c r="AA4" s="124" t="s">
        <v>39</v>
      </c>
      <c r="AB4" s="121" t="s">
        <v>40</v>
      </c>
      <c r="AC4" s="123" t="s">
        <v>41</v>
      </c>
      <c r="AD4" s="104"/>
      <c r="AE4" s="126"/>
      <c r="AF4" s="120" t="s">
        <v>34</v>
      </c>
      <c r="AG4" s="121" t="s">
        <v>35</v>
      </c>
      <c r="AH4" s="121" t="s">
        <v>36</v>
      </c>
      <c r="AI4" s="121" t="s">
        <v>37</v>
      </c>
      <c r="AJ4" s="125" t="s">
        <v>38</v>
      </c>
      <c r="AK4" s="121" t="s">
        <v>39</v>
      </c>
      <c r="AL4" s="121" t="s">
        <v>40</v>
      </c>
      <c r="AM4" s="123" t="s">
        <v>41</v>
      </c>
      <c r="AN4" s="104"/>
      <c r="AO4" s="126"/>
      <c r="AP4" s="120" t="s">
        <v>34</v>
      </c>
      <c r="AQ4" s="121" t="s">
        <v>35</v>
      </c>
      <c r="AR4" s="121" t="s">
        <v>36</v>
      </c>
      <c r="AS4" s="121" t="s">
        <v>37</v>
      </c>
      <c r="AT4" s="125" t="s">
        <v>38</v>
      </c>
      <c r="AU4" s="121" t="s">
        <v>39</v>
      </c>
      <c r="AV4" s="121" t="s">
        <v>40</v>
      </c>
      <c r="AW4" s="123" t="s">
        <v>41</v>
      </c>
      <c r="AX4" s="104"/>
      <c r="AY4" s="126"/>
      <c r="AZ4" s="120" t="s">
        <v>34</v>
      </c>
      <c r="BA4" s="121" t="s">
        <v>35</v>
      </c>
      <c r="BB4" s="121" t="s">
        <v>36</v>
      </c>
      <c r="BC4" s="121" t="s">
        <v>37</v>
      </c>
      <c r="BD4" s="125" t="s">
        <v>38</v>
      </c>
      <c r="BE4" s="121" t="s">
        <v>39</v>
      </c>
      <c r="BF4" s="121" t="s">
        <v>40</v>
      </c>
      <c r="BG4" s="123" t="s">
        <v>41</v>
      </c>
    </row>
    <row r="5" spans="1:59" ht="21.5" thickBot="1" x14ac:dyDescent="0.3">
      <c r="A5" s="132" t="str">
        <f t="array" ref="A5:A18">BSP!A5:A18</f>
        <v>Act 20-21</v>
      </c>
      <c r="B5" s="133"/>
      <c r="C5" s="133"/>
      <c r="D5" s="133"/>
      <c r="E5" s="133"/>
      <c r="F5" s="133"/>
      <c r="G5" s="134" t="str">
        <f t="shared" ref="G5:G19" si="0">IF(C5&gt;0,+D5+C5,"")</f>
        <v/>
      </c>
      <c r="H5" s="134" t="str">
        <f t="shared" ref="H5:H19" si="1">IF(C5&gt;0,+D5/C5,"")</f>
        <v/>
      </c>
      <c r="I5" s="135"/>
      <c r="J5" s="119"/>
      <c r="K5" s="136" t="str">
        <f>A5</f>
        <v>Act 20-21</v>
      </c>
      <c r="L5" s="133">
        <v>61.72</v>
      </c>
      <c r="M5" s="133">
        <v>3.91</v>
      </c>
      <c r="N5" s="133">
        <v>2.66</v>
      </c>
      <c r="O5" s="133">
        <v>12.64</v>
      </c>
      <c r="P5" s="133">
        <v>40.520000000000003</v>
      </c>
      <c r="Q5" s="134">
        <f>IF(M5&gt;0,+N5+M5,"")</f>
        <v>6.57</v>
      </c>
      <c r="R5" s="134">
        <f>IF(M5&gt;0,+N5/M5,"")</f>
        <v>0.68030690537084404</v>
      </c>
      <c r="S5" s="137"/>
      <c r="T5" s="138"/>
      <c r="U5" s="136" t="str">
        <f>A5</f>
        <v>Act 20-21</v>
      </c>
      <c r="V5" s="133">
        <v>62.18</v>
      </c>
      <c r="W5" s="133">
        <v>2.75</v>
      </c>
      <c r="X5" s="133">
        <v>2</v>
      </c>
      <c r="Y5" s="133">
        <v>28.57</v>
      </c>
      <c r="Z5" s="133">
        <v>11.06</v>
      </c>
      <c r="AA5" s="134">
        <f t="shared" ref="AA5:AA19" si="2">IF(W5&gt;0,+X5+W5,"")</f>
        <v>4.75</v>
      </c>
      <c r="AB5" s="134">
        <f t="shared" ref="AB5:AB19" si="3">IF(W5&gt;0,+X5/W5,"")</f>
        <v>0.72727272727272729</v>
      </c>
      <c r="AC5" s="135"/>
      <c r="AD5" s="104"/>
      <c r="AE5" s="136" t="str">
        <f t="shared" ref="AE5:AE19" si="4">K5</f>
        <v>Act 20-21</v>
      </c>
      <c r="AF5" s="139">
        <v>62.18</v>
      </c>
      <c r="AG5" s="134">
        <v>3.21</v>
      </c>
      <c r="AH5" s="134">
        <v>2.54</v>
      </c>
      <c r="AI5" s="134">
        <v>10.07</v>
      </c>
      <c r="AJ5" s="134">
        <v>39.119999999999997</v>
      </c>
      <c r="AK5" s="134">
        <f t="shared" ref="AK5:AK19" si="5">IF(AG5&gt;0,+AH5+AG5,"")</f>
        <v>5.75</v>
      </c>
      <c r="AL5" s="134">
        <f t="shared" ref="AL5:AL19" si="6">IF(AG5&gt;0,+AH5/AG5,"")</f>
        <v>0.79127725856697817</v>
      </c>
      <c r="AM5" s="140"/>
      <c r="AN5" s="104"/>
      <c r="AO5" s="136" t="str">
        <f t="shared" ref="AO5:AO18" si="7">A5</f>
        <v>Act 20-21</v>
      </c>
      <c r="AP5" s="133"/>
      <c r="AQ5" s="133"/>
      <c r="AR5" s="133"/>
      <c r="AS5" s="133"/>
      <c r="AT5" s="133"/>
      <c r="AU5" s="134" t="str">
        <f t="shared" ref="AU5:AU19" si="8">IF(AQ5&gt;0,+AR5+AQ5,"")</f>
        <v/>
      </c>
      <c r="AV5" s="134" t="str">
        <f t="shared" ref="AV5:AV19" si="9">IF(AQ5&gt;0,+AR5/AQ5,"")</f>
        <v/>
      </c>
      <c r="AW5" s="140"/>
      <c r="AX5" s="104"/>
      <c r="AY5" s="136" t="str">
        <f t="shared" ref="AY5:AY19" si="10">K26</f>
        <v>Act 20-21</v>
      </c>
      <c r="AZ5" s="133">
        <v>60.18</v>
      </c>
      <c r="BA5" s="133">
        <v>6.4</v>
      </c>
      <c r="BB5" s="133">
        <v>3.16</v>
      </c>
      <c r="BC5" s="133">
        <v>8.7899999999999991</v>
      </c>
      <c r="BD5" s="133">
        <v>42.17</v>
      </c>
      <c r="BE5" s="134">
        <f t="shared" ref="BE5:BE19" si="11">IF(BA5&gt;0,+BB5+BA5,"")</f>
        <v>9.56</v>
      </c>
      <c r="BF5" s="134">
        <f t="shared" ref="BF5:BF19" si="12">IF(BA5&gt;0,+BB5/BA5,"")</f>
        <v>0.49375000000000002</v>
      </c>
      <c r="BG5" s="140"/>
    </row>
    <row r="6" spans="1:59" s="7" customFormat="1" ht="21" x14ac:dyDescent="0.25">
      <c r="A6" s="145" t="str">
        <v>APP 21-22</v>
      </c>
      <c r="B6" s="146">
        <f t="array" ref="B6:F6">BSP!B6:F6</f>
        <v>62.3</v>
      </c>
      <c r="C6" s="147">
        <v>3.9</v>
      </c>
      <c r="D6" s="147">
        <v>2.2000000000000002</v>
      </c>
      <c r="E6" s="147">
        <v>10</v>
      </c>
      <c r="F6" s="147">
        <v>10</v>
      </c>
      <c r="G6" s="147">
        <f t="shared" si="0"/>
        <v>6.1</v>
      </c>
      <c r="H6" s="148">
        <f t="shared" si="1"/>
        <v>0.56410256410256421</v>
      </c>
      <c r="I6" s="149"/>
      <c r="J6" s="150"/>
      <c r="K6" s="151" t="str">
        <f>A6</f>
        <v>APP 21-22</v>
      </c>
      <c r="L6" s="146">
        <f t="array" ref="L6:R6">BSP!L6:R6</f>
        <v>61.5</v>
      </c>
      <c r="M6" s="147">
        <v>4.8</v>
      </c>
      <c r="N6" s="147">
        <v>3</v>
      </c>
      <c r="O6" s="147">
        <v>7</v>
      </c>
      <c r="P6" s="147">
        <v>40</v>
      </c>
      <c r="Q6" s="147">
        <v>7.8</v>
      </c>
      <c r="R6" s="148">
        <v>0.625</v>
      </c>
      <c r="S6" s="149"/>
      <c r="T6" s="152"/>
      <c r="U6" s="151" t="str">
        <f>A6</f>
        <v>APP 21-22</v>
      </c>
      <c r="V6" s="146">
        <f t="array" ref="V6:Z6">BSP!V6:Z6</f>
        <v>62.5</v>
      </c>
      <c r="W6" s="147">
        <v>3</v>
      </c>
      <c r="X6" s="147">
        <v>2.2000000000000002</v>
      </c>
      <c r="Y6" s="147">
        <v>10</v>
      </c>
      <c r="Z6" s="147">
        <v>10</v>
      </c>
      <c r="AA6" s="147">
        <f t="shared" si="2"/>
        <v>5.2</v>
      </c>
      <c r="AB6" s="148">
        <f t="shared" si="3"/>
        <v>0.73333333333333339</v>
      </c>
      <c r="AC6" s="149"/>
      <c r="AD6" s="153"/>
      <c r="AE6" s="151" t="str">
        <f t="shared" si="4"/>
        <v>APP 21-22</v>
      </c>
      <c r="AF6" s="147">
        <f t="array" ref="AF6:AJ6">BSP!AF6:AJ6</f>
        <v>62.1</v>
      </c>
      <c r="AG6" s="147">
        <v>3.5</v>
      </c>
      <c r="AH6" s="147">
        <v>2.5</v>
      </c>
      <c r="AI6" s="147">
        <v>7</v>
      </c>
      <c r="AJ6" s="147">
        <v>40</v>
      </c>
      <c r="AK6" s="147">
        <f t="shared" si="5"/>
        <v>6</v>
      </c>
      <c r="AL6" s="154">
        <f t="shared" si="6"/>
        <v>0.7142857142857143</v>
      </c>
      <c r="AM6" s="155"/>
      <c r="AN6" s="152"/>
      <c r="AO6" s="151" t="str">
        <f t="shared" si="7"/>
        <v>APP 21-22</v>
      </c>
      <c r="AP6" s="146">
        <f t="array" ref="AP6:AT6">BSP!AP6:AT6</f>
        <v>62</v>
      </c>
      <c r="AQ6" s="147">
        <v>4.2</v>
      </c>
      <c r="AR6" s="147">
        <v>2.4</v>
      </c>
      <c r="AS6" s="147">
        <v>10</v>
      </c>
      <c r="AT6" s="147">
        <v>10</v>
      </c>
      <c r="AU6" s="147">
        <f t="shared" si="8"/>
        <v>6.6</v>
      </c>
      <c r="AV6" s="148">
        <f t="shared" si="9"/>
        <v>0.5714285714285714</v>
      </c>
      <c r="AW6" s="155"/>
      <c r="AX6" s="152"/>
      <c r="AY6" s="156" t="str">
        <f t="shared" si="10"/>
        <v>APP 21-22</v>
      </c>
      <c r="AZ6" s="146">
        <f t="array" ref="AZ6:BD6">BSP!AZ6:BD6</f>
        <v>61</v>
      </c>
      <c r="BA6" s="147">
        <v>5</v>
      </c>
      <c r="BB6" s="147">
        <v>3</v>
      </c>
      <c r="BC6" s="147">
        <v>7</v>
      </c>
      <c r="BD6" s="147">
        <v>40</v>
      </c>
      <c r="BE6" s="147">
        <f t="shared" si="11"/>
        <v>8</v>
      </c>
      <c r="BF6" s="148">
        <f t="shared" si="12"/>
        <v>0.6</v>
      </c>
      <c r="BG6" s="157"/>
    </row>
    <row r="7" spans="1:59" ht="21" x14ac:dyDescent="0.25">
      <c r="A7" s="166">
        <v>44287</v>
      </c>
      <c r="B7" s="167"/>
      <c r="C7" s="168"/>
      <c r="D7" s="168"/>
      <c r="E7" s="168"/>
      <c r="F7" s="168"/>
      <c r="G7" s="168" t="str">
        <f t="shared" si="0"/>
        <v/>
      </c>
      <c r="H7" s="169" t="str">
        <f t="shared" si="1"/>
        <v/>
      </c>
      <c r="I7" s="170">
        <f>IF(D7&gt;0,IFERROR(GETPIVOTDATA("act_qty",RECPT!$A$23,"yymm","202104","unit","KRB","comm","L"),0),)</f>
        <v>0</v>
      </c>
      <c r="J7" s="119"/>
      <c r="K7" s="166">
        <f>A7</f>
        <v>44287</v>
      </c>
      <c r="L7" s="167">
        <v>60.3</v>
      </c>
      <c r="M7" s="168">
        <v>4.5999999999999996</v>
      </c>
      <c r="N7" s="168">
        <v>3.9</v>
      </c>
      <c r="O7" s="168">
        <v>3.65</v>
      </c>
      <c r="P7" s="168">
        <v>48.05</v>
      </c>
      <c r="Q7" s="168">
        <f t="shared" ref="Q7:Q19" si="13">IF(M7&gt;0,+N7+M7,"")</f>
        <v>8.5</v>
      </c>
      <c r="R7" s="169">
        <f t="shared" ref="R7:R19" si="14">IF(M7&gt;0,+N7/M7,"")</f>
        <v>0.84782608695652184</v>
      </c>
      <c r="S7" s="170">
        <f>IF(N7&gt;0,IFERROR(GETPIVOTDATA("act_qty",RECPT!$A$23,"yymm","202104","unit","KRB","comm","F"),0),)</f>
        <v>3775</v>
      </c>
      <c r="T7" s="104"/>
      <c r="U7" s="166">
        <f>A7</f>
        <v>44287</v>
      </c>
      <c r="V7" s="167">
        <v>61.17</v>
      </c>
      <c r="W7" s="168">
        <v>2.46</v>
      </c>
      <c r="X7" s="168">
        <v>3.22</v>
      </c>
      <c r="Y7" s="168">
        <v>28.43</v>
      </c>
      <c r="Z7" s="168">
        <v>14.74</v>
      </c>
      <c r="AA7" s="168">
        <f t="shared" si="2"/>
        <v>5.68</v>
      </c>
      <c r="AB7" s="169">
        <f t="shared" si="3"/>
        <v>1.3089430894308944</v>
      </c>
      <c r="AC7" s="170">
        <f>IF(X7&gt;0,IFERROR(GETPIVOTDATA("act_qty",RECPT!$A$23,"yymm","202104","unit","BOL","comm","L"),0),)</f>
        <v>91896</v>
      </c>
      <c r="AD7" s="171"/>
      <c r="AE7" s="172">
        <f t="shared" si="4"/>
        <v>44287</v>
      </c>
      <c r="AF7" s="167">
        <v>61.07</v>
      </c>
      <c r="AG7" s="168">
        <v>3.87</v>
      </c>
      <c r="AH7" s="168">
        <v>3.49</v>
      </c>
      <c r="AI7" s="168">
        <v>7.64</v>
      </c>
      <c r="AJ7" s="168">
        <v>44.77</v>
      </c>
      <c r="AK7" s="168">
        <f t="shared" si="5"/>
        <v>7.36</v>
      </c>
      <c r="AL7" s="169">
        <f t="shared" si="6"/>
        <v>0.90180878552971577</v>
      </c>
      <c r="AM7" s="170">
        <f>IF(AH7&gt;0,IFERROR(GETPIVOTDATA("act_qty",RECPT!$A$23,"yymm","202104","unit","BOL","comm","F"),0),)</f>
        <v>142321</v>
      </c>
      <c r="AN7" s="104"/>
      <c r="AO7" s="172">
        <f t="shared" si="7"/>
        <v>44287</v>
      </c>
      <c r="AP7" s="167">
        <v>58.45</v>
      </c>
      <c r="AQ7" s="168">
        <v>8.75</v>
      </c>
      <c r="AR7" s="168">
        <v>3.55</v>
      </c>
      <c r="AS7" s="168">
        <v>32.950000000000003</v>
      </c>
      <c r="AT7" s="168">
        <v>14.95</v>
      </c>
      <c r="AU7" s="168">
        <f t="shared" si="8"/>
        <v>12.3</v>
      </c>
      <c r="AV7" s="169">
        <f t="shared" si="9"/>
        <v>0.40571428571428569</v>
      </c>
      <c r="AW7" s="170">
        <f>IF(AR7&gt;0,IFERROR(GETPIVOTDATA("act_qty",RECPT!$A$23,"yymm","202104","unit","MBR","comm","L"),0),)</f>
        <v>3949</v>
      </c>
      <c r="AX7" s="104"/>
      <c r="AY7" s="172">
        <f t="shared" si="10"/>
        <v>44287</v>
      </c>
      <c r="AZ7" s="167"/>
      <c r="BA7" s="168"/>
      <c r="BB7" s="168"/>
      <c r="BC7" s="168"/>
      <c r="BD7" s="168"/>
      <c r="BE7" s="168" t="str">
        <f t="shared" si="11"/>
        <v/>
      </c>
      <c r="BF7" s="169" t="str">
        <f t="shared" si="12"/>
        <v/>
      </c>
      <c r="BG7" s="170">
        <f>IF(BB7&gt;0,IFERROR(GETPIVOTDATA("act_qty",RECPT!$A$23,"yymm","202104","unit","MBR","comm","F"),0),)</f>
        <v>0</v>
      </c>
    </row>
    <row r="8" spans="1:59" ht="21" x14ac:dyDescent="0.25">
      <c r="A8" s="166">
        <v>44317</v>
      </c>
      <c r="B8" s="167">
        <v>62.2</v>
      </c>
      <c r="C8" s="168">
        <v>3.3</v>
      </c>
      <c r="D8" s="168">
        <v>2.2000000000000002</v>
      </c>
      <c r="E8" s="168">
        <v>24.6</v>
      </c>
      <c r="F8" s="168">
        <v>15.9</v>
      </c>
      <c r="G8" s="168">
        <f t="shared" si="0"/>
        <v>5.5</v>
      </c>
      <c r="H8" s="169">
        <f t="shared" si="1"/>
        <v>0.66666666666666674</v>
      </c>
      <c r="I8" s="170">
        <f>IF(D8&gt;0,IFERROR(GETPIVOTDATA("act_qty",RECPT!$A$23,"yymm","202105","unit","KRB","comm","L"),0),)</f>
        <v>4179</v>
      </c>
      <c r="J8" s="119"/>
      <c r="K8" s="166">
        <f t="shared" ref="K8:K18" si="15">A8</f>
        <v>44317</v>
      </c>
      <c r="L8" s="167">
        <v>0</v>
      </c>
      <c r="M8" s="168">
        <v>0</v>
      </c>
      <c r="N8" s="168">
        <v>0</v>
      </c>
      <c r="O8" s="168">
        <v>0</v>
      </c>
      <c r="P8" s="168">
        <v>0</v>
      </c>
      <c r="Q8" s="168" t="str">
        <f t="shared" si="13"/>
        <v/>
      </c>
      <c r="R8" s="169" t="str">
        <f t="shared" si="14"/>
        <v/>
      </c>
      <c r="S8" s="170">
        <f>IF(N8&gt;0,IFERROR(GETPIVOTDATA("act_qty",RECPT!$A$23,"yymm","202105","unit","KRB","comm","F"),0),)</f>
        <v>0</v>
      </c>
      <c r="T8" s="104"/>
      <c r="U8" s="166">
        <f t="shared" ref="U8:U18" si="16">A8</f>
        <v>44317</v>
      </c>
      <c r="V8" s="167">
        <v>62.21</v>
      </c>
      <c r="W8" s="168">
        <v>2.11</v>
      </c>
      <c r="X8" s="168">
        <v>2.2799999999999998</v>
      </c>
      <c r="Y8" s="168">
        <v>25.46</v>
      </c>
      <c r="Z8" s="168">
        <v>14.28</v>
      </c>
      <c r="AA8" s="168">
        <f t="shared" si="2"/>
        <v>4.3899999999999997</v>
      </c>
      <c r="AB8" s="169">
        <f t="shared" si="3"/>
        <v>1.080568720379147</v>
      </c>
      <c r="AC8" s="170">
        <f>IF(X8&gt;0,IFERROR(GETPIVOTDATA("act_qty",RECPT!$A$23,"yymm","202105","unit","BOL","comm","L"),0),)</f>
        <v>112966</v>
      </c>
      <c r="AD8" s="171"/>
      <c r="AE8" s="172">
        <f t="shared" si="4"/>
        <v>44317</v>
      </c>
      <c r="AF8" s="167">
        <v>62.12</v>
      </c>
      <c r="AG8" s="168">
        <v>2.89</v>
      </c>
      <c r="AH8" s="168">
        <v>2.85</v>
      </c>
      <c r="AI8" s="168">
        <v>6.75</v>
      </c>
      <c r="AJ8" s="168">
        <v>42.1</v>
      </c>
      <c r="AK8" s="168">
        <f t="shared" si="5"/>
        <v>5.74</v>
      </c>
      <c r="AL8" s="169">
        <f t="shared" si="6"/>
        <v>0.98615916955017302</v>
      </c>
      <c r="AM8" s="170">
        <f>IF(AH8&gt;0,IFERROR(GETPIVOTDATA("act_qty",RECPT!$A$23,"yymm","202105","unit","BOL","comm","F"),0),)</f>
        <v>156042</v>
      </c>
      <c r="AN8" s="104"/>
      <c r="AO8" s="172">
        <f t="shared" si="7"/>
        <v>44317</v>
      </c>
      <c r="AP8" s="167">
        <v>0</v>
      </c>
      <c r="AQ8" s="168">
        <v>0</v>
      </c>
      <c r="AR8" s="168">
        <v>0</v>
      </c>
      <c r="AS8" s="168">
        <v>0</v>
      </c>
      <c r="AT8" s="168">
        <v>0</v>
      </c>
      <c r="AU8" s="168" t="str">
        <f t="shared" si="8"/>
        <v/>
      </c>
      <c r="AV8" s="169" t="str">
        <f t="shared" si="9"/>
        <v/>
      </c>
      <c r="AW8" s="170">
        <f>IF(AR8&gt;0,IFERROR(GETPIVOTDATA("act_qty",RECPT!$A$23,"yymm","202105","unit","MBR","comm","L"),0),)</f>
        <v>0</v>
      </c>
      <c r="AX8" s="104"/>
      <c r="AY8" s="172">
        <f t="shared" si="10"/>
        <v>44317</v>
      </c>
      <c r="AZ8" s="167"/>
      <c r="BA8" s="168"/>
      <c r="BB8" s="168"/>
      <c r="BC8" s="168"/>
      <c r="BD8" s="168"/>
      <c r="BE8" s="168" t="str">
        <f t="shared" si="11"/>
        <v/>
      </c>
      <c r="BF8" s="169" t="str">
        <f t="shared" si="12"/>
        <v/>
      </c>
      <c r="BG8" s="170">
        <f>IF(BB8&gt;0,IFERROR(GETPIVOTDATA("act_qty",RECPT!$A$23,"yymm","202105","unit","MBR","comm","F"),0),)</f>
        <v>0</v>
      </c>
    </row>
    <row r="9" spans="1:59" ht="21" x14ac:dyDescent="0.25">
      <c r="A9" s="166">
        <v>44348</v>
      </c>
      <c r="B9" s="167">
        <v>0</v>
      </c>
      <c r="C9" s="168">
        <v>0</v>
      </c>
      <c r="D9" s="168">
        <v>0</v>
      </c>
      <c r="E9" s="168">
        <v>0</v>
      </c>
      <c r="F9" s="168">
        <v>0</v>
      </c>
      <c r="G9" s="168" t="str">
        <f t="shared" si="0"/>
        <v/>
      </c>
      <c r="H9" s="169" t="str">
        <f t="shared" si="1"/>
        <v/>
      </c>
      <c r="I9" s="170">
        <f>IF(D9&gt;0,IFERROR(GETPIVOTDATA("act_qty",RECPT!$A$23,"yymm","202106","unit","KRB","comm","L"),0),)</f>
        <v>0</v>
      </c>
      <c r="J9" s="119"/>
      <c r="K9" s="166">
        <f t="shared" si="15"/>
        <v>44348</v>
      </c>
      <c r="L9" s="167">
        <v>0</v>
      </c>
      <c r="M9" s="168">
        <v>0</v>
      </c>
      <c r="N9" s="168">
        <v>0</v>
      </c>
      <c r="O9" s="168">
        <v>0</v>
      </c>
      <c r="P9" s="168">
        <v>0</v>
      </c>
      <c r="Q9" s="168" t="str">
        <f t="shared" si="13"/>
        <v/>
      </c>
      <c r="R9" s="169" t="str">
        <f t="shared" si="14"/>
        <v/>
      </c>
      <c r="S9" s="170">
        <f>IF(N9&gt;0,IFERROR(GETPIVOTDATA("act_qty",RECPT!$A$23,"yymm","202106","unit","KRB","comm","F"),0),)</f>
        <v>0</v>
      </c>
      <c r="T9" s="104"/>
      <c r="U9" s="166">
        <f t="shared" si="16"/>
        <v>44348</v>
      </c>
      <c r="V9" s="167">
        <v>61.26</v>
      </c>
      <c r="W9" s="168">
        <v>3.99</v>
      </c>
      <c r="X9" s="168">
        <v>2.3199999999999998</v>
      </c>
      <c r="Y9" s="168">
        <v>26.22</v>
      </c>
      <c r="Z9" s="168">
        <v>14.85</v>
      </c>
      <c r="AA9" s="168">
        <f t="shared" si="2"/>
        <v>6.3100000000000005</v>
      </c>
      <c r="AB9" s="169">
        <f t="shared" si="3"/>
        <v>0.581453634085213</v>
      </c>
      <c r="AC9" s="170">
        <f>IF(X9&gt;0,IFERROR(GETPIVOTDATA("act_qty",RECPT!$A$23,"yymm","202106","unit","BOL","comm","L"),0),)</f>
        <v>122533</v>
      </c>
      <c r="AD9" s="171"/>
      <c r="AE9" s="172">
        <f t="shared" si="4"/>
        <v>44348</v>
      </c>
      <c r="AF9" s="167">
        <v>62.18</v>
      </c>
      <c r="AG9" s="168">
        <v>3.3</v>
      </c>
      <c r="AH9" s="168">
        <v>2.4300000000000002</v>
      </c>
      <c r="AI9" s="168">
        <v>8.5500000000000007</v>
      </c>
      <c r="AJ9" s="168">
        <v>39.54</v>
      </c>
      <c r="AK9" s="168">
        <f t="shared" si="5"/>
        <v>5.73</v>
      </c>
      <c r="AL9" s="169">
        <f t="shared" si="6"/>
        <v>0.73636363636363644</v>
      </c>
      <c r="AM9" s="170">
        <f>IF(AH9&gt;0,IFERROR(GETPIVOTDATA("act_qty",RECPT!$A$23,"yymm","202106","unit","BOL","comm","F"),0),)</f>
        <v>143730</v>
      </c>
      <c r="AN9" s="104"/>
      <c r="AO9" s="172">
        <f t="shared" si="7"/>
        <v>44348</v>
      </c>
      <c r="AP9" s="167">
        <v>0</v>
      </c>
      <c r="AQ9" s="168">
        <v>0</v>
      </c>
      <c r="AR9" s="168">
        <v>0</v>
      </c>
      <c r="AS9" s="168">
        <v>0</v>
      </c>
      <c r="AT9" s="168">
        <v>0</v>
      </c>
      <c r="AU9" s="168" t="str">
        <f t="shared" si="8"/>
        <v/>
      </c>
      <c r="AV9" s="169" t="str">
        <f t="shared" si="9"/>
        <v/>
      </c>
      <c r="AW9" s="170">
        <f>IF(AR9&gt;0,IFERROR(GETPIVOTDATA("act_qty",RECPT!$A$23,"yymm","202106","unit","MBR","comm","L"),0),)</f>
        <v>0</v>
      </c>
      <c r="AX9" s="104"/>
      <c r="AY9" s="172">
        <f t="shared" si="10"/>
        <v>44348</v>
      </c>
      <c r="AZ9" s="167"/>
      <c r="BA9" s="168"/>
      <c r="BB9" s="168"/>
      <c r="BC9" s="168"/>
      <c r="BD9" s="168"/>
      <c r="BE9" s="168" t="str">
        <f t="shared" si="11"/>
        <v/>
      </c>
      <c r="BF9" s="169" t="str">
        <f t="shared" si="12"/>
        <v/>
      </c>
      <c r="BG9" s="170">
        <f>IF(BB9&gt;0,IFERROR(GETPIVOTDATA("act_qty",RECPT!$A$23,"yymm","202106","unit","MBR","comm","F"),0),)</f>
        <v>0</v>
      </c>
    </row>
    <row r="10" spans="1:59" ht="21" x14ac:dyDescent="0.25">
      <c r="A10" s="166">
        <v>44378</v>
      </c>
      <c r="B10" s="167">
        <v>0</v>
      </c>
      <c r="C10" s="168">
        <v>0</v>
      </c>
      <c r="D10" s="168">
        <v>0</v>
      </c>
      <c r="E10" s="168">
        <v>0</v>
      </c>
      <c r="F10" s="168">
        <v>0</v>
      </c>
      <c r="G10" s="168" t="str">
        <f t="shared" si="0"/>
        <v/>
      </c>
      <c r="H10" s="169" t="str">
        <f t="shared" si="1"/>
        <v/>
      </c>
      <c r="I10" s="170">
        <f>IF(D10&gt;0,IFERROR(GETPIVOTDATA("act_qty",RECPT!$A$23,"yymm","202107","unit","KRB","comm","L"),0),)</f>
        <v>0</v>
      </c>
      <c r="J10" s="119"/>
      <c r="K10" s="166">
        <f t="shared" si="15"/>
        <v>44378</v>
      </c>
      <c r="L10" s="167">
        <v>0</v>
      </c>
      <c r="M10" s="168">
        <v>0</v>
      </c>
      <c r="N10" s="168">
        <v>0</v>
      </c>
      <c r="O10" s="168">
        <v>0</v>
      </c>
      <c r="P10" s="168">
        <v>0</v>
      </c>
      <c r="Q10" s="168" t="str">
        <f t="shared" si="13"/>
        <v/>
      </c>
      <c r="R10" s="169" t="str">
        <f t="shared" si="14"/>
        <v/>
      </c>
      <c r="S10" s="170">
        <f>IF(N10&gt;0,IFERROR(GETPIVOTDATA("act_qty",RECPT!$A$23,"yymm","202107","unit","KRB","comm","F"),0),)</f>
        <v>0</v>
      </c>
      <c r="T10" s="104"/>
      <c r="U10" s="166">
        <f t="shared" si="16"/>
        <v>44378</v>
      </c>
      <c r="V10" s="167">
        <v>62.31</v>
      </c>
      <c r="W10" s="168">
        <v>2.81</v>
      </c>
      <c r="X10" s="168">
        <v>2.0499999999999998</v>
      </c>
      <c r="Y10" s="168">
        <v>15.94</v>
      </c>
      <c r="Z10" s="168">
        <v>15.46</v>
      </c>
      <c r="AA10" s="168">
        <f t="shared" si="2"/>
        <v>4.8599999999999994</v>
      </c>
      <c r="AB10" s="169">
        <f t="shared" si="3"/>
        <v>0.72953736654804258</v>
      </c>
      <c r="AC10" s="170">
        <f>IF(X10&gt;0,IFERROR(GETPIVOTDATA("act_qty",RECPT!$A$23,"yymm","202107","unit","BOL","comm","L"),0),)</f>
        <v>148430</v>
      </c>
      <c r="AD10" s="171"/>
      <c r="AE10" s="172">
        <f t="shared" si="4"/>
        <v>44378</v>
      </c>
      <c r="AF10" s="167">
        <v>62.07</v>
      </c>
      <c r="AG10" s="168">
        <v>3.41</v>
      </c>
      <c r="AH10" s="168">
        <v>2.57</v>
      </c>
      <c r="AI10" s="168">
        <v>9.08</v>
      </c>
      <c r="AJ10" s="168">
        <v>22.53</v>
      </c>
      <c r="AK10" s="168">
        <f t="shared" si="5"/>
        <v>5.98</v>
      </c>
      <c r="AL10" s="169">
        <f t="shared" si="6"/>
        <v>0.75366568914956</v>
      </c>
      <c r="AM10" s="170">
        <f>IF(AH10&gt;0,IFERROR(GETPIVOTDATA("act_qty",RECPT!$A$23,"yymm","202107","unit","BOL","comm","F"),0),)</f>
        <v>168284</v>
      </c>
      <c r="AN10" s="104"/>
      <c r="AO10" s="172">
        <f t="shared" si="7"/>
        <v>44378</v>
      </c>
      <c r="AP10" s="167">
        <v>0</v>
      </c>
      <c r="AQ10" s="168">
        <v>0</v>
      </c>
      <c r="AR10" s="168">
        <v>0</v>
      </c>
      <c r="AS10" s="168">
        <v>0</v>
      </c>
      <c r="AT10" s="168">
        <v>0</v>
      </c>
      <c r="AU10" s="168" t="str">
        <f t="shared" si="8"/>
        <v/>
      </c>
      <c r="AV10" s="169" t="str">
        <f t="shared" si="9"/>
        <v/>
      </c>
      <c r="AW10" s="170">
        <f>IF(AR10&gt;0,IFERROR(GETPIVOTDATA("act_qty",RECPT!$A$23,"yymm","202107","unit","MBR","comm","L"),0),)</f>
        <v>0</v>
      </c>
      <c r="AX10" s="104"/>
      <c r="AY10" s="172">
        <f t="shared" si="10"/>
        <v>44378</v>
      </c>
      <c r="AZ10" s="167"/>
      <c r="BA10" s="168"/>
      <c r="BB10" s="168"/>
      <c r="BC10" s="168"/>
      <c r="BD10" s="168"/>
      <c r="BE10" s="168" t="str">
        <f t="shared" si="11"/>
        <v/>
      </c>
      <c r="BF10" s="169" t="str">
        <f t="shared" si="12"/>
        <v/>
      </c>
      <c r="BG10" s="170">
        <f>IF(BB10&gt;0,IFERROR(GETPIVOTDATA("act_qty",RECPT!$A$23,"yymm","202107","unit","MBR","comm","F"),0),)</f>
        <v>0</v>
      </c>
    </row>
    <row r="11" spans="1:59" ht="21" x14ac:dyDescent="0.25">
      <c r="A11" s="166">
        <v>44409</v>
      </c>
      <c r="B11" s="167">
        <v>0</v>
      </c>
      <c r="C11" s="168">
        <v>0</v>
      </c>
      <c r="D11" s="168">
        <v>0</v>
      </c>
      <c r="E11" s="168">
        <v>0</v>
      </c>
      <c r="F11" s="168">
        <v>0</v>
      </c>
      <c r="G11" s="168" t="str">
        <f t="shared" si="0"/>
        <v/>
      </c>
      <c r="H11" s="169" t="str">
        <f t="shared" si="1"/>
        <v/>
      </c>
      <c r="I11" s="170">
        <f>IF(D11&gt;0,IFERROR(GETPIVOTDATA("act_qty",RECPT!$A$23,"yymm","202108","unit","KRB","comm","L"),0),)</f>
        <v>0</v>
      </c>
      <c r="J11" s="119"/>
      <c r="K11" s="166">
        <f t="shared" si="15"/>
        <v>44409</v>
      </c>
      <c r="L11" s="167">
        <v>0</v>
      </c>
      <c r="M11" s="168">
        <v>0</v>
      </c>
      <c r="N11" s="168">
        <v>0</v>
      </c>
      <c r="O11" s="168">
        <v>0</v>
      </c>
      <c r="P11" s="168">
        <v>0</v>
      </c>
      <c r="Q11" s="168" t="str">
        <f t="shared" si="13"/>
        <v/>
      </c>
      <c r="R11" s="169" t="str">
        <f t="shared" si="14"/>
        <v/>
      </c>
      <c r="S11" s="170">
        <f>IF(N11&gt;0,IFERROR(GETPIVOTDATA("act_qty",RECPT!$A$23,"yymm","202108","unit","KRB","comm","F"),0),)</f>
        <v>0</v>
      </c>
      <c r="T11" s="104"/>
      <c r="U11" s="166">
        <f t="shared" si="16"/>
        <v>44409</v>
      </c>
      <c r="V11" s="167">
        <v>61.6</v>
      </c>
      <c r="W11" s="168">
        <v>3.94</v>
      </c>
      <c r="X11" s="168">
        <v>1.72</v>
      </c>
      <c r="Y11" s="168">
        <v>14.15</v>
      </c>
      <c r="Z11" s="168">
        <v>21.84</v>
      </c>
      <c r="AA11" s="168">
        <f t="shared" si="2"/>
        <v>5.66</v>
      </c>
      <c r="AB11" s="169">
        <f t="shared" si="3"/>
        <v>0.43654822335025378</v>
      </c>
      <c r="AC11" s="170">
        <f>IF(X11&gt;0,IFERROR(GETPIVOTDATA("act_qty",RECPT!$A$23,"yymm","202108","unit","BOL","comm","L"),0),)</f>
        <v>158547</v>
      </c>
      <c r="AD11" s="171"/>
      <c r="AE11" s="172">
        <f t="shared" si="4"/>
        <v>44409</v>
      </c>
      <c r="AF11" s="167">
        <v>61.9</v>
      </c>
      <c r="AG11" s="168">
        <v>3.94</v>
      </c>
      <c r="AH11" s="168">
        <v>2.2999999999999998</v>
      </c>
      <c r="AI11" s="168">
        <v>9.17</v>
      </c>
      <c r="AJ11" s="168">
        <v>37.74</v>
      </c>
      <c r="AK11" s="168">
        <f t="shared" si="5"/>
        <v>6.24</v>
      </c>
      <c r="AL11" s="169">
        <f t="shared" si="6"/>
        <v>0.58375634517766495</v>
      </c>
      <c r="AM11" s="170">
        <f>IF(AH11&gt;0,IFERROR(GETPIVOTDATA("act_qty",RECPT!$A$23,"yymm","202108","unit","BOL","comm","F"),0),)</f>
        <v>157836</v>
      </c>
      <c r="AN11" s="104"/>
      <c r="AO11" s="172">
        <f t="shared" si="7"/>
        <v>44409</v>
      </c>
      <c r="AP11" s="167">
        <v>0</v>
      </c>
      <c r="AQ11" s="168">
        <v>0</v>
      </c>
      <c r="AR11" s="168">
        <v>0</v>
      </c>
      <c r="AS11" s="168">
        <v>0</v>
      </c>
      <c r="AT11" s="168">
        <v>0</v>
      </c>
      <c r="AU11" s="168" t="str">
        <f t="shared" si="8"/>
        <v/>
      </c>
      <c r="AV11" s="169" t="str">
        <f t="shared" si="9"/>
        <v/>
      </c>
      <c r="AW11" s="170">
        <f>IF(AR11&gt;0,IFERROR(GETPIVOTDATA("act_qty",RECPT!$A$23,"yymm","202108","unit","MBR","comm","L"),0),)</f>
        <v>0</v>
      </c>
      <c r="AX11" s="104"/>
      <c r="AY11" s="172">
        <f t="shared" si="10"/>
        <v>44409</v>
      </c>
      <c r="AZ11" s="167"/>
      <c r="BA11" s="168"/>
      <c r="BB11" s="168"/>
      <c r="BC11" s="168"/>
      <c r="BD11" s="168"/>
      <c r="BE11" s="168" t="str">
        <f t="shared" si="11"/>
        <v/>
      </c>
      <c r="BF11" s="169" t="str">
        <f t="shared" si="12"/>
        <v/>
      </c>
      <c r="BG11" s="170">
        <f>IF(BB11&gt;0,IFERROR(GETPIVOTDATA("act_qty",RECPT!$A$23,"yymm","202108","unit","MBR","comm","F"),0),)</f>
        <v>0</v>
      </c>
    </row>
    <row r="12" spans="1:59" ht="21" x14ac:dyDescent="0.25">
      <c r="A12" s="166">
        <v>44440</v>
      </c>
      <c r="B12" s="167">
        <v>0</v>
      </c>
      <c r="C12" s="168">
        <v>0</v>
      </c>
      <c r="D12" s="168">
        <v>0</v>
      </c>
      <c r="E12" s="168">
        <v>0</v>
      </c>
      <c r="F12" s="168">
        <v>0</v>
      </c>
      <c r="G12" s="168" t="str">
        <f t="shared" si="0"/>
        <v/>
      </c>
      <c r="H12" s="169" t="str">
        <f t="shared" si="1"/>
        <v/>
      </c>
      <c r="I12" s="170">
        <f>IF(D12&gt;0,IFERROR(GETPIVOTDATA("act_qty",RECPT!$A$23,"yymm","202109","unit","KRB","comm","L"),0),)</f>
        <v>0</v>
      </c>
      <c r="J12" s="119"/>
      <c r="K12" s="166">
        <f t="shared" si="15"/>
        <v>44440</v>
      </c>
      <c r="L12" s="167">
        <v>0</v>
      </c>
      <c r="M12" s="168">
        <v>0</v>
      </c>
      <c r="N12" s="168">
        <v>0</v>
      </c>
      <c r="O12" s="168">
        <v>0</v>
      </c>
      <c r="P12" s="168">
        <v>0</v>
      </c>
      <c r="Q12" s="168" t="str">
        <f t="shared" si="13"/>
        <v/>
      </c>
      <c r="R12" s="169" t="str">
        <f t="shared" si="14"/>
        <v/>
      </c>
      <c r="S12" s="170">
        <f>IF(N12&gt;0,IFERROR(GETPIVOTDATA("act_qty",RECPT!$A$23,"yymm","202109","unit","KRB","comm","F"),0),)</f>
        <v>0</v>
      </c>
      <c r="T12" s="104"/>
      <c r="U12" s="166">
        <f t="shared" si="16"/>
        <v>44440</v>
      </c>
      <c r="V12" s="167">
        <v>61.21</v>
      </c>
      <c r="W12" s="168">
        <v>4.38</v>
      </c>
      <c r="X12" s="168">
        <v>1.65</v>
      </c>
      <c r="Y12" s="168">
        <v>29.71</v>
      </c>
      <c r="Z12" s="168">
        <v>13.38</v>
      </c>
      <c r="AA12" s="168">
        <f t="shared" si="2"/>
        <v>6.0299999999999994</v>
      </c>
      <c r="AB12" s="169">
        <f t="shared" si="3"/>
        <v>0.37671232876712329</v>
      </c>
      <c r="AC12" s="170">
        <f>IF(X12&gt;0,IFERROR(GETPIVOTDATA("act_qty",RECPT!$A$23,"yymm","202109","unit","BOL","comm","L"),0),)</f>
        <v>114139</v>
      </c>
      <c r="AD12" s="171"/>
      <c r="AE12" s="172">
        <f t="shared" si="4"/>
        <v>44440</v>
      </c>
      <c r="AF12" s="167">
        <v>61.34</v>
      </c>
      <c r="AG12" s="168">
        <v>4.6399999999999997</v>
      </c>
      <c r="AH12" s="168">
        <v>2.11</v>
      </c>
      <c r="AI12" s="168">
        <v>12.12</v>
      </c>
      <c r="AJ12" s="168">
        <v>33.97</v>
      </c>
      <c r="AK12" s="168">
        <f t="shared" si="5"/>
        <v>6.75</v>
      </c>
      <c r="AL12" s="169">
        <f t="shared" si="6"/>
        <v>0.45474137931034481</v>
      </c>
      <c r="AM12" s="170">
        <f>IF(AH12&gt;0,IFERROR(GETPIVOTDATA("act_qty",RECPT!$A$23,"yymm","202109","unit","BOL","comm","F"),0),)</f>
        <v>150748</v>
      </c>
      <c r="AN12" s="104"/>
      <c r="AO12" s="172">
        <f t="shared" si="7"/>
        <v>44440</v>
      </c>
      <c r="AP12" s="167">
        <v>0</v>
      </c>
      <c r="AQ12" s="168">
        <v>0</v>
      </c>
      <c r="AR12" s="168">
        <v>0</v>
      </c>
      <c r="AS12" s="168">
        <v>0</v>
      </c>
      <c r="AT12" s="168">
        <v>0</v>
      </c>
      <c r="AU12" s="168" t="str">
        <f t="shared" si="8"/>
        <v/>
      </c>
      <c r="AV12" s="169" t="str">
        <f t="shared" si="9"/>
        <v/>
      </c>
      <c r="AW12" s="170">
        <f>IF(AR12&gt;0,IFERROR(GETPIVOTDATA("act_qty",RECPT!$A$23,"yymm","202109","unit","MBR","comm","L"),0),)</f>
        <v>0</v>
      </c>
      <c r="AX12" s="104"/>
      <c r="AY12" s="172">
        <f t="shared" si="10"/>
        <v>44440</v>
      </c>
      <c r="AZ12" s="167">
        <v>59.22</v>
      </c>
      <c r="BA12" s="168">
        <v>7.9</v>
      </c>
      <c r="BB12" s="168">
        <v>1.78</v>
      </c>
      <c r="BC12" s="168">
        <v>8.82</v>
      </c>
      <c r="BD12" s="168">
        <v>38.26</v>
      </c>
      <c r="BE12" s="168">
        <f t="shared" si="11"/>
        <v>9.68</v>
      </c>
      <c r="BF12" s="169">
        <f t="shared" si="12"/>
        <v>0.22531645569620251</v>
      </c>
      <c r="BG12" s="170">
        <f>IF(BB12&gt;0,IFERROR(GETPIVOTDATA("act_qty",RECPT!$A$23,"yymm","202109","unit","MBR","comm","F"),0),)</f>
        <v>18739</v>
      </c>
    </row>
    <row r="13" spans="1:59" ht="21" x14ac:dyDescent="0.25">
      <c r="A13" s="166">
        <v>44470</v>
      </c>
      <c r="B13" s="167">
        <v>0</v>
      </c>
      <c r="C13" s="168">
        <v>0</v>
      </c>
      <c r="D13" s="168">
        <v>0</v>
      </c>
      <c r="E13" s="168">
        <v>0</v>
      </c>
      <c r="F13" s="168">
        <v>0</v>
      </c>
      <c r="G13" s="168" t="str">
        <f t="shared" si="0"/>
        <v/>
      </c>
      <c r="H13" s="169" t="str">
        <f t="shared" si="1"/>
        <v/>
      </c>
      <c r="I13" s="170">
        <f>IF(D13&gt;0,IFERROR(GETPIVOTDATA("act_qty",RECPT!$A$23,"yymm","202110","unit","KRB","comm","L"),0),)</f>
        <v>0</v>
      </c>
      <c r="J13" s="119"/>
      <c r="K13" s="166">
        <f t="shared" si="15"/>
        <v>44470</v>
      </c>
      <c r="L13" s="167">
        <v>0</v>
      </c>
      <c r="M13" s="168">
        <v>0</v>
      </c>
      <c r="N13" s="168">
        <v>0</v>
      </c>
      <c r="O13" s="168">
        <v>0</v>
      </c>
      <c r="P13" s="168">
        <v>0</v>
      </c>
      <c r="Q13" s="168" t="str">
        <f t="shared" si="13"/>
        <v/>
      </c>
      <c r="R13" s="169" t="str">
        <f t="shared" si="14"/>
        <v/>
      </c>
      <c r="S13" s="170">
        <f>IF(N13&gt;0,IFERROR(GETPIVOTDATA("act_qty",RECPT!$A$23,"yymm","202110","unit","KRB","comm","F"),0),)</f>
        <v>0</v>
      </c>
      <c r="T13" s="104"/>
      <c r="U13" s="166">
        <f t="shared" si="16"/>
        <v>44470</v>
      </c>
      <c r="V13" s="167">
        <v>61.25</v>
      </c>
      <c r="W13" s="168">
        <v>4.7</v>
      </c>
      <c r="X13" s="168">
        <v>2.02</v>
      </c>
      <c r="Y13" s="168">
        <v>34.46</v>
      </c>
      <c r="Z13" s="168">
        <v>12.31</v>
      </c>
      <c r="AA13" s="168">
        <f t="shared" si="2"/>
        <v>6.7200000000000006</v>
      </c>
      <c r="AB13" s="169">
        <f t="shared" si="3"/>
        <v>0.4297872340425532</v>
      </c>
      <c r="AC13" s="170">
        <f>IF(X13&gt;0,IFERROR(GETPIVOTDATA("act_qty",RECPT!$A$23,"yymm","202110","unit","BOL","comm","L"),0),)</f>
        <v>117834.09</v>
      </c>
      <c r="AD13" s="119"/>
      <c r="AE13" s="172">
        <f t="shared" si="4"/>
        <v>44470</v>
      </c>
      <c r="AF13" s="167">
        <v>61.82</v>
      </c>
      <c r="AG13" s="168">
        <v>4.78</v>
      </c>
      <c r="AH13" s="168">
        <v>2.1</v>
      </c>
      <c r="AI13" s="168">
        <v>12.38</v>
      </c>
      <c r="AJ13" s="168">
        <v>37.42</v>
      </c>
      <c r="AK13" s="168">
        <f t="shared" si="5"/>
        <v>6.8800000000000008</v>
      </c>
      <c r="AL13" s="169">
        <f t="shared" si="6"/>
        <v>0.43933054393305437</v>
      </c>
      <c r="AM13" s="170">
        <f>IF(AH13&gt;0,IFERROR(GETPIVOTDATA("act_qty",RECPT!$A$23,"yymm","202110","unit","BOL","comm","F"),0),)</f>
        <v>189212.65</v>
      </c>
      <c r="AN13" s="104"/>
      <c r="AO13" s="172">
        <f t="shared" si="7"/>
        <v>44470</v>
      </c>
      <c r="AP13" s="167">
        <v>0</v>
      </c>
      <c r="AQ13" s="168">
        <v>0</v>
      </c>
      <c r="AR13" s="168">
        <v>0</v>
      </c>
      <c r="AS13" s="168">
        <v>0</v>
      </c>
      <c r="AT13" s="168">
        <v>0</v>
      </c>
      <c r="AU13" s="168" t="str">
        <f t="shared" si="8"/>
        <v/>
      </c>
      <c r="AV13" s="169" t="str">
        <f t="shared" si="9"/>
        <v/>
      </c>
      <c r="AW13" s="170">
        <f>IF(AR13&gt;0,IFERROR(GETPIVOTDATA("act_qty",RECPT!$A$23,"yymm","202110","unit","MBR","comm","L"),0),)</f>
        <v>0</v>
      </c>
      <c r="AX13" s="104"/>
      <c r="AY13" s="172">
        <f t="shared" si="10"/>
        <v>44470</v>
      </c>
      <c r="AZ13" s="167">
        <v>59.7</v>
      </c>
      <c r="BA13" s="168">
        <v>6.77</v>
      </c>
      <c r="BB13" s="168">
        <v>2.17</v>
      </c>
      <c r="BC13" s="168">
        <v>12.11</v>
      </c>
      <c r="BD13" s="168">
        <v>33.159999999999997</v>
      </c>
      <c r="BE13" s="168">
        <f t="shared" si="11"/>
        <v>8.94</v>
      </c>
      <c r="BF13" s="169">
        <f t="shared" si="12"/>
        <v>0.32053175775480058</v>
      </c>
      <c r="BG13" s="170">
        <f>IF(BB13&gt;0,IFERROR(GETPIVOTDATA("act_qty",RECPT!$A$23,"yymm","202110","unit","MBR","comm","F"),0),)</f>
        <v>20855.400000000001</v>
      </c>
    </row>
    <row r="14" spans="1:59" ht="21" x14ac:dyDescent="0.25">
      <c r="A14" s="166">
        <v>44501</v>
      </c>
      <c r="B14" s="167">
        <v>0</v>
      </c>
      <c r="C14" s="168">
        <v>0</v>
      </c>
      <c r="D14" s="168">
        <v>0</v>
      </c>
      <c r="E14" s="168">
        <v>0</v>
      </c>
      <c r="F14" s="168">
        <v>0</v>
      </c>
      <c r="G14" s="168" t="str">
        <f t="shared" si="0"/>
        <v/>
      </c>
      <c r="H14" s="169" t="str">
        <f t="shared" si="1"/>
        <v/>
      </c>
      <c r="I14" s="170">
        <f>IF(D14&gt;0,IFERROR(GETPIVOTDATA("act_qty",RECPT!$A$23,"yymm","202111","unit","KRB","comm","L"),0),)</f>
        <v>0</v>
      </c>
      <c r="J14" s="119"/>
      <c r="K14" s="166">
        <f t="shared" si="15"/>
        <v>44501</v>
      </c>
      <c r="L14" s="167">
        <v>0</v>
      </c>
      <c r="M14" s="168">
        <v>0</v>
      </c>
      <c r="N14" s="168">
        <v>0</v>
      </c>
      <c r="O14" s="168">
        <v>0</v>
      </c>
      <c r="P14" s="168">
        <v>0</v>
      </c>
      <c r="Q14" s="168" t="str">
        <f t="shared" si="13"/>
        <v/>
      </c>
      <c r="R14" s="169" t="str">
        <f t="shared" si="14"/>
        <v/>
      </c>
      <c r="S14" s="170">
        <f>IF(N14&gt;0,IFERROR(GETPIVOTDATA("act_qty",RECPT!$A$23,"yymm","202111","unit","KRB","comm","F"),0),)</f>
        <v>0</v>
      </c>
      <c r="T14" s="104"/>
      <c r="U14" s="166">
        <f t="shared" si="16"/>
        <v>44501</v>
      </c>
      <c r="V14" s="167">
        <v>61.66</v>
      </c>
      <c r="W14" s="168">
        <v>3.78</v>
      </c>
      <c r="X14" s="168">
        <v>2.14</v>
      </c>
      <c r="Y14" s="168">
        <v>32.93</v>
      </c>
      <c r="Z14" s="168">
        <v>16.16</v>
      </c>
      <c r="AA14" s="168">
        <f t="shared" si="2"/>
        <v>5.92</v>
      </c>
      <c r="AB14" s="169">
        <f t="shared" si="3"/>
        <v>0.56613756613756616</v>
      </c>
      <c r="AC14" s="170">
        <f>IF(X14&gt;0,IFERROR(GETPIVOTDATA("act_qty",RECPT!$A$23,"yymm","202111","unit","BOL","comm","L"),0),)</f>
        <v>124635.44</v>
      </c>
      <c r="AD14" s="119"/>
      <c r="AE14" s="172">
        <f t="shared" si="4"/>
        <v>44501</v>
      </c>
      <c r="AF14" s="167">
        <v>62.11</v>
      </c>
      <c r="AG14" s="168">
        <v>3.99</v>
      </c>
      <c r="AH14" s="168">
        <v>2.2000000000000002</v>
      </c>
      <c r="AI14" s="168">
        <v>12.89</v>
      </c>
      <c r="AJ14" s="168">
        <v>35.799999999999997</v>
      </c>
      <c r="AK14" s="168">
        <f t="shared" si="5"/>
        <v>6.19</v>
      </c>
      <c r="AL14" s="169">
        <f t="shared" si="6"/>
        <v>0.55137844611528819</v>
      </c>
      <c r="AM14" s="170">
        <f>IF(AH14&gt;0,IFERROR(GETPIVOTDATA("act_qty",RECPT!$A$23,"yymm","202111","unit","BOL","comm","F"),0),)</f>
        <v>161700.70000000001</v>
      </c>
      <c r="AN14" s="104"/>
      <c r="AO14" s="172">
        <f t="shared" si="7"/>
        <v>44501</v>
      </c>
      <c r="AP14" s="167">
        <v>57.03</v>
      </c>
      <c r="AQ14" s="168">
        <v>11.08</v>
      </c>
      <c r="AR14" s="168">
        <v>1.45</v>
      </c>
      <c r="AS14" s="168">
        <v>23.48</v>
      </c>
      <c r="AT14" s="168">
        <v>15.18</v>
      </c>
      <c r="AU14" s="168">
        <f t="shared" si="8"/>
        <v>12.53</v>
      </c>
      <c r="AV14" s="169">
        <f t="shared" si="9"/>
        <v>0.13086642599277978</v>
      </c>
      <c r="AW14" s="170">
        <f>IF(AR14&gt;0,IFERROR(GETPIVOTDATA("act_qty",RECPT!$A$23,"yymm","202111","unit","MBR","comm","L"),0),)</f>
        <v>6862.8</v>
      </c>
      <c r="AX14" s="104"/>
      <c r="AY14" s="172">
        <f t="shared" si="10"/>
        <v>44501</v>
      </c>
      <c r="AZ14" s="167">
        <v>59</v>
      </c>
      <c r="BA14" s="168">
        <v>10.35</v>
      </c>
      <c r="BB14" s="168">
        <v>1.45</v>
      </c>
      <c r="BC14" s="168">
        <v>11.3</v>
      </c>
      <c r="BD14" s="168">
        <v>36.450000000000003</v>
      </c>
      <c r="BE14" s="168">
        <f t="shared" si="11"/>
        <v>11.799999999999999</v>
      </c>
      <c r="BF14" s="169">
        <f t="shared" si="12"/>
        <v>0.14009661835748793</v>
      </c>
      <c r="BG14" s="170">
        <f>IF(BB14&gt;0,IFERROR(GETPIVOTDATA("act_qty",RECPT!$A$23,"yymm","202111","unit","MBR","comm","F"),0),)</f>
        <v>3358</v>
      </c>
    </row>
    <row r="15" spans="1:59" ht="21" x14ac:dyDescent="0.25">
      <c r="A15" s="166">
        <v>44531</v>
      </c>
      <c r="B15" s="167">
        <v>0</v>
      </c>
      <c r="C15" s="168">
        <v>0</v>
      </c>
      <c r="D15" s="168">
        <v>0</v>
      </c>
      <c r="E15" s="168">
        <v>0</v>
      </c>
      <c r="F15" s="168">
        <v>0</v>
      </c>
      <c r="G15" s="168" t="str">
        <f t="shared" si="0"/>
        <v/>
      </c>
      <c r="H15" s="169" t="str">
        <f t="shared" si="1"/>
        <v/>
      </c>
      <c r="I15" s="170">
        <f>IF(D15&gt;0,IFERROR(GETPIVOTDATA("act_qty",RECPT!$A$23,"yymm","202112","unit","KRB","comm","L"),0),)</f>
        <v>0</v>
      </c>
      <c r="J15" s="119"/>
      <c r="K15" s="166">
        <f t="shared" si="15"/>
        <v>44531</v>
      </c>
      <c r="L15" s="167">
        <v>0</v>
      </c>
      <c r="M15" s="168">
        <v>0</v>
      </c>
      <c r="N15" s="168">
        <v>0</v>
      </c>
      <c r="O15" s="168">
        <v>0</v>
      </c>
      <c r="P15" s="168">
        <v>0</v>
      </c>
      <c r="Q15" s="168" t="str">
        <f t="shared" si="13"/>
        <v/>
      </c>
      <c r="R15" s="169" t="str">
        <f t="shared" si="14"/>
        <v/>
      </c>
      <c r="S15" s="170">
        <f>IF(N15&gt;0,IFERROR(GETPIVOTDATA("act_qty",RECPT!$A$23,"yymm","202112","unit","KRB","comm","F"),0),)</f>
        <v>0</v>
      </c>
      <c r="T15" s="104"/>
      <c r="U15" s="166">
        <f t="shared" si="16"/>
        <v>44531</v>
      </c>
      <c r="V15" s="167">
        <v>61.43</v>
      </c>
      <c r="W15" s="168">
        <v>3.77</v>
      </c>
      <c r="X15" s="168">
        <v>2.16</v>
      </c>
      <c r="Y15" s="168">
        <v>36.56</v>
      </c>
      <c r="Z15" s="168">
        <v>16.16</v>
      </c>
      <c r="AA15" s="168">
        <f t="shared" si="2"/>
        <v>5.93</v>
      </c>
      <c r="AB15" s="169">
        <f t="shared" si="3"/>
        <v>0.57294429708222816</v>
      </c>
      <c r="AC15" s="170">
        <f>IF(X15&gt;0,IFERROR(GETPIVOTDATA("act_qty",RECPT!$A$23,"yymm","202112","unit","BOL","comm","L"),0),)</f>
        <v>136491.94</v>
      </c>
      <c r="AD15" s="119"/>
      <c r="AE15" s="172">
        <f t="shared" si="4"/>
        <v>44531</v>
      </c>
      <c r="AF15" s="167">
        <v>61.09</v>
      </c>
      <c r="AG15" s="168">
        <v>4.62</v>
      </c>
      <c r="AH15" s="168">
        <v>2.8</v>
      </c>
      <c r="AI15" s="168">
        <v>12.09</v>
      </c>
      <c r="AJ15" s="168">
        <v>35.799999999999997</v>
      </c>
      <c r="AK15" s="168">
        <f t="shared" si="5"/>
        <v>7.42</v>
      </c>
      <c r="AL15" s="169">
        <f t="shared" si="6"/>
        <v>0.60606060606060597</v>
      </c>
      <c r="AM15" s="170">
        <f>IF(AH15&gt;0,IFERROR(GETPIVOTDATA("act_qty",RECPT!$A$23,"yymm","202112","unit","BOL","comm","F"),0),)</f>
        <v>228900.3</v>
      </c>
      <c r="AN15" s="104"/>
      <c r="AO15" s="172">
        <f t="shared" si="7"/>
        <v>44531</v>
      </c>
      <c r="AP15" s="167">
        <v>0</v>
      </c>
      <c r="AQ15" s="168">
        <v>0</v>
      </c>
      <c r="AR15" s="168">
        <v>0</v>
      </c>
      <c r="AS15" s="168">
        <v>0</v>
      </c>
      <c r="AT15" s="168"/>
      <c r="AU15" s="168" t="str">
        <f t="shared" si="8"/>
        <v/>
      </c>
      <c r="AV15" s="169" t="str">
        <f t="shared" si="9"/>
        <v/>
      </c>
      <c r="AW15" s="170">
        <f>IF(AR15&gt;0,IFERROR(GETPIVOTDATA("act_qty",RECPT!$A$23,"yymm","202112","unit","MBR","comm","L"),0),)</f>
        <v>0</v>
      </c>
      <c r="AX15" s="104"/>
      <c r="AY15" s="172">
        <f t="shared" si="10"/>
        <v>44531</v>
      </c>
      <c r="AZ15" s="167">
        <v>59.6</v>
      </c>
      <c r="BA15" s="168">
        <v>8.9</v>
      </c>
      <c r="BB15" s="168">
        <v>2.5</v>
      </c>
      <c r="BC15" s="168">
        <v>24.5</v>
      </c>
      <c r="BD15" s="168">
        <v>36.450000000000003</v>
      </c>
      <c r="BE15" s="168">
        <f t="shared" si="11"/>
        <v>11.4</v>
      </c>
      <c r="BF15" s="169">
        <f t="shared" si="12"/>
        <v>0.28089887640449435</v>
      </c>
      <c r="BG15" s="170">
        <f>IF(BB15&gt;0,IFERROR(GETPIVOTDATA("act_qty",RECPT!$A$23,"yymm","202112","unit","MBR","comm","F"),0),)</f>
        <v>3550.6</v>
      </c>
    </row>
    <row r="16" spans="1:59" ht="21" x14ac:dyDescent="0.25">
      <c r="A16" s="166">
        <v>44562</v>
      </c>
      <c r="B16" s="167">
        <v>0</v>
      </c>
      <c r="C16" s="168">
        <v>0</v>
      </c>
      <c r="D16" s="168">
        <v>0</v>
      </c>
      <c r="E16" s="168">
        <v>0</v>
      </c>
      <c r="F16" s="168">
        <v>0</v>
      </c>
      <c r="G16" s="168" t="str">
        <f t="shared" si="0"/>
        <v/>
      </c>
      <c r="H16" s="169" t="str">
        <f t="shared" si="1"/>
        <v/>
      </c>
      <c r="I16" s="170">
        <f>IF(D16&gt;0,IFERROR(GETPIVOTDATA("act_qty",RECPT!$A$23,"yymm","202201","unit","KRB","comm","L"),0),)</f>
        <v>0</v>
      </c>
      <c r="J16" s="119"/>
      <c r="K16" s="166">
        <f t="shared" si="15"/>
        <v>44562</v>
      </c>
      <c r="L16" s="167">
        <v>0</v>
      </c>
      <c r="M16" s="168">
        <v>0</v>
      </c>
      <c r="N16" s="168">
        <v>0</v>
      </c>
      <c r="O16" s="168">
        <v>0</v>
      </c>
      <c r="P16" s="168">
        <v>0</v>
      </c>
      <c r="Q16" s="168" t="str">
        <f t="shared" si="13"/>
        <v/>
      </c>
      <c r="R16" s="169" t="str">
        <f t="shared" si="14"/>
        <v/>
      </c>
      <c r="S16" s="170">
        <f>IF(N16&gt;0,IFERROR(GETPIVOTDATA("act_qty",RECPT!$A$23,"yymm","202201","unit","KRB","comm","F"),0),)</f>
        <v>0</v>
      </c>
      <c r="T16" s="104"/>
      <c r="U16" s="166">
        <f t="shared" si="16"/>
        <v>44562</v>
      </c>
      <c r="V16" s="167">
        <v>61.7</v>
      </c>
      <c r="W16" s="168">
        <v>3.57</v>
      </c>
      <c r="X16" s="168">
        <v>2.15</v>
      </c>
      <c r="Y16" s="168">
        <v>29.5</v>
      </c>
      <c r="Z16" s="168">
        <v>16.670000000000002</v>
      </c>
      <c r="AA16" s="168">
        <f t="shared" si="2"/>
        <v>5.72</v>
      </c>
      <c r="AB16" s="169">
        <f t="shared" si="3"/>
        <v>0.60224089635854339</v>
      </c>
      <c r="AC16" s="170">
        <f>IF(X16&gt;0,IFERROR(GETPIVOTDATA("act_qty",RECPT!$A$23,"yymm","202201","unit","BOL","comm","L"),0),)</f>
        <v>134306.87</v>
      </c>
      <c r="AD16" s="119"/>
      <c r="AE16" s="172">
        <f t="shared" si="4"/>
        <v>44562</v>
      </c>
      <c r="AF16" s="167">
        <v>61.93</v>
      </c>
      <c r="AG16" s="168">
        <v>3.91</v>
      </c>
      <c r="AH16" s="168">
        <v>2.62</v>
      </c>
      <c r="AI16" s="168">
        <v>9.06</v>
      </c>
      <c r="AJ16" s="168">
        <v>40.799999999999997</v>
      </c>
      <c r="AK16" s="168">
        <f t="shared" si="5"/>
        <v>6.53</v>
      </c>
      <c r="AL16" s="169">
        <f t="shared" si="6"/>
        <v>0.67007672634271098</v>
      </c>
      <c r="AM16" s="170">
        <f>IF(AH16&gt;0,IFERROR(GETPIVOTDATA("act_qty",RECPT!$A$23,"yymm","202201","unit","BOL","comm","F"),0),)</f>
        <v>237278.1</v>
      </c>
      <c r="AN16" s="104"/>
      <c r="AO16" s="172">
        <f t="shared" si="7"/>
        <v>44562</v>
      </c>
      <c r="AP16" s="167">
        <v>0</v>
      </c>
      <c r="AQ16" s="168">
        <v>0</v>
      </c>
      <c r="AR16" s="168">
        <v>0</v>
      </c>
      <c r="AS16" s="168">
        <v>0</v>
      </c>
      <c r="AT16" s="168">
        <v>0</v>
      </c>
      <c r="AU16" s="168" t="str">
        <f t="shared" si="8"/>
        <v/>
      </c>
      <c r="AV16" s="169" t="str">
        <f t="shared" si="9"/>
        <v/>
      </c>
      <c r="AW16" s="170">
        <f>IF(AR16&gt;0,IFERROR(GETPIVOTDATA("act_qty",RECPT!$A$23,"yymm","202201","unit","MBR","comm","L"),0),)</f>
        <v>0</v>
      </c>
      <c r="AX16" s="104"/>
      <c r="AY16" s="172">
        <f t="shared" si="10"/>
        <v>44562</v>
      </c>
      <c r="AZ16" s="167">
        <v>0</v>
      </c>
      <c r="BA16" s="168">
        <v>0</v>
      </c>
      <c r="BB16" s="168">
        <v>0</v>
      </c>
      <c r="BC16" s="168">
        <v>0</v>
      </c>
      <c r="BD16" s="168">
        <v>0</v>
      </c>
      <c r="BE16" s="168" t="str">
        <f t="shared" si="11"/>
        <v/>
      </c>
      <c r="BF16" s="169" t="str">
        <f t="shared" si="12"/>
        <v/>
      </c>
      <c r="BG16" s="170">
        <f>IF(BB16&gt;0,IFERROR(GETPIVOTDATA("act_qty",RECPT!$A$23,"yymm","202201","unit","MBR","comm","F"),0),)</f>
        <v>0</v>
      </c>
    </row>
    <row r="17" spans="1:59" ht="21" x14ac:dyDescent="0.25">
      <c r="A17" s="166">
        <v>44593</v>
      </c>
      <c r="B17" s="167">
        <v>0</v>
      </c>
      <c r="C17" s="168">
        <v>0</v>
      </c>
      <c r="D17" s="168">
        <v>0</v>
      </c>
      <c r="E17" s="168">
        <v>0</v>
      </c>
      <c r="F17" s="168">
        <v>0</v>
      </c>
      <c r="G17" s="168" t="str">
        <f t="shared" si="0"/>
        <v/>
      </c>
      <c r="H17" s="169" t="str">
        <f t="shared" si="1"/>
        <v/>
      </c>
      <c r="I17" s="170">
        <f>IF(D17&gt;0,IFERROR(GETPIVOTDATA("act_qty",RECPT!$A$23,"yymm","202202","unit","KRB","comm","L"),0),)</f>
        <v>0</v>
      </c>
      <c r="J17" s="119"/>
      <c r="K17" s="166">
        <f t="shared" si="15"/>
        <v>44593</v>
      </c>
      <c r="L17" s="167">
        <v>0</v>
      </c>
      <c r="M17" s="168">
        <v>0</v>
      </c>
      <c r="N17" s="168">
        <v>0</v>
      </c>
      <c r="O17" s="168">
        <v>0</v>
      </c>
      <c r="P17" s="168">
        <v>0</v>
      </c>
      <c r="Q17" s="168" t="str">
        <f t="shared" si="13"/>
        <v/>
      </c>
      <c r="R17" s="169" t="str">
        <f t="shared" si="14"/>
        <v/>
      </c>
      <c r="S17" s="170">
        <f>IF(N17&gt;0,IFERROR(GETPIVOTDATA("act_qty",RECPT!$A$23,"yymm","202202","unit","KRB","comm","F"),0),)</f>
        <v>0</v>
      </c>
      <c r="T17" s="104"/>
      <c r="U17" s="166">
        <f t="shared" si="16"/>
        <v>44593</v>
      </c>
      <c r="V17" s="167">
        <v>61.76</v>
      </c>
      <c r="W17" s="168">
        <v>3.66</v>
      </c>
      <c r="X17" s="168">
        <v>2.0699999999999998</v>
      </c>
      <c r="Y17" s="168">
        <v>23.33</v>
      </c>
      <c r="Z17" s="168">
        <v>21.49</v>
      </c>
      <c r="AA17" s="168">
        <f t="shared" si="2"/>
        <v>5.73</v>
      </c>
      <c r="AB17" s="169">
        <f t="shared" si="3"/>
        <v>0.56557377049180324</v>
      </c>
      <c r="AC17" s="170">
        <f>IF(X17&gt;0,IFERROR(GETPIVOTDATA("act_qty",RECPT!$A$23,"yymm","202202","unit","BOL","comm","L"),0),)</f>
        <v>112575.1</v>
      </c>
      <c r="AD17" s="119"/>
      <c r="AE17" s="172">
        <f t="shared" si="4"/>
        <v>44593</v>
      </c>
      <c r="AF17" s="167">
        <v>61.82</v>
      </c>
      <c r="AG17" s="168">
        <v>4.0999999999999996</v>
      </c>
      <c r="AH17" s="168">
        <v>2.67</v>
      </c>
      <c r="AI17" s="168">
        <v>9.01</v>
      </c>
      <c r="AJ17" s="168">
        <v>40.44</v>
      </c>
      <c r="AK17" s="168">
        <f t="shared" si="5"/>
        <v>6.77</v>
      </c>
      <c r="AL17" s="169">
        <f t="shared" si="6"/>
        <v>0.65121951219512197</v>
      </c>
      <c r="AM17" s="170">
        <f>IF(AH17&gt;0,IFERROR(GETPIVOTDATA("act_qty",RECPT!$A$23,"yymm","202202","unit","BOL","comm","F"),0),)</f>
        <v>216193.9</v>
      </c>
      <c r="AN17" s="104"/>
      <c r="AO17" s="172">
        <f t="shared" si="7"/>
        <v>44593</v>
      </c>
      <c r="AP17" s="167">
        <v>0</v>
      </c>
      <c r="AQ17" s="168">
        <v>0</v>
      </c>
      <c r="AR17" s="168">
        <v>0</v>
      </c>
      <c r="AS17" s="168">
        <v>0</v>
      </c>
      <c r="AT17" s="168">
        <v>0</v>
      </c>
      <c r="AU17" s="168" t="str">
        <f t="shared" si="8"/>
        <v/>
      </c>
      <c r="AV17" s="169" t="str">
        <f t="shared" si="9"/>
        <v/>
      </c>
      <c r="AW17" s="170">
        <f>IF(AR17&gt;0,IFERROR(GETPIVOTDATA("act_qty",RECPT!$A$23,"yymm","202202","unit","MBR","comm","L"),0),)</f>
        <v>0</v>
      </c>
      <c r="AX17" s="104"/>
      <c r="AY17" s="172">
        <f t="shared" si="10"/>
        <v>44593</v>
      </c>
      <c r="AZ17" s="167">
        <v>0</v>
      </c>
      <c r="BA17" s="168">
        <v>0</v>
      </c>
      <c r="BB17" s="168">
        <v>0</v>
      </c>
      <c r="BC17" s="168">
        <v>0</v>
      </c>
      <c r="BD17" s="168">
        <v>0</v>
      </c>
      <c r="BE17" s="168" t="str">
        <f t="shared" si="11"/>
        <v/>
      </c>
      <c r="BF17" s="169" t="str">
        <f t="shared" si="12"/>
        <v/>
      </c>
      <c r="BG17" s="170">
        <f>IF(BB17&gt;0,IFERROR(GETPIVOTDATA("act_qty",RECPT!$A$23,"yymm","202202","unit","MBR","comm","F"),0),)</f>
        <v>0</v>
      </c>
    </row>
    <row r="18" spans="1:59" ht="21.5" thickBot="1" x14ac:dyDescent="0.3">
      <c r="A18" s="166">
        <v>44621</v>
      </c>
      <c r="B18" s="183">
        <v>0</v>
      </c>
      <c r="C18" s="184">
        <v>0</v>
      </c>
      <c r="D18" s="184">
        <v>0</v>
      </c>
      <c r="E18" s="168">
        <v>0</v>
      </c>
      <c r="F18" s="168">
        <v>0</v>
      </c>
      <c r="G18" s="168" t="str">
        <f t="shared" si="0"/>
        <v/>
      </c>
      <c r="H18" s="169" t="str">
        <f t="shared" si="1"/>
        <v/>
      </c>
      <c r="I18" s="170">
        <f>IF(D18&gt;0,IFERROR(GETPIVOTDATA("act_qty",RECPT!$A$23,"yymm","202203","unit","KRB","comm","L"),0),)</f>
        <v>0</v>
      </c>
      <c r="J18" s="119"/>
      <c r="K18" s="166">
        <f t="shared" si="15"/>
        <v>44621</v>
      </c>
      <c r="L18" s="183">
        <v>0</v>
      </c>
      <c r="M18" s="184">
        <v>0</v>
      </c>
      <c r="N18" s="184">
        <v>0</v>
      </c>
      <c r="O18" s="168">
        <v>0</v>
      </c>
      <c r="P18" s="168">
        <v>0</v>
      </c>
      <c r="Q18" s="168" t="str">
        <f t="shared" si="13"/>
        <v/>
      </c>
      <c r="R18" s="169" t="str">
        <f t="shared" si="14"/>
        <v/>
      </c>
      <c r="S18" s="170">
        <f>IF(N18&gt;0,IFERROR(GETPIVOTDATA("act_qty",RECPT!$A$23,"yymm","202203","unit","KRB","comm","F"),0),)</f>
        <v>0</v>
      </c>
      <c r="T18" s="104"/>
      <c r="U18" s="166">
        <f t="shared" si="16"/>
        <v>44621</v>
      </c>
      <c r="V18" s="183">
        <v>61.69</v>
      </c>
      <c r="W18" s="184">
        <v>3.69</v>
      </c>
      <c r="X18" s="184">
        <v>1.9</v>
      </c>
      <c r="Y18" s="168">
        <v>13.64</v>
      </c>
      <c r="Z18" s="168">
        <v>18.309999999999999</v>
      </c>
      <c r="AA18" s="168">
        <f t="shared" si="2"/>
        <v>5.59</v>
      </c>
      <c r="AB18" s="169">
        <f t="shared" si="3"/>
        <v>0.51490514905149054</v>
      </c>
      <c r="AC18" s="170">
        <f>IF(X18&gt;0,IFERROR(GETPIVOTDATA("act_qty",RECPT!$A$23,"yymm","202203","unit","BOL","comm","L"),0),)</f>
        <v>139136.76999999999</v>
      </c>
      <c r="AD18" s="119"/>
      <c r="AE18" s="185">
        <f t="shared" si="4"/>
        <v>44621</v>
      </c>
      <c r="AF18" s="183">
        <v>61.96</v>
      </c>
      <c r="AG18" s="184">
        <v>4.01</v>
      </c>
      <c r="AH18" s="184">
        <v>2.34</v>
      </c>
      <c r="AI18" s="168">
        <v>7.06</v>
      </c>
      <c r="AJ18" s="168">
        <v>43.81</v>
      </c>
      <c r="AK18" s="168">
        <f t="shared" si="5"/>
        <v>6.35</v>
      </c>
      <c r="AL18" s="169">
        <f t="shared" si="6"/>
        <v>0.58354114713216954</v>
      </c>
      <c r="AM18" s="170">
        <f>IF(AH18&gt;0,IFERROR(GETPIVOTDATA("act_qty",RECPT!$A$23,"yymm","202203","unit","BOL","comm","F"),0),)</f>
        <v>210179.94</v>
      </c>
      <c r="AN18" s="104"/>
      <c r="AO18" s="172">
        <f t="shared" si="7"/>
        <v>44621</v>
      </c>
      <c r="AP18" s="183">
        <v>0</v>
      </c>
      <c r="AQ18" s="184">
        <v>0</v>
      </c>
      <c r="AR18" s="184">
        <v>0</v>
      </c>
      <c r="AS18" s="168">
        <v>0</v>
      </c>
      <c r="AT18" s="168">
        <v>0</v>
      </c>
      <c r="AU18" s="168" t="str">
        <f t="shared" si="8"/>
        <v/>
      </c>
      <c r="AV18" s="169" t="str">
        <f t="shared" si="9"/>
        <v/>
      </c>
      <c r="AW18" s="170">
        <f>IF(AR18&gt;0,IFERROR(GETPIVOTDATA("act_qty",RECPT!$A$23,"yymm","202203","unit","MBR","comm","L"),0),)</f>
        <v>0</v>
      </c>
      <c r="AX18" s="104"/>
      <c r="AY18" s="172">
        <f t="shared" si="10"/>
        <v>44621</v>
      </c>
      <c r="AZ18" s="183">
        <v>0</v>
      </c>
      <c r="BA18" s="184">
        <v>0</v>
      </c>
      <c r="BB18" s="184">
        <v>0</v>
      </c>
      <c r="BC18" s="168">
        <v>0</v>
      </c>
      <c r="BD18" s="168">
        <v>0</v>
      </c>
      <c r="BE18" s="168" t="str">
        <f t="shared" si="11"/>
        <v/>
      </c>
      <c r="BF18" s="169" t="str">
        <f t="shared" si="12"/>
        <v/>
      </c>
      <c r="BG18" s="170">
        <f>IF(BB18&gt;0,IFERROR(GETPIVOTDATA("act_qty",RECPT!$A$23,"yymm","202203","unit","MBR","comm","F"),0),)</f>
        <v>0</v>
      </c>
    </row>
    <row r="19" spans="1:59" ht="21.5" thickBot="1" x14ac:dyDescent="0.3">
      <c r="A19" s="191" t="s">
        <v>42</v>
      </c>
      <c r="B19" s="192">
        <v>62.2</v>
      </c>
      <c r="C19" s="192">
        <v>3.3</v>
      </c>
      <c r="D19" s="192">
        <v>2.2000000000000002</v>
      </c>
      <c r="E19" s="192">
        <v>24.6</v>
      </c>
      <c r="F19" s="192">
        <v>15.9</v>
      </c>
      <c r="G19" s="193">
        <f t="shared" si="0"/>
        <v>5.5</v>
      </c>
      <c r="H19" s="194">
        <f t="shared" si="1"/>
        <v>0.66666666666666674</v>
      </c>
      <c r="I19" s="195">
        <f>SUM(I7:I18)</f>
        <v>4179</v>
      </c>
      <c r="J19" s="119"/>
      <c r="K19" s="191" t="s">
        <v>42</v>
      </c>
      <c r="L19" s="192">
        <v>60.3</v>
      </c>
      <c r="M19" s="192">
        <v>4.5999999999999996</v>
      </c>
      <c r="N19" s="192">
        <v>3.9</v>
      </c>
      <c r="O19" s="192">
        <v>3.65</v>
      </c>
      <c r="P19" s="192">
        <v>48.05</v>
      </c>
      <c r="Q19" s="193">
        <f t="shared" si="13"/>
        <v>8.5</v>
      </c>
      <c r="R19" s="194">
        <f t="shared" si="14"/>
        <v>0.84782608695652184</v>
      </c>
      <c r="S19" s="195">
        <f>SUM(S7:S18)</f>
        <v>3775</v>
      </c>
      <c r="T19" s="104"/>
      <c r="U19" s="191" t="s">
        <v>42</v>
      </c>
      <c r="V19" s="192">
        <v>61.62</v>
      </c>
      <c r="W19" s="192">
        <v>3.6</v>
      </c>
      <c r="X19" s="192">
        <v>2.11</v>
      </c>
      <c r="Y19" s="192">
        <v>25.49</v>
      </c>
      <c r="Z19" s="192">
        <v>16.14</v>
      </c>
      <c r="AA19" s="193">
        <f t="shared" si="2"/>
        <v>5.71</v>
      </c>
      <c r="AB19" s="194">
        <f t="shared" si="3"/>
        <v>0.58611111111111103</v>
      </c>
      <c r="AC19" s="195">
        <f>SUM(AC7:AC18)</f>
        <v>1513491.21</v>
      </c>
      <c r="AD19" s="171"/>
      <c r="AE19" s="196" t="str">
        <f t="shared" si="4"/>
        <v>CUMML</v>
      </c>
      <c r="AF19" s="192">
        <v>61.78</v>
      </c>
      <c r="AG19" s="192">
        <v>3.99</v>
      </c>
      <c r="AH19" s="192">
        <v>2.54</v>
      </c>
      <c r="AI19" s="192">
        <v>9.69</v>
      </c>
      <c r="AJ19" s="192">
        <v>38.11</v>
      </c>
      <c r="AK19" s="193">
        <f t="shared" si="5"/>
        <v>6.53</v>
      </c>
      <c r="AL19" s="194">
        <f t="shared" si="6"/>
        <v>0.63659147869674182</v>
      </c>
      <c r="AM19" s="195">
        <f>SUM(AM7:AM18)</f>
        <v>2162426.59</v>
      </c>
      <c r="AN19" s="104"/>
      <c r="AO19" s="197" t="s">
        <v>42</v>
      </c>
      <c r="AP19" s="192">
        <v>57.54</v>
      </c>
      <c r="AQ19" s="192">
        <v>10.24</v>
      </c>
      <c r="AR19" s="192">
        <v>2.21</v>
      </c>
      <c r="AS19" s="192">
        <v>26.89</v>
      </c>
      <c r="AT19" s="192">
        <v>15.09</v>
      </c>
      <c r="AU19" s="193">
        <f t="shared" si="8"/>
        <v>12.45</v>
      </c>
      <c r="AV19" s="194">
        <f t="shared" si="9"/>
        <v>0.2158203125</v>
      </c>
      <c r="AW19" s="195">
        <f>SUM(AW7:AW18)</f>
        <v>10811.8</v>
      </c>
      <c r="AX19" s="104"/>
      <c r="AY19" s="197" t="str">
        <f t="shared" si="10"/>
        <v>CUMML</v>
      </c>
      <c r="AZ19" s="192">
        <v>59.65</v>
      </c>
      <c r="BA19" s="192">
        <v>7.12</v>
      </c>
      <c r="BB19" s="192">
        <v>2.4500000000000002</v>
      </c>
      <c r="BC19" s="192">
        <v>10.26</v>
      </c>
      <c r="BD19" s="192">
        <v>35.14</v>
      </c>
      <c r="BE19" s="193">
        <f t="shared" si="11"/>
        <v>9.57</v>
      </c>
      <c r="BF19" s="194">
        <f t="shared" si="12"/>
        <v>0.34410112359550565</v>
      </c>
      <c r="BG19" s="195">
        <f>SUM(BG7:BG18)</f>
        <v>46503</v>
      </c>
    </row>
    <row r="20" spans="1:59" s="7" customFormat="1" ht="20.5" customHeight="1" x14ac:dyDescent="0.25">
      <c r="A20" s="205"/>
      <c r="B20" s="205" t="e">
        <f>B14*1.4298+G14</f>
        <v>#VALUE!</v>
      </c>
      <c r="C20" s="205"/>
      <c r="D20" s="205"/>
      <c r="E20" s="205"/>
      <c r="F20" s="205"/>
      <c r="G20" s="205"/>
      <c r="H20" s="205"/>
      <c r="I20" s="205"/>
      <c r="J20" s="205"/>
      <c r="K20" s="205"/>
      <c r="L20" s="205" t="e">
        <f>L14*1.4298+Q14</f>
        <v>#VALUE!</v>
      </c>
      <c r="M20" s="205"/>
      <c r="N20" s="205"/>
      <c r="O20" s="205"/>
      <c r="P20" s="205"/>
      <c r="Q20" s="205"/>
      <c r="R20" s="205"/>
      <c r="S20" s="205"/>
      <c r="T20" s="152"/>
      <c r="U20" s="104"/>
      <c r="V20" s="205">
        <f>V14*1.4298+AA14</f>
        <v>94.081468000000001</v>
      </c>
      <c r="W20" s="104"/>
      <c r="X20" s="104"/>
      <c r="Y20" s="104"/>
      <c r="Z20" s="104"/>
      <c r="AA20" s="104"/>
      <c r="AB20" s="119"/>
      <c r="AC20" s="119"/>
      <c r="AD20" s="104"/>
      <c r="AE20" s="104"/>
      <c r="AF20" s="205">
        <f>AF14*1.4298+AK14</f>
        <v>94.994878</v>
      </c>
      <c r="AG20" s="104"/>
      <c r="AH20" s="104"/>
      <c r="AI20" s="104"/>
      <c r="AJ20" s="104"/>
      <c r="AK20" s="104"/>
      <c r="AL20" s="104"/>
      <c r="AM20" s="104"/>
      <c r="AN20" s="205"/>
      <c r="AO20" s="205"/>
      <c r="AP20" s="205">
        <f>AP14*1.4298+AU14</f>
        <v>94.071494000000001</v>
      </c>
      <c r="AQ20" s="205"/>
      <c r="AR20" s="205"/>
      <c r="AS20" s="205"/>
      <c r="AT20" s="205"/>
      <c r="AU20" s="205"/>
      <c r="AV20" s="205"/>
      <c r="AW20" s="205"/>
      <c r="AX20" s="205"/>
      <c r="AY20" s="205"/>
      <c r="AZ20" s="205">
        <f>AZ14*1.4298+BE14</f>
        <v>96.158199999999994</v>
      </c>
      <c r="BA20" s="205"/>
      <c r="BB20" s="205"/>
      <c r="BC20" s="205"/>
      <c r="BD20" s="205"/>
      <c r="BE20" s="205"/>
      <c r="BF20" s="205"/>
      <c r="BG20" s="205"/>
    </row>
    <row r="21" spans="1:59" s="12" customFormat="1" ht="20.5" customHeight="1" x14ac:dyDescent="0.25">
      <c r="A21" s="211"/>
      <c r="B21" s="212">
        <f>B19*1.4298+G19</f>
        <v>94.43356</v>
      </c>
      <c r="C21" s="212"/>
      <c r="D21" s="212"/>
      <c r="E21" s="212"/>
      <c r="F21" s="212"/>
      <c r="G21" s="212"/>
      <c r="H21" s="212"/>
      <c r="I21" s="283"/>
      <c r="J21" s="212"/>
      <c r="K21" s="211"/>
      <c r="L21" s="212">
        <f>L19*1.4298+Q19</f>
        <v>94.716939999999994</v>
      </c>
      <c r="M21" s="212"/>
      <c r="N21" s="212"/>
      <c r="O21" s="212"/>
      <c r="P21" s="212"/>
      <c r="Q21" s="212"/>
      <c r="R21" s="212"/>
      <c r="S21" s="283"/>
      <c r="T21" s="213"/>
      <c r="U21" s="213"/>
      <c r="V21" s="212">
        <f>V19*1.4298+AA19</f>
        <v>93.814275999999992</v>
      </c>
      <c r="W21" s="212"/>
      <c r="X21" s="212"/>
      <c r="Y21" s="212"/>
      <c r="Z21" s="212"/>
      <c r="AA21" s="212"/>
      <c r="AB21" s="212"/>
      <c r="AC21" s="283"/>
      <c r="AD21" s="213"/>
      <c r="AE21" s="213"/>
      <c r="AF21" s="212">
        <f>AF19*1.4298+AK19</f>
        <v>94.863044000000002</v>
      </c>
      <c r="AG21" s="212"/>
      <c r="AH21" s="212"/>
      <c r="AI21" s="212"/>
      <c r="AJ21" s="212"/>
      <c r="AK21" s="212"/>
      <c r="AL21" s="212"/>
      <c r="AM21" s="213"/>
      <c r="AN21" s="212"/>
      <c r="AO21" s="212"/>
      <c r="AP21" s="212">
        <f>AP19*1.4298+AU19</f>
        <v>94.720692</v>
      </c>
      <c r="AQ21" s="212"/>
      <c r="AR21" s="212"/>
      <c r="AS21" s="212"/>
      <c r="AT21" s="212"/>
      <c r="AU21" s="212"/>
      <c r="AV21" s="212"/>
      <c r="AW21" s="212"/>
      <c r="AX21" s="212"/>
      <c r="AY21" s="212"/>
      <c r="AZ21" s="212">
        <f>AZ19*1.4298+BE19</f>
        <v>94.85757000000001</v>
      </c>
      <c r="BA21" s="212"/>
      <c r="BB21" s="212"/>
      <c r="BC21" s="212"/>
      <c r="BD21" s="212"/>
      <c r="BE21" s="212"/>
      <c r="BF21" s="212"/>
      <c r="BG21" s="212"/>
    </row>
    <row r="22" spans="1:59" s="12" customFormat="1" ht="23" customHeight="1" x14ac:dyDescent="0.25">
      <c r="A22" s="221"/>
      <c r="B22" s="205"/>
      <c r="C22" s="205"/>
      <c r="D22" s="205"/>
      <c r="E22" s="205"/>
      <c r="F22" s="205"/>
      <c r="G22" s="205"/>
      <c r="H22" s="205"/>
      <c r="I22" s="222"/>
      <c r="J22" s="212"/>
      <c r="K22" s="221"/>
      <c r="L22" s="205"/>
      <c r="M22" s="205"/>
      <c r="N22" s="205"/>
      <c r="O22" s="205"/>
      <c r="P22" s="205"/>
      <c r="Q22" s="205"/>
      <c r="R22" s="205"/>
      <c r="S22" s="222"/>
      <c r="T22" s="213"/>
      <c r="U22" s="223"/>
      <c r="V22" s="224"/>
      <c r="W22" s="224"/>
      <c r="X22" s="224"/>
      <c r="Y22" s="224"/>
      <c r="Z22" s="224"/>
      <c r="AA22" s="224"/>
      <c r="AB22" s="224"/>
      <c r="AC22" s="224"/>
      <c r="AD22" s="213"/>
      <c r="AE22" s="223"/>
      <c r="AF22" s="224"/>
      <c r="AG22" s="224"/>
      <c r="AH22" s="224"/>
      <c r="AI22" s="224"/>
      <c r="AJ22" s="224"/>
      <c r="AK22" s="224"/>
      <c r="AL22" s="224"/>
      <c r="AM22" s="224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3"/>
      <c r="AZ22" s="224"/>
      <c r="BA22" s="224"/>
      <c r="BB22" s="224"/>
      <c r="BC22" s="224"/>
      <c r="BD22" s="224"/>
      <c r="BE22" s="224"/>
      <c r="BF22" s="224"/>
      <c r="BG22" s="213"/>
    </row>
    <row r="23" spans="1:59" ht="28.5" x14ac:dyDescent="0.6">
      <c r="A23" s="586" t="s">
        <v>43</v>
      </c>
      <c r="B23" s="586"/>
      <c r="C23" s="586"/>
      <c r="D23" s="585" t="s">
        <v>30</v>
      </c>
      <c r="E23" s="585"/>
      <c r="F23" s="585"/>
      <c r="G23" s="110"/>
      <c r="H23" s="110"/>
      <c r="I23" s="110"/>
      <c r="J23" s="219"/>
      <c r="K23" s="586" t="s">
        <v>43</v>
      </c>
      <c r="L23" s="586"/>
      <c r="M23" s="586"/>
      <c r="N23" s="585" t="s">
        <v>31</v>
      </c>
      <c r="O23" s="585"/>
      <c r="P23" s="585"/>
      <c r="Q23" s="228"/>
      <c r="R23" s="228"/>
      <c r="S23" s="228"/>
      <c r="T23" s="111"/>
      <c r="U23" s="586" t="s">
        <v>44</v>
      </c>
      <c r="V23" s="586"/>
      <c r="W23" s="586"/>
      <c r="X23" s="585" t="s">
        <v>30</v>
      </c>
      <c r="Y23" s="585"/>
      <c r="Z23" s="585"/>
      <c r="AA23" s="110"/>
      <c r="AB23" s="110"/>
      <c r="AC23" s="110"/>
      <c r="AD23" s="111"/>
      <c r="AE23" s="586" t="s">
        <v>44</v>
      </c>
      <c r="AF23" s="586"/>
      <c r="AG23" s="586"/>
      <c r="AH23" s="585" t="s">
        <v>31</v>
      </c>
      <c r="AI23" s="585"/>
      <c r="AJ23" s="585"/>
      <c r="AK23" s="110"/>
      <c r="AL23" s="110"/>
      <c r="AM23" s="110"/>
      <c r="AN23" s="111"/>
      <c r="AO23" s="586" t="s">
        <v>45</v>
      </c>
      <c r="AP23" s="586"/>
      <c r="AQ23" s="586"/>
      <c r="AR23" s="585" t="s">
        <v>30</v>
      </c>
      <c r="AS23" s="585"/>
      <c r="AT23" s="585"/>
      <c r="AU23" s="110"/>
      <c r="AV23" s="110"/>
      <c r="AW23" s="110"/>
      <c r="AX23" s="111"/>
      <c r="AY23" s="586" t="s">
        <v>45</v>
      </c>
      <c r="AZ23" s="586"/>
      <c r="BA23" s="586"/>
      <c r="BB23" s="585" t="s">
        <v>31</v>
      </c>
      <c r="BC23" s="585"/>
      <c r="BD23" s="585"/>
      <c r="BE23" s="110"/>
      <c r="BF23" s="110"/>
      <c r="BG23" s="110"/>
    </row>
    <row r="24" spans="1:59" ht="13" customHeight="1" thickBot="1" x14ac:dyDescent="0.3">
      <c r="A24" s="103"/>
      <c r="B24" s="230"/>
      <c r="C24" s="230"/>
      <c r="D24" s="230"/>
      <c r="E24" s="230"/>
      <c r="F24" s="230"/>
      <c r="G24" s="230"/>
      <c r="H24" s="230"/>
      <c r="I24" s="103"/>
      <c r="J24" s="212"/>
      <c r="K24" s="103"/>
      <c r="L24" s="103"/>
      <c r="M24" s="103"/>
      <c r="N24" s="103"/>
      <c r="O24" s="103"/>
      <c r="P24" s="103"/>
      <c r="Q24" s="103"/>
      <c r="R24" s="103"/>
      <c r="S24" s="103"/>
      <c r="T24" s="104"/>
      <c r="U24" s="103"/>
      <c r="V24" s="103"/>
      <c r="W24" s="103"/>
      <c r="X24" s="103"/>
      <c r="Y24" s="103"/>
      <c r="Z24" s="103"/>
      <c r="AA24" s="103"/>
      <c r="AB24" s="103"/>
      <c r="AC24" s="103"/>
      <c r="AD24" s="104"/>
      <c r="AE24" s="103"/>
      <c r="AF24" s="103"/>
      <c r="AG24" s="103"/>
      <c r="AH24" s="103"/>
      <c r="AI24" s="103"/>
      <c r="AJ24" s="103"/>
      <c r="AK24" s="103"/>
      <c r="AL24" s="103"/>
      <c r="AM24" s="103"/>
      <c r="AN24" s="104"/>
      <c r="AO24" s="103"/>
      <c r="AP24" s="103"/>
      <c r="AQ24" s="103"/>
      <c r="AR24" s="103"/>
      <c r="AS24" s="103"/>
      <c r="AT24" s="103"/>
      <c r="AU24" s="103"/>
      <c r="AV24" s="103"/>
      <c r="AW24" s="103"/>
      <c r="AX24" s="104"/>
      <c r="AY24" s="103"/>
      <c r="AZ24" s="103"/>
      <c r="BA24" s="103"/>
      <c r="BB24" s="103"/>
      <c r="BC24" s="103"/>
      <c r="BD24" s="103"/>
      <c r="BE24" s="103"/>
      <c r="BF24" s="103"/>
      <c r="BG24" s="103"/>
    </row>
    <row r="25" spans="1:59" ht="22.5" customHeight="1" thickBot="1" x14ac:dyDescent="0.3">
      <c r="A25" s="119"/>
      <c r="B25" s="120" t="s">
        <v>34</v>
      </c>
      <c r="C25" s="121" t="s">
        <v>35</v>
      </c>
      <c r="D25" s="121" t="s">
        <v>36</v>
      </c>
      <c r="E25" s="121" t="s">
        <v>37</v>
      </c>
      <c r="F25" s="121" t="s">
        <v>38</v>
      </c>
      <c r="G25" s="124" t="s">
        <v>39</v>
      </c>
      <c r="H25" s="121" t="s">
        <v>40</v>
      </c>
      <c r="I25" s="123" t="s">
        <v>41</v>
      </c>
      <c r="J25" s="212"/>
      <c r="K25" s="119"/>
      <c r="L25" s="120" t="s">
        <v>34</v>
      </c>
      <c r="M25" s="121" t="s">
        <v>35</v>
      </c>
      <c r="N25" s="121" t="s">
        <v>36</v>
      </c>
      <c r="O25" s="121" t="s">
        <v>37</v>
      </c>
      <c r="P25" s="121" t="s">
        <v>38</v>
      </c>
      <c r="Q25" s="124" t="s">
        <v>39</v>
      </c>
      <c r="R25" s="121" t="s">
        <v>40</v>
      </c>
      <c r="S25" s="123" t="s">
        <v>41</v>
      </c>
      <c r="T25" s="104"/>
      <c r="U25" s="126"/>
      <c r="V25" s="120" t="s">
        <v>34</v>
      </c>
      <c r="W25" s="121" t="s">
        <v>35</v>
      </c>
      <c r="X25" s="121" t="s">
        <v>36</v>
      </c>
      <c r="Y25" s="121" t="s">
        <v>37</v>
      </c>
      <c r="Z25" s="125" t="s">
        <v>38</v>
      </c>
      <c r="AA25" s="121" t="s">
        <v>39</v>
      </c>
      <c r="AB25" s="121" t="s">
        <v>40</v>
      </c>
      <c r="AC25" s="123" t="s">
        <v>41</v>
      </c>
      <c r="AD25" s="104"/>
      <c r="AE25" s="126"/>
      <c r="AF25" s="120" t="s">
        <v>34</v>
      </c>
      <c r="AG25" s="121" t="s">
        <v>35</v>
      </c>
      <c r="AH25" s="121" t="s">
        <v>36</v>
      </c>
      <c r="AI25" s="121" t="s">
        <v>37</v>
      </c>
      <c r="AJ25" s="125" t="s">
        <v>38</v>
      </c>
      <c r="AK25" s="121" t="s">
        <v>39</v>
      </c>
      <c r="AL25" s="121" t="s">
        <v>40</v>
      </c>
      <c r="AM25" s="123" t="s">
        <v>41</v>
      </c>
      <c r="AN25" s="104"/>
      <c r="AO25" s="126"/>
      <c r="AP25" s="120" t="s">
        <v>34</v>
      </c>
      <c r="AQ25" s="121" t="s">
        <v>35</v>
      </c>
      <c r="AR25" s="121" t="s">
        <v>36</v>
      </c>
      <c r="AS25" s="121" t="s">
        <v>37</v>
      </c>
      <c r="AT25" s="125" t="s">
        <v>38</v>
      </c>
      <c r="AU25" s="121" t="s">
        <v>39</v>
      </c>
      <c r="AV25" s="121" t="s">
        <v>40</v>
      </c>
      <c r="AW25" s="123" t="s">
        <v>41</v>
      </c>
      <c r="AX25" s="104"/>
      <c r="AY25" s="126"/>
      <c r="AZ25" s="120" t="s">
        <v>34</v>
      </c>
      <c r="BA25" s="121" t="s">
        <v>35</v>
      </c>
      <c r="BB25" s="121" t="s">
        <v>36</v>
      </c>
      <c r="BC25" s="121" t="s">
        <v>37</v>
      </c>
      <c r="BD25" s="125" t="s">
        <v>38</v>
      </c>
      <c r="BE25" s="121" t="s">
        <v>39</v>
      </c>
      <c r="BF25" s="121" t="s">
        <v>40</v>
      </c>
      <c r="BG25" s="123" t="s">
        <v>41</v>
      </c>
    </row>
    <row r="26" spans="1:59" ht="21" customHeight="1" thickBot="1" x14ac:dyDescent="0.3">
      <c r="A26" s="132" t="str">
        <f>A5</f>
        <v>Act 20-21</v>
      </c>
      <c r="B26" s="133">
        <v>60.25</v>
      </c>
      <c r="C26" s="133">
        <v>6.1</v>
      </c>
      <c r="D26" s="133">
        <v>2.2000000000000002</v>
      </c>
      <c r="E26" s="133">
        <v>15.4</v>
      </c>
      <c r="F26" s="133">
        <v>13.8</v>
      </c>
      <c r="G26" s="134">
        <f t="shared" ref="G26:G40" si="17">IF(C26&gt;0,+D26+C26,"")</f>
        <v>8.3000000000000007</v>
      </c>
      <c r="H26" s="134">
        <f t="shared" ref="H26:H40" si="18">IF(C26&gt;0,+D26/C26,"")</f>
        <v>0.3606557377049181</v>
      </c>
      <c r="I26" s="135"/>
      <c r="J26" s="212"/>
      <c r="K26" s="132" t="str">
        <f>K5</f>
        <v>Act 20-21</v>
      </c>
      <c r="L26" s="133">
        <v>61.37</v>
      </c>
      <c r="M26" s="133">
        <v>5.0599999999999996</v>
      </c>
      <c r="N26" s="133">
        <v>2.37</v>
      </c>
      <c r="O26" s="133">
        <v>5.34</v>
      </c>
      <c r="P26" s="133">
        <v>46.57</v>
      </c>
      <c r="Q26" s="134">
        <f t="shared" ref="Q26:Q40" si="19">IF(M26&gt;0,+N26+M26,"")</f>
        <v>7.43</v>
      </c>
      <c r="R26" s="134">
        <f t="shared" ref="R26:R40" si="20">IF(M26&gt;0,+N26/M26,"")</f>
        <v>0.46837944664031628</v>
      </c>
      <c r="S26" s="135"/>
      <c r="T26" s="138"/>
      <c r="U26" s="136" t="str">
        <f t="shared" ref="U26:U40" si="21">K26</f>
        <v>Act 20-21</v>
      </c>
      <c r="V26" s="133"/>
      <c r="W26" s="133"/>
      <c r="X26" s="133"/>
      <c r="Y26" s="133"/>
      <c r="Z26" s="133"/>
      <c r="AA26" s="134" t="str">
        <f t="shared" ref="AA26:AA40" si="22">IF(W26&gt;0,+X26+W26,"")</f>
        <v/>
      </c>
      <c r="AB26" s="134" t="str">
        <f t="shared" ref="AB26:AB40" si="23">IF(W26&gt;0,+X26/W26,"")</f>
        <v/>
      </c>
      <c r="AC26" s="135"/>
      <c r="AD26" s="104"/>
      <c r="AE26" s="136" t="str">
        <f t="shared" ref="AE26:AE40" si="24">K26</f>
        <v>Act 20-21</v>
      </c>
      <c r="AF26" s="139"/>
      <c r="AG26" s="134"/>
      <c r="AH26" s="134"/>
      <c r="AI26" s="134"/>
      <c r="AJ26" s="134"/>
      <c r="AK26" s="134" t="str">
        <f t="shared" ref="AK26:AK40" si="25">IF(AG26&gt;0,+AH26+AG26,"")</f>
        <v/>
      </c>
      <c r="AL26" s="134" t="str">
        <f t="shared" ref="AL26:AL40" si="26">IF(AG26&gt;0,+AH26/AG26,"")</f>
        <v/>
      </c>
      <c r="AM26" s="140"/>
      <c r="AN26" s="104"/>
      <c r="AO26" s="136" t="str">
        <f t="shared" ref="AO26:AO40" si="27">K26</f>
        <v>Act 20-21</v>
      </c>
      <c r="AP26" s="133">
        <v>62.55</v>
      </c>
      <c r="AQ26" s="133">
        <v>1.5</v>
      </c>
      <c r="AR26" s="133">
        <v>3.2</v>
      </c>
      <c r="AS26" s="133">
        <v>10.4</v>
      </c>
      <c r="AT26" s="133">
        <v>10.35</v>
      </c>
      <c r="AU26" s="134">
        <f t="shared" ref="AU26:AU40" si="28">IF(AQ26&gt;0,+AR26+AQ26,"")</f>
        <v>4.7</v>
      </c>
      <c r="AV26" s="134">
        <f t="shared" ref="AV26:AV40" si="29">IF(AQ26&gt;0,+AR26/AQ26,"")</f>
        <v>2.1333333333333333</v>
      </c>
      <c r="AW26" s="140"/>
      <c r="AX26" s="104"/>
      <c r="AY26" s="136" t="str">
        <f>$AO$26</f>
        <v>Act 20-21</v>
      </c>
      <c r="AZ26" s="133"/>
      <c r="BA26" s="133"/>
      <c r="BB26" s="133"/>
      <c r="BC26" s="133"/>
      <c r="BD26" s="133"/>
      <c r="BE26" s="134" t="str">
        <f t="shared" ref="BE26:BE40" si="30">IF(BA26&gt;0,+BB26+BA26,"")</f>
        <v/>
      </c>
      <c r="BF26" s="134" t="str">
        <f t="shared" ref="BF26:BF40" si="31">IF(BA26&gt;0,+BB26/BA26,"")</f>
        <v/>
      </c>
      <c r="BG26" s="140"/>
    </row>
    <row r="27" spans="1:59" s="7" customFormat="1" ht="21" x14ac:dyDescent="0.25">
      <c r="A27" s="145" t="str">
        <f>A6</f>
        <v>APP 21-22</v>
      </c>
      <c r="B27" s="146">
        <f t="array" ref="B27:F27">BSP!B27:F27</f>
        <v>62.5</v>
      </c>
      <c r="C27" s="147">
        <v>3.6</v>
      </c>
      <c r="D27" s="147">
        <v>2.2000000000000002</v>
      </c>
      <c r="E27" s="147">
        <v>10</v>
      </c>
      <c r="F27" s="147">
        <v>10</v>
      </c>
      <c r="G27" s="147">
        <f t="shared" si="17"/>
        <v>5.8000000000000007</v>
      </c>
      <c r="H27" s="148">
        <f t="shared" si="18"/>
        <v>0.61111111111111116</v>
      </c>
      <c r="I27" s="149"/>
      <c r="J27" s="150"/>
      <c r="K27" s="145" t="str">
        <f>A6</f>
        <v>APP 21-22</v>
      </c>
      <c r="L27" s="146">
        <f t="array" ref="L27:P27">BSP!L27:P27</f>
        <v>62</v>
      </c>
      <c r="M27" s="147">
        <v>3.8</v>
      </c>
      <c r="N27" s="147">
        <v>2.7</v>
      </c>
      <c r="O27" s="147">
        <v>7</v>
      </c>
      <c r="P27" s="147">
        <v>40</v>
      </c>
      <c r="Q27" s="147">
        <f t="shared" si="19"/>
        <v>6.5</v>
      </c>
      <c r="R27" s="148">
        <f t="shared" si="20"/>
        <v>0.71052631578947378</v>
      </c>
      <c r="S27" s="149"/>
      <c r="T27" s="152"/>
      <c r="U27" s="151" t="str">
        <f t="shared" si="21"/>
        <v>APP 21-22</v>
      </c>
      <c r="V27" s="146">
        <f t="array" ref="V27:Z27">BSP!V27:Z27</f>
        <v>62.3</v>
      </c>
      <c r="W27" s="147">
        <v>3</v>
      </c>
      <c r="X27" s="147">
        <v>2.95</v>
      </c>
      <c r="Y27" s="147">
        <v>10</v>
      </c>
      <c r="Z27" s="147">
        <v>10</v>
      </c>
      <c r="AA27" s="147">
        <f t="shared" si="22"/>
        <v>5.95</v>
      </c>
      <c r="AB27" s="148">
        <f t="shared" si="23"/>
        <v>0.98333333333333339</v>
      </c>
      <c r="AC27" s="149"/>
      <c r="AD27" s="104"/>
      <c r="AE27" s="151" t="str">
        <f t="shared" si="24"/>
        <v>APP 21-22</v>
      </c>
      <c r="AF27" s="147">
        <f t="array" ref="AF27:AJ27">BSP!AF27:AJ27</f>
        <v>61.3</v>
      </c>
      <c r="AG27" s="147">
        <v>3.6</v>
      </c>
      <c r="AH27" s="147">
        <v>3.6</v>
      </c>
      <c r="AI27" s="147">
        <v>7</v>
      </c>
      <c r="AJ27" s="147">
        <v>40</v>
      </c>
      <c r="AK27" s="147">
        <f t="shared" si="25"/>
        <v>7.2</v>
      </c>
      <c r="AL27" s="154">
        <f t="shared" si="26"/>
        <v>1</v>
      </c>
      <c r="AM27" s="155"/>
      <c r="AN27" s="152"/>
      <c r="AO27" s="151" t="str">
        <f t="shared" si="27"/>
        <v>APP 21-22</v>
      </c>
      <c r="AP27" s="146">
        <f t="array" ref="AP27:AT27">BSP!AP27:AT27</f>
        <v>63</v>
      </c>
      <c r="AQ27" s="147">
        <v>2.6</v>
      </c>
      <c r="AR27" s="147">
        <v>2.2000000000000002</v>
      </c>
      <c r="AS27" s="147">
        <v>5</v>
      </c>
      <c r="AT27" s="147">
        <v>5</v>
      </c>
      <c r="AU27" s="147">
        <f t="shared" si="28"/>
        <v>4.8000000000000007</v>
      </c>
      <c r="AV27" s="148">
        <f t="shared" si="29"/>
        <v>0.84615384615384615</v>
      </c>
      <c r="AW27" s="155"/>
      <c r="AX27" s="152"/>
      <c r="AY27" s="151" t="str">
        <f>AO27</f>
        <v>APP 21-22</v>
      </c>
      <c r="AZ27" s="146">
        <f t="array" ref="AZ27:BD27">BSP!AZ27:BD27</f>
        <v>63</v>
      </c>
      <c r="BA27" s="147">
        <v>2.9</v>
      </c>
      <c r="BB27" s="147">
        <v>2.5</v>
      </c>
      <c r="BC27" s="147">
        <v>5</v>
      </c>
      <c r="BD27" s="147">
        <v>40</v>
      </c>
      <c r="BE27" s="147">
        <f t="shared" si="30"/>
        <v>5.4</v>
      </c>
      <c r="BF27" s="148">
        <f t="shared" si="31"/>
        <v>0.86206896551724144</v>
      </c>
      <c r="BG27" s="155"/>
    </row>
    <row r="28" spans="1:59" ht="21" x14ac:dyDescent="0.25">
      <c r="A28" s="166">
        <f>A7</f>
        <v>44287</v>
      </c>
      <c r="B28" s="167">
        <v>60.13</v>
      </c>
      <c r="C28" s="168">
        <v>3.91</v>
      </c>
      <c r="D28" s="168">
        <v>3.48</v>
      </c>
      <c r="E28" s="168">
        <v>14.73</v>
      </c>
      <c r="F28" s="168">
        <v>15.24</v>
      </c>
      <c r="G28" s="168">
        <f t="shared" si="17"/>
        <v>7.3900000000000006</v>
      </c>
      <c r="H28" s="169">
        <f t="shared" si="18"/>
        <v>0.89002557544757033</v>
      </c>
      <c r="I28" s="170">
        <f>IF(D28&gt;0,IFERROR(GETPIVOTDATA("act_qty",RECPT!$A$23,"yymm","202104","unit","GUA","comm","L"),0),)</f>
        <v>48426</v>
      </c>
      <c r="J28" s="119"/>
      <c r="K28" s="166">
        <f>A7</f>
        <v>44287</v>
      </c>
      <c r="L28" s="167">
        <v>58.87</v>
      </c>
      <c r="M28" s="168">
        <v>5.54</v>
      </c>
      <c r="N28" s="168">
        <v>4.7</v>
      </c>
      <c r="O28" s="168">
        <v>5.74</v>
      </c>
      <c r="P28" s="168">
        <v>43.73</v>
      </c>
      <c r="Q28" s="168">
        <f t="shared" si="19"/>
        <v>10.24</v>
      </c>
      <c r="R28" s="169">
        <f t="shared" si="20"/>
        <v>0.84837545126353797</v>
      </c>
      <c r="S28" s="170">
        <f>IF(N28&gt;0,IFERROR(GETPIVOTDATA("act_qty",RECPT!$A$23,"yymm","202104","unit","GUA","comm","F"),0),)</f>
        <v>85939</v>
      </c>
      <c r="T28" s="104"/>
      <c r="U28" s="172">
        <f t="shared" si="21"/>
        <v>44287</v>
      </c>
      <c r="V28" s="167"/>
      <c r="W28" s="168"/>
      <c r="X28" s="168"/>
      <c r="Y28" s="168"/>
      <c r="Z28" s="168"/>
      <c r="AA28" s="168" t="str">
        <f t="shared" si="22"/>
        <v/>
      </c>
      <c r="AB28" s="169" t="str">
        <f t="shared" si="23"/>
        <v/>
      </c>
      <c r="AC28" s="170">
        <f>IF(X28&gt;0,IFERROR(GETPIVOTDATA("act_qty",RECPT!$A$23,"yymm","202104","unit","BAR","comm","L"),0),)</f>
        <v>0</v>
      </c>
      <c r="AD28" s="104"/>
      <c r="AE28" s="172">
        <f t="shared" si="24"/>
        <v>44287</v>
      </c>
      <c r="AF28" s="167"/>
      <c r="AG28" s="168"/>
      <c r="AH28" s="168"/>
      <c r="AI28" s="168"/>
      <c r="AJ28" s="168"/>
      <c r="AK28" s="168" t="str">
        <f t="shared" si="25"/>
        <v/>
      </c>
      <c r="AL28" s="169" t="str">
        <f t="shared" si="26"/>
        <v/>
      </c>
      <c r="AM28" s="170">
        <f>IF(AH28&gt;0,IFERROR(GETPIVOTDATA("act_qty",RECPT!$A$23,"yymm","202104","unit","BAR","comm","F"),0),)</f>
        <v>0</v>
      </c>
      <c r="AN28" s="104"/>
      <c r="AO28" s="172">
        <f t="shared" si="27"/>
        <v>44287</v>
      </c>
      <c r="AP28" s="167"/>
      <c r="AQ28" s="168"/>
      <c r="AR28" s="168"/>
      <c r="AS28" s="168"/>
      <c r="AT28" s="168"/>
      <c r="AU28" s="168" t="str">
        <f t="shared" si="28"/>
        <v/>
      </c>
      <c r="AV28" s="169" t="str">
        <f t="shared" si="29"/>
        <v/>
      </c>
      <c r="AW28" s="170">
        <f>IF(AR28&gt;0,IFERROR(GETPIVOTDATA("act_qty",RECPT!$A$23,"yymm","202104","unit","KAL","comm","L"),0),)</f>
        <v>0</v>
      </c>
      <c r="AX28" s="104"/>
      <c r="AY28" s="172">
        <f t="shared" ref="AY28:AY40" si="32">AO28</f>
        <v>44287</v>
      </c>
      <c r="AZ28" s="167"/>
      <c r="BA28" s="168"/>
      <c r="BB28" s="168"/>
      <c r="BC28" s="168"/>
      <c r="BD28" s="168"/>
      <c r="BE28" s="168" t="str">
        <f t="shared" si="30"/>
        <v/>
      </c>
      <c r="BF28" s="169" t="str">
        <f t="shared" si="31"/>
        <v/>
      </c>
      <c r="BG28" s="170">
        <f>IF(BB28&gt;0,IFERROR(GETPIVOTDATA("act_qty",RECPT!$A$23,"yymm","202104","unit","KAL","comm","F"),0),)</f>
        <v>0</v>
      </c>
    </row>
    <row r="29" spans="1:59" ht="21" x14ac:dyDescent="0.25">
      <c r="A29" s="166">
        <f t="shared" ref="A29:A39" si="33">A8</f>
        <v>44317</v>
      </c>
      <c r="B29" s="167">
        <v>59.8</v>
      </c>
      <c r="C29" s="168">
        <v>4.66</v>
      </c>
      <c r="D29" s="168">
        <v>3.38</v>
      </c>
      <c r="E29" s="168">
        <v>18.079999999999998</v>
      </c>
      <c r="F29" s="168">
        <v>16.600000000000001</v>
      </c>
      <c r="G29" s="168">
        <f t="shared" si="17"/>
        <v>8.0399999999999991</v>
      </c>
      <c r="H29" s="169">
        <f t="shared" si="18"/>
        <v>0.72532188841201717</v>
      </c>
      <c r="I29" s="170">
        <f>IF(D29&gt;0,IFERROR(GETPIVOTDATA("act_qty",RECPT!$A$23,"yymm","202105","unit","GUA","comm","L"),0),)</f>
        <v>21062</v>
      </c>
      <c r="J29" s="119"/>
      <c r="K29" s="166">
        <f t="shared" ref="K29:K39" si="34">A8</f>
        <v>44317</v>
      </c>
      <c r="L29" s="167">
        <v>59.75</v>
      </c>
      <c r="M29" s="168">
        <v>5.37</v>
      </c>
      <c r="N29" s="168">
        <v>3.9</v>
      </c>
      <c r="O29" s="168">
        <v>4.87</v>
      </c>
      <c r="P29" s="168">
        <v>46.39</v>
      </c>
      <c r="Q29" s="168">
        <f t="shared" si="19"/>
        <v>9.27</v>
      </c>
      <c r="R29" s="169">
        <f t="shared" si="20"/>
        <v>0.72625698324022347</v>
      </c>
      <c r="S29" s="170">
        <f>IF(N29&gt;0,IFERROR(GETPIVOTDATA("act_qty",RECPT!$A$23,"yymm","202105","unit","GUA","comm","F"),0),)</f>
        <v>30671</v>
      </c>
      <c r="T29" s="104"/>
      <c r="U29" s="172">
        <f t="shared" si="21"/>
        <v>44317</v>
      </c>
      <c r="V29" s="167"/>
      <c r="W29" s="168"/>
      <c r="X29" s="168"/>
      <c r="Y29" s="168"/>
      <c r="Z29" s="168"/>
      <c r="AA29" s="168" t="str">
        <f t="shared" si="22"/>
        <v/>
      </c>
      <c r="AB29" s="169" t="str">
        <f t="shared" si="23"/>
        <v/>
      </c>
      <c r="AC29" s="170">
        <f>IF(X29&gt;0,IFERROR(GETPIVOTDATA("act_qty",RECPT!$A$23,"yymm","202105","unit","BAR","comm","L"),0),)</f>
        <v>0</v>
      </c>
      <c r="AD29" s="104"/>
      <c r="AE29" s="172">
        <f t="shared" si="24"/>
        <v>44317</v>
      </c>
      <c r="AF29" s="167"/>
      <c r="AG29" s="168"/>
      <c r="AH29" s="168"/>
      <c r="AI29" s="168"/>
      <c r="AJ29" s="168"/>
      <c r="AK29" s="168" t="str">
        <f t="shared" si="25"/>
        <v/>
      </c>
      <c r="AL29" s="169" t="str">
        <f t="shared" si="26"/>
        <v/>
      </c>
      <c r="AM29" s="170">
        <f>IF(AH29&gt;0,IFERROR(GETPIVOTDATA("act_qty",RECPT!$A$23,"yymm","202105","unit","BAR","comm","F"),0),)</f>
        <v>0</v>
      </c>
      <c r="AN29" s="104"/>
      <c r="AO29" s="172">
        <f t="shared" si="27"/>
        <v>44317</v>
      </c>
      <c r="AP29" s="167"/>
      <c r="AQ29" s="168"/>
      <c r="AR29" s="168"/>
      <c r="AS29" s="168"/>
      <c r="AT29" s="168"/>
      <c r="AU29" s="168" t="str">
        <f t="shared" si="28"/>
        <v/>
      </c>
      <c r="AV29" s="169" t="str">
        <f t="shared" si="29"/>
        <v/>
      </c>
      <c r="AW29" s="170">
        <f>IF(AR29&gt;0,IFERROR(GETPIVOTDATA("act_qty",RECPT!$A$23,"yymm","202105","unit","KAL","comm","L"),0),)</f>
        <v>0</v>
      </c>
      <c r="AX29" s="104"/>
      <c r="AY29" s="172">
        <f t="shared" si="32"/>
        <v>44317</v>
      </c>
      <c r="AZ29" s="167"/>
      <c r="BA29" s="168"/>
      <c r="BB29" s="168"/>
      <c r="BC29" s="168"/>
      <c r="BD29" s="168"/>
      <c r="BE29" s="168" t="str">
        <f t="shared" si="30"/>
        <v/>
      </c>
      <c r="BF29" s="169" t="str">
        <f t="shared" si="31"/>
        <v/>
      </c>
      <c r="BG29" s="170">
        <f>IF(BB29&gt;0,IFERROR(GETPIVOTDATA("act_qty",RECPT!$A$23,"yymm","202105","unit","KAL","comm","F"),0),)</f>
        <v>0</v>
      </c>
    </row>
    <row r="30" spans="1:59" ht="21" x14ac:dyDescent="0.25">
      <c r="A30" s="166">
        <f t="shared" si="33"/>
        <v>44348</v>
      </c>
      <c r="B30" s="167">
        <v>0</v>
      </c>
      <c r="C30" s="168">
        <v>0</v>
      </c>
      <c r="D30" s="168">
        <v>0</v>
      </c>
      <c r="E30" s="168">
        <v>0</v>
      </c>
      <c r="F30" s="168">
        <v>0</v>
      </c>
      <c r="G30" s="168" t="str">
        <f t="shared" si="17"/>
        <v/>
      </c>
      <c r="H30" s="169" t="str">
        <f t="shared" si="18"/>
        <v/>
      </c>
      <c r="I30" s="170">
        <f>IF(D30&gt;0,IFERROR(GETPIVOTDATA("act_qty",RECPT!$A$23,"yymm","202106","unit","GUA","comm","L"),0),)</f>
        <v>0</v>
      </c>
      <c r="J30" s="119"/>
      <c r="K30" s="166">
        <f t="shared" si="34"/>
        <v>44348</v>
      </c>
      <c r="L30" s="167">
        <v>0</v>
      </c>
      <c r="M30" s="168">
        <v>0</v>
      </c>
      <c r="N30" s="168">
        <v>0</v>
      </c>
      <c r="O30" s="168">
        <v>0</v>
      </c>
      <c r="P30" s="168">
        <v>0</v>
      </c>
      <c r="Q30" s="168" t="str">
        <f t="shared" si="19"/>
        <v/>
      </c>
      <c r="R30" s="169" t="str">
        <f t="shared" si="20"/>
        <v/>
      </c>
      <c r="S30" s="170">
        <f>IF(N30&gt;0,IFERROR(GETPIVOTDATA("act_qty",RECPT!$A$23,"yymm","202106","unit","GUA","comm","F"),0),)</f>
        <v>0</v>
      </c>
      <c r="T30" s="104"/>
      <c r="U30" s="172">
        <f t="shared" si="21"/>
        <v>44348</v>
      </c>
      <c r="V30" s="167"/>
      <c r="W30" s="168"/>
      <c r="X30" s="168"/>
      <c r="Y30" s="168"/>
      <c r="Z30" s="168"/>
      <c r="AA30" s="168" t="str">
        <f t="shared" si="22"/>
        <v/>
      </c>
      <c r="AB30" s="169" t="str">
        <f t="shared" si="23"/>
        <v/>
      </c>
      <c r="AC30" s="170">
        <f>IF(X30&gt;0,IFERROR(GETPIVOTDATA("act_qty",RECPT!$A$23,"yymm","202106","unit","BAR","comm","L"),0),)</f>
        <v>0</v>
      </c>
      <c r="AD30" s="171"/>
      <c r="AE30" s="172">
        <f t="shared" si="24"/>
        <v>44348</v>
      </c>
      <c r="AF30" s="167"/>
      <c r="AG30" s="168"/>
      <c r="AH30" s="168"/>
      <c r="AI30" s="168"/>
      <c r="AJ30" s="168"/>
      <c r="AK30" s="168" t="str">
        <f t="shared" si="25"/>
        <v/>
      </c>
      <c r="AL30" s="169" t="str">
        <f t="shared" si="26"/>
        <v/>
      </c>
      <c r="AM30" s="170">
        <f>IF(AH30&gt;0,IFERROR(GETPIVOTDATA("act_qty",RECPT!$A$23,"yymm","202106","unit","BAR","comm","F"),0),)</f>
        <v>0</v>
      </c>
      <c r="AN30" s="104"/>
      <c r="AO30" s="172">
        <f t="shared" si="27"/>
        <v>44348</v>
      </c>
      <c r="AP30" s="167"/>
      <c r="AQ30" s="168"/>
      <c r="AR30" s="168"/>
      <c r="AS30" s="168"/>
      <c r="AT30" s="168"/>
      <c r="AU30" s="168" t="str">
        <f t="shared" si="28"/>
        <v/>
      </c>
      <c r="AV30" s="169" t="str">
        <f t="shared" si="29"/>
        <v/>
      </c>
      <c r="AW30" s="170">
        <f>IF(AR30&gt;0,IFERROR(GETPIVOTDATA("act_qty",RECPT!$A$23,"yymm","202106","unit","KAL","comm","L"),0),)</f>
        <v>0</v>
      </c>
      <c r="AX30" s="104"/>
      <c r="AY30" s="172">
        <f t="shared" si="32"/>
        <v>44348</v>
      </c>
      <c r="AZ30" s="167"/>
      <c r="BA30" s="168"/>
      <c r="BB30" s="168"/>
      <c r="BC30" s="168"/>
      <c r="BD30" s="168"/>
      <c r="BE30" s="168" t="str">
        <f t="shared" si="30"/>
        <v/>
      </c>
      <c r="BF30" s="169" t="str">
        <f t="shared" si="31"/>
        <v/>
      </c>
      <c r="BG30" s="170">
        <f>IF(BB30&gt;0,IFERROR(GETPIVOTDATA("act_qty",RECPT!$A$23,"yymm","202106","unit","KAL","comm","F"),0),)</f>
        <v>0</v>
      </c>
    </row>
    <row r="31" spans="1:59" ht="21" x14ac:dyDescent="0.25">
      <c r="A31" s="166">
        <f t="shared" si="33"/>
        <v>44378</v>
      </c>
      <c r="B31" s="167">
        <v>0</v>
      </c>
      <c r="C31" s="168">
        <v>0</v>
      </c>
      <c r="D31" s="168">
        <v>0</v>
      </c>
      <c r="E31" s="168">
        <v>0</v>
      </c>
      <c r="F31" s="168">
        <v>0</v>
      </c>
      <c r="G31" s="168" t="str">
        <f t="shared" si="17"/>
        <v/>
      </c>
      <c r="H31" s="169" t="str">
        <f t="shared" si="18"/>
        <v/>
      </c>
      <c r="I31" s="170">
        <f>IF(D31&gt;0,IFERROR(GETPIVOTDATA("act_qty",RECPT!$A$23,"yymm","202107","unit","GUA","comm","L"),0),)</f>
        <v>0</v>
      </c>
      <c r="J31" s="119"/>
      <c r="K31" s="166">
        <f t="shared" si="34"/>
        <v>44378</v>
      </c>
      <c r="L31" s="167">
        <v>0</v>
      </c>
      <c r="M31" s="168">
        <v>0</v>
      </c>
      <c r="N31" s="168">
        <v>0</v>
      </c>
      <c r="O31" s="168">
        <v>0</v>
      </c>
      <c r="P31" s="168">
        <v>0</v>
      </c>
      <c r="Q31" s="168" t="str">
        <f t="shared" si="19"/>
        <v/>
      </c>
      <c r="R31" s="169" t="str">
        <f t="shared" si="20"/>
        <v/>
      </c>
      <c r="S31" s="170">
        <f>IF(N31&gt;0,IFERROR(GETPIVOTDATA("act_qty",RECPT!$A$23,"yymm","202107","unit","GUA","comm","F"),0),)</f>
        <v>0</v>
      </c>
      <c r="T31" s="104"/>
      <c r="U31" s="172">
        <f t="shared" si="21"/>
        <v>44378</v>
      </c>
      <c r="V31" s="167"/>
      <c r="W31" s="168"/>
      <c r="X31" s="168"/>
      <c r="Y31" s="168"/>
      <c r="Z31" s="168"/>
      <c r="AA31" s="168" t="str">
        <f t="shared" si="22"/>
        <v/>
      </c>
      <c r="AB31" s="169" t="str">
        <f t="shared" si="23"/>
        <v/>
      </c>
      <c r="AC31" s="170">
        <f>IF(X31&gt;0,IFERROR(GETPIVOTDATA("act_qty",RECPT!$A$23,"yymm","202107","unit","BAR","comm","L"),0),)</f>
        <v>0</v>
      </c>
      <c r="AD31" s="171"/>
      <c r="AE31" s="172">
        <f t="shared" si="24"/>
        <v>44378</v>
      </c>
      <c r="AF31" s="167"/>
      <c r="AG31" s="168"/>
      <c r="AH31" s="168"/>
      <c r="AI31" s="168"/>
      <c r="AJ31" s="168"/>
      <c r="AK31" s="168" t="str">
        <f t="shared" si="25"/>
        <v/>
      </c>
      <c r="AL31" s="169" t="str">
        <f t="shared" si="26"/>
        <v/>
      </c>
      <c r="AM31" s="170">
        <f>IF(AH31&gt;0,IFERROR(GETPIVOTDATA("act_qty",RECPT!$A$23,"yymm","202107","unit","BAR","comm","F"),0),)</f>
        <v>0</v>
      </c>
      <c r="AN31" s="104"/>
      <c r="AO31" s="172">
        <f t="shared" si="27"/>
        <v>44378</v>
      </c>
      <c r="AP31" s="167"/>
      <c r="AQ31" s="168"/>
      <c r="AR31" s="168"/>
      <c r="AS31" s="168"/>
      <c r="AT31" s="168"/>
      <c r="AU31" s="168" t="str">
        <f t="shared" si="28"/>
        <v/>
      </c>
      <c r="AV31" s="169" t="str">
        <f t="shared" si="29"/>
        <v/>
      </c>
      <c r="AW31" s="170">
        <f>IF(AR31&gt;0,IFERROR(GETPIVOTDATA("act_qty",RECPT!$A$23,"yymm","202107","unit","KAL","comm","L"),0),)</f>
        <v>0</v>
      </c>
      <c r="AX31" s="104"/>
      <c r="AY31" s="172">
        <f t="shared" si="32"/>
        <v>44378</v>
      </c>
      <c r="AZ31" s="167"/>
      <c r="BA31" s="168"/>
      <c r="BB31" s="168"/>
      <c r="BC31" s="168"/>
      <c r="BD31" s="168"/>
      <c r="BE31" s="168" t="str">
        <f t="shared" si="30"/>
        <v/>
      </c>
      <c r="BF31" s="169" t="str">
        <f t="shared" si="31"/>
        <v/>
      </c>
      <c r="BG31" s="170">
        <f>IF(BB31&gt;0,IFERROR(GETPIVOTDATA("act_qty",RECPT!$A$23,"yymm","202107","unit","KAL","comm","F"),0),)</f>
        <v>0</v>
      </c>
    </row>
    <row r="32" spans="1:59" ht="21" x14ac:dyDescent="0.25">
      <c r="A32" s="166">
        <f t="shared" si="33"/>
        <v>44409</v>
      </c>
      <c r="B32" s="167">
        <v>62.4</v>
      </c>
      <c r="C32" s="168">
        <v>2.2999999999999998</v>
      </c>
      <c r="D32" s="168">
        <v>1.5</v>
      </c>
      <c r="E32" s="168">
        <v>15.7</v>
      </c>
      <c r="F32" s="168">
        <v>20.7</v>
      </c>
      <c r="G32" s="168">
        <f t="shared" si="17"/>
        <v>3.8</v>
      </c>
      <c r="H32" s="169">
        <f t="shared" si="18"/>
        <v>0.65217391304347827</v>
      </c>
      <c r="I32" s="170">
        <f>IF(D32&gt;0,IFERROR(GETPIVOTDATA("act_qty",RECPT!$A$23,"yymm","202108","unit","GUA","comm","L"),0),)</f>
        <v>1766</v>
      </c>
      <c r="J32" s="119"/>
      <c r="K32" s="166">
        <f t="shared" si="34"/>
        <v>44409</v>
      </c>
      <c r="L32" s="167">
        <v>60.1</v>
      </c>
      <c r="M32" s="168">
        <v>6.2</v>
      </c>
      <c r="N32" s="168">
        <v>2.1</v>
      </c>
      <c r="O32" s="168">
        <v>3.1</v>
      </c>
      <c r="P32" s="168">
        <v>24.3</v>
      </c>
      <c r="Q32" s="168">
        <f t="shared" si="19"/>
        <v>8.3000000000000007</v>
      </c>
      <c r="R32" s="169">
        <f t="shared" si="20"/>
        <v>0.33870967741935487</v>
      </c>
      <c r="S32" s="170">
        <f>IF(N32&gt;0,IFERROR(GETPIVOTDATA("act_qty",RECPT!$A$23,"yymm","202108","unit","GUA","comm","F"),0),)</f>
        <v>2446</v>
      </c>
      <c r="T32" s="104"/>
      <c r="U32" s="172">
        <f t="shared" si="21"/>
        <v>44409</v>
      </c>
      <c r="V32" s="167"/>
      <c r="W32" s="168"/>
      <c r="X32" s="168"/>
      <c r="Y32" s="168"/>
      <c r="Z32" s="168"/>
      <c r="AA32" s="168" t="str">
        <f t="shared" si="22"/>
        <v/>
      </c>
      <c r="AB32" s="169" t="str">
        <f t="shared" si="23"/>
        <v/>
      </c>
      <c r="AC32" s="170">
        <f>IF(X32&gt;0,IFERROR(GETPIVOTDATA("act_qty",RECPT!$A$23,"yymm","202108","unit","BAR","comm","L"),0),)</f>
        <v>0</v>
      </c>
      <c r="AD32" s="171"/>
      <c r="AE32" s="172">
        <f t="shared" si="24"/>
        <v>44409</v>
      </c>
      <c r="AF32" s="167"/>
      <c r="AG32" s="168"/>
      <c r="AH32" s="168"/>
      <c r="AI32" s="168"/>
      <c r="AJ32" s="168"/>
      <c r="AK32" s="168" t="str">
        <f t="shared" si="25"/>
        <v/>
      </c>
      <c r="AL32" s="169" t="str">
        <f t="shared" si="26"/>
        <v/>
      </c>
      <c r="AM32" s="170">
        <f>IF(AH32&gt;0,IFERROR(GETPIVOTDATA("act_qty",RECPT!$A$23,"yymm","202108","unit","BAR","comm","F"),0),)</f>
        <v>0</v>
      </c>
      <c r="AN32" s="104"/>
      <c r="AO32" s="172">
        <f t="shared" si="27"/>
        <v>44409</v>
      </c>
      <c r="AP32" s="167"/>
      <c r="AQ32" s="168"/>
      <c r="AR32" s="168"/>
      <c r="AS32" s="168"/>
      <c r="AT32" s="168"/>
      <c r="AU32" s="168" t="str">
        <f t="shared" si="28"/>
        <v/>
      </c>
      <c r="AV32" s="169" t="str">
        <f t="shared" si="29"/>
        <v/>
      </c>
      <c r="AW32" s="170">
        <f>IF(AR32&gt;0,IFERROR(GETPIVOTDATA("act_qty",RECPT!$A$23,"yymm","202108","unit","KAL","comm","L"),0),)</f>
        <v>0</v>
      </c>
      <c r="AX32" s="104"/>
      <c r="AY32" s="172">
        <f t="shared" si="32"/>
        <v>44409</v>
      </c>
      <c r="AZ32" s="167"/>
      <c r="BA32" s="168"/>
      <c r="BB32" s="168"/>
      <c r="BC32" s="168"/>
      <c r="BD32" s="168"/>
      <c r="BE32" s="168" t="str">
        <f t="shared" si="30"/>
        <v/>
      </c>
      <c r="BF32" s="169" t="str">
        <f t="shared" si="31"/>
        <v/>
      </c>
      <c r="BG32" s="170">
        <f>IF(BB32&gt;0,IFERROR(GETPIVOTDATA("act_qty",RECPT!$A$23,"yymm","202108","unit","KAL","comm","F"),0),)</f>
        <v>0</v>
      </c>
    </row>
    <row r="33" spans="1:60" ht="21" x14ac:dyDescent="0.25">
      <c r="A33" s="166">
        <f t="shared" si="33"/>
        <v>44440</v>
      </c>
      <c r="B33" s="167">
        <v>60.6</v>
      </c>
      <c r="C33" s="168">
        <v>3.7</v>
      </c>
      <c r="D33" s="168">
        <v>3.27</v>
      </c>
      <c r="E33" s="168">
        <v>14.6</v>
      </c>
      <c r="F33" s="168">
        <v>14.57</v>
      </c>
      <c r="G33" s="168">
        <f t="shared" si="17"/>
        <v>6.9700000000000006</v>
      </c>
      <c r="H33" s="169">
        <f t="shared" si="18"/>
        <v>0.88378378378378375</v>
      </c>
      <c r="I33" s="170">
        <f>IF(D33&gt;0,IFERROR(GETPIVOTDATA("act_qty",RECPT!$A$23,"yymm","202109","unit","GUA","comm","L"),0),)</f>
        <v>5070</v>
      </c>
      <c r="J33" s="119"/>
      <c r="K33" s="166">
        <f t="shared" si="34"/>
        <v>44440</v>
      </c>
      <c r="L33" s="167">
        <v>61.23</v>
      </c>
      <c r="M33" s="168">
        <v>4.2699999999999996</v>
      </c>
      <c r="N33" s="168">
        <v>2.97</v>
      </c>
      <c r="O33" s="168">
        <v>8.1300000000000008</v>
      </c>
      <c r="P33" s="168">
        <v>34.4</v>
      </c>
      <c r="Q33" s="168">
        <f t="shared" si="19"/>
        <v>7.24</v>
      </c>
      <c r="R33" s="169">
        <f t="shared" si="20"/>
        <v>0.69555035128805631</v>
      </c>
      <c r="S33" s="170">
        <f>IF(N33&gt;0,IFERROR(GETPIVOTDATA("act_qty",RECPT!$A$23,"yymm","202109","unit","GUA","comm","F"),0),)</f>
        <v>6493</v>
      </c>
      <c r="T33" s="104"/>
      <c r="U33" s="172">
        <f t="shared" si="21"/>
        <v>44440</v>
      </c>
      <c r="V33" s="167"/>
      <c r="W33" s="168"/>
      <c r="X33" s="168"/>
      <c r="Y33" s="168"/>
      <c r="Z33" s="168"/>
      <c r="AA33" s="168" t="str">
        <f t="shared" si="22"/>
        <v/>
      </c>
      <c r="AB33" s="169" t="str">
        <f t="shared" si="23"/>
        <v/>
      </c>
      <c r="AC33" s="170">
        <f>IF(X33&gt;0,IFERROR(GETPIVOTDATA("act_qty",RECPT!$A$23,"yymm","202109","unit","BAR","comm","L"),0),)</f>
        <v>0</v>
      </c>
      <c r="AD33" s="171"/>
      <c r="AE33" s="172">
        <f t="shared" si="24"/>
        <v>44440</v>
      </c>
      <c r="AF33" s="167"/>
      <c r="AG33" s="168"/>
      <c r="AH33" s="168"/>
      <c r="AI33" s="168"/>
      <c r="AJ33" s="168"/>
      <c r="AK33" s="168" t="str">
        <f t="shared" si="25"/>
        <v/>
      </c>
      <c r="AL33" s="169" t="str">
        <f t="shared" si="26"/>
        <v/>
      </c>
      <c r="AM33" s="170">
        <f>IF(AH33&gt;0,IFERROR(GETPIVOTDATA("act_qty",RECPT!$A$23,"yymm","202109","unit","BAR","comm","F"),0),)</f>
        <v>0</v>
      </c>
      <c r="AN33" s="104"/>
      <c r="AO33" s="172">
        <f t="shared" si="27"/>
        <v>44440</v>
      </c>
      <c r="AP33" s="167"/>
      <c r="AQ33" s="168"/>
      <c r="AR33" s="168"/>
      <c r="AS33" s="168"/>
      <c r="AT33" s="168"/>
      <c r="AU33" s="168" t="str">
        <f t="shared" si="28"/>
        <v/>
      </c>
      <c r="AV33" s="169" t="str">
        <f t="shared" si="29"/>
        <v/>
      </c>
      <c r="AW33" s="170">
        <f>IF(AR33&gt;0,IFERROR(GETPIVOTDATA("act_qty",RECPT!$A$23,"yymm","202109","unit","KAL","comm","L"),0),)</f>
        <v>0</v>
      </c>
      <c r="AX33" s="104"/>
      <c r="AY33" s="172">
        <f t="shared" si="32"/>
        <v>44440</v>
      </c>
      <c r="AZ33" s="167"/>
      <c r="BA33" s="168"/>
      <c r="BB33" s="168"/>
      <c r="BC33" s="168"/>
      <c r="BD33" s="168"/>
      <c r="BE33" s="168" t="str">
        <f t="shared" si="30"/>
        <v/>
      </c>
      <c r="BF33" s="169" t="str">
        <f t="shared" si="31"/>
        <v/>
      </c>
      <c r="BG33" s="170">
        <f>IF(BB33&gt;0,IFERROR(GETPIVOTDATA("act_qty",RECPT!$A$23,"yymm","202109","unit","KAL","comm","F"),0),)</f>
        <v>0</v>
      </c>
    </row>
    <row r="34" spans="1:60" ht="21" x14ac:dyDescent="0.25">
      <c r="A34" s="166">
        <f t="shared" si="33"/>
        <v>44470</v>
      </c>
      <c r="B34" s="167">
        <v>59.3</v>
      </c>
      <c r="C34" s="168">
        <v>8.6</v>
      </c>
      <c r="D34" s="168">
        <v>1</v>
      </c>
      <c r="E34" s="168">
        <v>13.9</v>
      </c>
      <c r="F34" s="168">
        <v>7.4</v>
      </c>
      <c r="G34" s="168">
        <f t="shared" si="17"/>
        <v>9.6</v>
      </c>
      <c r="H34" s="169">
        <f t="shared" si="18"/>
        <v>0.11627906976744186</v>
      </c>
      <c r="I34" s="170">
        <f>IF(D34&gt;0,IFERROR(GETPIVOTDATA("act_qty",RECPT!$A$23,"yymm","202110","unit","GUA","comm","L"),0),)</f>
        <v>1561.2</v>
      </c>
      <c r="J34" s="119"/>
      <c r="K34" s="166">
        <f t="shared" si="34"/>
        <v>44470</v>
      </c>
      <c r="L34" s="167">
        <v>61.5</v>
      </c>
      <c r="M34" s="168">
        <v>6.2</v>
      </c>
      <c r="N34" s="168">
        <v>2.1</v>
      </c>
      <c r="O34" s="168">
        <v>13.2</v>
      </c>
      <c r="P34" s="168">
        <v>39.200000000000003</v>
      </c>
      <c r="Q34" s="168">
        <f t="shared" si="19"/>
        <v>8.3000000000000007</v>
      </c>
      <c r="R34" s="169">
        <f t="shared" si="20"/>
        <v>0.33870967741935487</v>
      </c>
      <c r="S34" s="170">
        <f>IF(N34&gt;0,IFERROR(GETPIVOTDATA("act_qty",RECPT!$A$23,"yymm","202110","unit","GUA","comm","F"),0),)</f>
        <v>1945</v>
      </c>
      <c r="T34" s="104"/>
      <c r="U34" s="172">
        <f t="shared" si="21"/>
        <v>44470</v>
      </c>
      <c r="V34" s="167"/>
      <c r="W34" s="168"/>
      <c r="X34" s="168"/>
      <c r="Y34" s="168"/>
      <c r="Z34" s="168"/>
      <c r="AA34" s="168" t="str">
        <f t="shared" si="22"/>
        <v/>
      </c>
      <c r="AB34" s="169" t="str">
        <f t="shared" si="23"/>
        <v/>
      </c>
      <c r="AC34" s="170">
        <f>IF(X34&gt;0,IFERROR(GETPIVOTDATA("act_qty",RECPT!$A$23,"yymm","202110","unit","BAR","comm","L"),0),)</f>
        <v>0</v>
      </c>
      <c r="AD34" s="171"/>
      <c r="AE34" s="172">
        <f t="shared" si="24"/>
        <v>44470</v>
      </c>
      <c r="AF34" s="167">
        <v>59.9</v>
      </c>
      <c r="AG34" s="168">
        <v>5.34</v>
      </c>
      <c r="AH34" s="168">
        <v>3.34</v>
      </c>
      <c r="AI34" s="168">
        <v>10.06</v>
      </c>
      <c r="AJ34" s="168">
        <v>42.99</v>
      </c>
      <c r="AK34" s="168">
        <f t="shared" si="25"/>
        <v>8.68</v>
      </c>
      <c r="AL34" s="169">
        <f t="shared" si="26"/>
        <v>0.62546816479400746</v>
      </c>
      <c r="AM34" s="170">
        <f>IF(AH34&gt;0,IFERROR(GETPIVOTDATA("act_qty",RECPT!$A$23,"yymm","202110","unit","BAR","comm","F"),0),)</f>
        <v>19790.43</v>
      </c>
      <c r="AN34" s="104"/>
      <c r="AO34" s="172">
        <f t="shared" si="27"/>
        <v>44470</v>
      </c>
      <c r="AP34" s="167"/>
      <c r="AQ34" s="168"/>
      <c r="AR34" s="168"/>
      <c r="AS34" s="168"/>
      <c r="AT34" s="168"/>
      <c r="AU34" s="168" t="str">
        <f t="shared" si="28"/>
        <v/>
      </c>
      <c r="AV34" s="169" t="str">
        <f t="shared" si="29"/>
        <v/>
      </c>
      <c r="AW34" s="170">
        <f>IF(AR34&gt;0,IFERROR(GETPIVOTDATA("act_qty",RECPT!$A$23,"yymm","202110","unit","KAL","comm","L"),0),)</f>
        <v>0</v>
      </c>
      <c r="AX34" s="104"/>
      <c r="AY34" s="172">
        <f t="shared" si="32"/>
        <v>44470</v>
      </c>
      <c r="AZ34" s="167"/>
      <c r="BA34" s="168"/>
      <c r="BB34" s="168"/>
      <c r="BC34" s="168"/>
      <c r="BD34" s="168"/>
      <c r="BE34" s="168" t="str">
        <f t="shared" si="30"/>
        <v/>
      </c>
      <c r="BF34" s="169" t="str">
        <f t="shared" si="31"/>
        <v/>
      </c>
      <c r="BG34" s="170">
        <f>IF(BB34&gt;0,IFERROR(GETPIVOTDATA("act_qty",RECPT!$A$23,"yymm","202110","unit","KAL","comm","F"),0),)</f>
        <v>0</v>
      </c>
    </row>
    <row r="35" spans="1:60" ht="21" x14ac:dyDescent="0.25">
      <c r="A35" s="166">
        <f t="shared" si="33"/>
        <v>44501</v>
      </c>
      <c r="B35" s="167">
        <v>60.8</v>
      </c>
      <c r="C35" s="168">
        <v>4.9000000000000004</v>
      </c>
      <c r="D35" s="168">
        <v>2.1</v>
      </c>
      <c r="E35" s="168">
        <v>10.4</v>
      </c>
      <c r="F35" s="168">
        <v>13.8</v>
      </c>
      <c r="G35" s="168">
        <f t="shared" si="17"/>
        <v>7</v>
      </c>
      <c r="H35" s="169">
        <f t="shared" si="18"/>
        <v>0.42857142857142855</v>
      </c>
      <c r="I35" s="170">
        <f>IF(D35&gt;0,IFERROR(GETPIVOTDATA("act_qty",RECPT!$A$23,"yymm","202111","unit","GUA","comm","L"),0),)</f>
        <v>4508</v>
      </c>
      <c r="J35" s="119"/>
      <c r="K35" s="166">
        <f t="shared" si="34"/>
        <v>44501</v>
      </c>
      <c r="L35" s="167">
        <v>60.43</v>
      </c>
      <c r="M35" s="168">
        <v>6</v>
      </c>
      <c r="N35" s="168">
        <v>2.37</v>
      </c>
      <c r="O35" s="168">
        <v>6.07</v>
      </c>
      <c r="P35" s="168">
        <v>41.4</v>
      </c>
      <c r="Q35" s="168">
        <f t="shared" si="19"/>
        <v>8.370000000000001</v>
      </c>
      <c r="R35" s="169">
        <f t="shared" si="20"/>
        <v>0.39500000000000002</v>
      </c>
      <c r="S35" s="170">
        <f>IF(N35&gt;0,IFERROR(GETPIVOTDATA("act_qty",RECPT!$A$23,"yymm","202111","unit","GUA","comm","F"),0),)</f>
        <v>6883.6</v>
      </c>
      <c r="T35" s="104"/>
      <c r="U35" s="172">
        <f t="shared" si="21"/>
        <v>44501</v>
      </c>
      <c r="V35" s="167"/>
      <c r="W35" s="168"/>
      <c r="X35" s="168"/>
      <c r="Y35" s="168"/>
      <c r="Z35" s="168"/>
      <c r="AA35" s="168" t="str">
        <f t="shared" si="22"/>
        <v/>
      </c>
      <c r="AB35" s="169" t="str">
        <f t="shared" si="23"/>
        <v/>
      </c>
      <c r="AC35" s="170">
        <f>IF(X35&gt;0,IFERROR(GETPIVOTDATA("act_qty",RECPT!$A$23,"yymm","202111","unit","BAR","comm","L"),0),)</f>
        <v>0</v>
      </c>
      <c r="AD35" s="171"/>
      <c r="AE35" s="172">
        <f t="shared" si="24"/>
        <v>44501</v>
      </c>
      <c r="AF35" s="167">
        <v>60.45</v>
      </c>
      <c r="AG35" s="168">
        <v>5.6</v>
      </c>
      <c r="AH35" s="168">
        <v>3.45</v>
      </c>
      <c r="AI35" s="168">
        <v>7.8</v>
      </c>
      <c r="AJ35" s="168">
        <v>47.05</v>
      </c>
      <c r="AK35" s="168">
        <f t="shared" si="25"/>
        <v>9.0500000000000007</v>
      </c>
      <c r="AL35" s="169">
        <f t="shared" si="26"/>
        <v>0.6160714285714286</v>
      </c>
      <c r="AM35" s="170">
        <f>IF(AH35&gt;0,IFERROR(GETPIVOTDATA("act_qty",RECPT!$A$23,"yymm","202111","unit","BAR","comm","F"),0),)</f>
        <v>7675.2</v>
      </c>
      <c r="AN35" s="104"/>
      <c r="AO35" s="172">
        <f t="shared" si="27"/>
        <v>44501</v>
      </c>
      <c r="AP35" s="167"/>
      <c r="AQ35" s="168"/>
      <c r="AR35" s="168"/>
      <c r="AS35" s="168"/>
      <c r="AT35" s="168"/>
      <c r="AU35" s="168" t="str">
        <f t="shared" si="28"/>
        <v/>
      </c>
      <c r="AV35" s="169" t="str">
        <f t="shared" si="29"/>
        <v/>
      </c>
      <c r="AW35" s="170">
        <f>IF(AR35&gt;0,IFERROR(GETPIVOTDATA("act_qty",RECPT!$A$23,"yymm","202111","unit","KAL","comm","L"),0),)</f>
        <v>0</v>
      </c>
      <c r="AX35" s="104"/>
      <c r="AY35" s="172">
        <f t="shared" si="32"/>
        <v>44501</v>
      </c>
      <c r="AZ35" s="167"/>
      <c r="BA35" s="168"/>
      <c r="BB35" s="168"/>
      <c r="BC35" s="168"/>
      <c r="BD35" s="168"/>
      <c r="BE35" s="168" t="str">
        <f t="shared" si="30"/>
        <v/>
      </c>
      <c r="BF35" s="169" t="str">
        <f t="shared" si="31"/>
        <v/>
      </c>
      <c r="BG35" s="170">
        <f>IF(BB35&gt;0,IFERROR(GETPIVOTDATA("act_qty",RECPT!$A$23,"yymm","202111","unit","KAL","comm","F"),0),)</f>
        <v>0</v>
      </c>
    </row>
    <row r="36" spans="1:60" ht="21" x14ac:dyDescent="0.25">
      <c r="A36" s="166">
        <f t="shared" si="33"/>
        <v>44531</v>
      </c>
      <c r="B36" s="167">
        <v>59.2</v>
      </c>
      <c r="C36" s="168">
        <v>8.6</v>
      </c>
      <c r="D36" s="168">
        <v>2.2999999999999998</v>
      </c>
      <c r="E36" s="168">
        <v>22.9</v>
      </c>
      <c r="F36" s="168">
        <v>13.8</v>
      </c>
      <c r="G36" s="168">
        <f t="shared" si="17"/>
        <v>10.899999999999999</v>
      </c>
      <c r="H36" s="169">
        <f t="shared" si="18"/>
        <v>0.26744186046511625</v>
      </c>
      <c r="I36" s="170">
        <f>IF(D36&gt;0,IFERROR(GETPIVOTDATA("act_qty",RECPT!$A$23,"yymm","202112","unit","GUA","comm","L"),0),)</f>
        <v>828.6</v>
      </c>
      <c r="J36" s="119"/>
      <c r="K36" s="166">
        <f t="shared" si="34"/>
        <v>44531</v>
      </c>
      <c r="L36" s="167">
        <v>59.5</v>
      </c>
      <c r="M36" s="168">
        <v>7.3</v>
      </c>
      <c r="N36" s="168">
        <v>3</v>
      </c>
      <c r="O36" s="168">
        <v>19.8</v>
      </c>
      <c r="P36" s="168">
        <v>41.4</v>
      </c>
      <c r="Q36" s="168">
        <f t="shared" si="19"/>
        <v>10.3</v>
      </c>
      <c r="R36" s="169">
        <f t="shared" si="20"/>
        <v>0.41095890410958907</v>
      </c>
      <c r="S36" s="170">
        <f>IF(N36&gt;0,IFERROR(GETPIVOTDATA("act_qty",RECPT!$A$23,"yymm","202112","unit","GUA","comm","F"),0),)</f>
        <v>3333</v>
      </c>
      <c r="T36" s="104"/>
      <c r="U36" s="172">
        <f t="shared" si="21"/>
        <v>44531</v>
      </c>
      <c r="V36" s="167"/>
      <c r="W36" s="168"/>
      <c r="X36" s="168"/>
      <c r="Y36" s="168"/>
      <c r="Z36" s="168"/>
      <c r="AA36" s="168" t="str">
        <f t="shared" si="22"/>
        <v/>
      </c>
      <c r="AB36" s="169" t="str">
        <f t="shared" si="23"/>
        <v/>
      </c>
      <c r="AC36" s="170">
        <f>IF(X36&gt;0,IFERROR(GETPIVOTDATA("act_qty",RECPT!$A$23,"yymm","202112","unit","BAR","comm","L"),0),)</f>
        <v>0</v>
      </c>
      <c r="AD36" s="171"/>
      <c r="AE36" s="172">
        <f t="shared" si="24"/>
        <v>44531</v>
      </c>
      <c r="AF36" s="167">
        <v>0</v>
      </c>
      <c r="AG36" s="168">
        <v>0</v>
      </c>
      <c r="AH36" s="168">
        <v>0</v>
      </c>
      <c r="AI36" s="168">
        <v>0</v>
      </c>
      <c r="AJ36" s="168">
        <v>0</v>
      </c>
      <c r="AK36" s="168" t="str">
        <f t="shared" si="25"/>
        <v/>
      </c>
      <c r="AL36" s="169" t="str">
        <f t="shared" si="26"/>
        <v/>
      </c>
      <c r="AM36" s="170">
        <f>IF(AH36&gt;0,IFERROR(GETPIVOTDATA("act_qty",RECPT!$A$23,"yymm","202112","unit","BAR","comm","F"),0),)</f>
        <v>0</v>
      </c>
      <c r="AN36" s="104"/>
      <c r="AO36" s="172">
        <f t="shared" si="27"/>
        <v>44531</v>
      </c>
      <c r="AP36" s="167"/>
      <c r="AQ36" s="168"/>
      <c r="AR36" s="168"/>
      <c r="AS36" s="168"/>
      <c r="AT36" s="168"/>
      <c r="AU36" s="168" t="str">
        <f t="shared" si="28"/>
        <v/>
      </c>
      <c r="AV36" s="169" t="str">
        <f t="shared" si="29"/>
        <v/>
      </c>
      <c r="AW36" s="170">
        <f>IF(AR36&gt;0,IFERROR(GETPIVOTDATA("act_qty",RECPT!$A$23,"yymm","202112","unit","KAL","comm","L"),0),)</f>
        <v>0</v>
      </c>
      <c r="AX36" s="104"/>
      <c r="AY36" s="172">
        <f t="shared" si="32"/>
        <v>44531</v>
      </c>
      <c r="AZ36" s="167"/>
      <c r="BA36" s="168"/>
      <c r="BB36" s="168"/>
      <c r="BC36" s="168"/>
      <c r="BD36" s="168"/>
      <c r="BE36" s="168" t="str">
        <f t="shared" si="30"/>
        <v/>
      </c>
      <c r="BF36" s="169" t="str">
        <f t="shared" si="31"/>
        <v/>
      </c>
      <c r="BG36" s="170">
        <f>IF(BB36&gt;0,IFERROR(GETPIVOTDATA("act_qty",RECPT!$A$23,"yymm","202112","unit","KAL","comm","F"),0),)</f>
        <v>0</v>
      </c>
    </row>
    <row r="37" spans="1:60" ht="18.75" customHeight="1" x14ac:dyDescent="0.25">
      <c r="A37" s="166">
        <f t="shared" si="33"/>
        <v>44562</v>
      </c>
      <c r="B37" s="167">
        <v>0</v>
      </c>
      <c r="C37" s="168">
        <v>0</v>
      </c>
      <c r="D37" s="168">
        <v>0</v>
      </c>
      <c r="E37" s="168">
        <v>0</v>
      </c>
      <c r="F37" s="168">
        <v>0</v>
      </c>
      <c r="G37" s="168" t="str">
        <f t="shared" si="17"/>
        <v/>
      </c>
      <c r="H37" s="169" t="str">
        <f t="shared" si="18"/>
        <v/>
      </c>
      <c r="I37" s="170">
        <f>IF(D37&gt;0,IFERROR(GETPIVOTDATA("act_qty",RECPT!$A$23,"yymm","202201","unit","GUA","comm","L"),0),)</f>
        <v>0</v>
      </c>
      <c r="J37" s="119"/>
      <c r="K37" s="166">
        <f t="shared" si="34"/>
        <v>44562</v>
      </c>
      <c r="L37" s="167">
        <v>60.7</v>
      </c>
      <c r="M37" s="168">
        <v>5.05</v>
      </c>
      <c r="N37" s="168">
        <v>2.95</v>
      </c>
      <c r="O37" s="168">
        <v>6.35</v>
      </c>
      <c r="P37" s="168">
        <v>48.2</v>
      </c>
      <c r="Q37" s="168">
        <f t="shared" si="19"/>
        <v>8</v>
      </c>
      <c r="R37" s="169">
        <f t="shared" si="20"/>
        <v>0.58415841584158423</v>
      </c>
      <c r="S37" s="170">
        <f>IF(N37&gt;0,IFERROR(GETPIVOTDATA("act_qty",RECPT!$A$23,"yymm","202201","unit","GUA","comm","F"),0),)</f>
        <v>5501.2</v>
      </c>
      <c r="T37" s="104"/>
      <c r="U37" s="172">
        <f t="shared" si="21"/>
        <v>44562</v>
      </c>
      <c r="V37" s="167"/>
      <c r="W37" s="168"/>
      <c r="X37" s="168"/>
      <c r="Y37" s="168"/>
      <c r="Z37" s="168"/>
      <c r="AA37" s="168" t="str">
        <f t="shared" si="22"/>
        <v/>
      </c>
      <c r="AB37" s="169" t="str">
        <f t="shared" si="23"/>
        <v/>
      </c>
      <c r="AC37" s="170">
        <f>IF(X37&gt;0,IFERROR(GETPIVOTDATA("act_qty",RECPT!$A$23,"yymm","202201","unit","BAR","comm","L"),0),)</f>
        <v>0</v>
      </c>
      <c r="AD37" s="171"/>
      <c r="AE37" s="172">
        <f t="shared" si="24"/>
        <v>44562</v>
      </c>
      <c r="AF37" s="167">
        <v>0</v>
      </c>
      <c r="AG37" s="168">
        <v>0</v>
      </c>
      <c r="AH37" s="168">
        <v>0</v>
      </c>
      <c r="AI37" s="168">
        <v>0</v>
      </c>
      <c r="AJ37" s="168">
        <v>0</v>
      </c>
      <c r="AK37" s="168" t="str">
        <f t="shared" si="25"/>
        <v/>
      </c>
      <c r="AL37" s="169" t="str">
        <f t="shared" si="26"/>
        <v/>
      </c>
      <c r="AM37" s="170">
        <f>IF(AH37&gt;0,IFERROR(GETPIVOTDATA("act_qty",RECPT!$A$23,"yymm","202201","unit","BAR","comm","F"),0),)</f>
        <v>0</v>
      </c>
      <c r="AN37" s="104"/>
      <c r="AO37" s="172">
        <f t="shared" si="27"/>
        <v>44562</v>
      </c>
      <c r="AP37" s="167"/>
      <c r="AQ37" s="168"/>
      <c r="AR37" s="168"/>
      <c r="AS37" s="168"/>
      <c r="AT37" s="168"/>
      <c r="AU37" s="168" t="str">
        <f t="shared" si="28"/>
        <v/>
      </c>
      <c r="AV37" s="169" t="str">
        <f t="shared" si="29"/>
        <v/>
      </c>
      <c r="AW37" s="170">
        <f>IF(AR37&gt;0,IFERROR(GETPIVOTDATA("act_qty",RECPT!$A$23,"yymm","202201","unit","KAL","comm","L"),0),)</f>
        <v>0</v>
      </c>
      <c r="AX37" s="104"/>
      <c r="AY37" s="172">
        <f t="shared" si="32"/>
        <v>44562</v>
      </c>
      <c r="AZ37" s="167"/>
      <c r="BA37" s="168"/>
      <c r="BB37" s="168"/>
      <c r="BC37" s="168"/>
      <c r="BD37" s="168"/>
      <c r="BE37" s="168" t="str">
        <f t="shared" si="30"/>
        <v/>
      </c>
      <c r="BF37" s="169" t="str">
        <f t="shared" si="31"/>
        <v/>
      </c>
      <c r="BG37" s="170">
        <f>IF(BB37&gt;0,IFERROR(GETPIVOTDATA("act_qty",RECPT!$A$23,"yymm","202201","unit","KAL","comm","F"),0),)</f>
        <v>0</v>
      </c>
    </row>
    <row r="38" spans="1:60" ht="21" x14ac:dyDescent="0.25">
      <c r="A38" s="166">
        <f t="shared" si="33"/>
        <v>44593</v>
      </c>
      <c r="B38" s="167">
        <v>61.9</v>
      </c>
      <c r="C38" s="168">
        <v>2.7</v>
      </c>
      <c r="D38" s="168">
        <v>2.4</v>
      </c>
      <c r="E38" s="168">
        <v>16.600000000000001</v>
      </c>
      <c r="F38" s="168">
        <v>12.8</v>
      </c>
      <c r="G38" s="168">
        <f t="shared" si="17"/>
        <v>5.0999999999999996</v>
      </c>
      <c r="H38" s="169">
        <f t="shared" si="18"/>
        <v>0.88888888888888884</v>
      </c>
      <c r="I38" s="170">
        <f>IF(D38&gt;0,IFERROR(GETPIVOTDATA("act_qty",RECPT!$A$23,"yymm","202202","unit","GUA","comm","L"),0),)</f>
        <v>1038.2</v>
      </c>
      <c r="J38" s="119"/>
      <c r="K38" s="166">
        <f t="shared" si="34"/>
        <v>44593</v>
      </c>
      <c r="L38" s="167">
        <v>60.3</v>
      </c>
      <c r="M38" s="168">
        <v>5.5</v>
      </c>
      <c r="N38" s="168">
        <v>3.3</v>
      </c>
      <c r="O38" s="168">
        <v>3.2</v>
      </c>
      <c r="P38" s="168">
        <v>43.4</v>
      </c>
      <c r="Q38" s="168">
        <f t="shared" si="19"/>
        <v>8.8000000000000007</v>
      </c>
      <c r="R38" s="169">
        <f t="shared" si="20"/>
        <v>0.6</v>
      </c>
      <c r="S38" s="170">
        <f>IF(N38&gt;0,IFERROR(GETPIVOTDATA("act_qty",RECPT!$A$23,"yymm","202202","unit","GUA","comm","F"),0),)</f>
        <v>2868.2</v>
      </c>
      <c r="T38" s="104"/>
      <c r="U38" s="172">
        <f t="shared" si="21"/>
        <v>44593</v>
      </c>
      <c r="V38" s="167"/>
      <c r="W38" s="168"/>
      <c r="X38" s="168"/>
      <c r="Y38" s="168"/>
      <c r="Z38" s="168"/>
      <c r="AA38" s="168" t="str">
        <f t="shared" si="22"/>
        <v/>
      </c>
      <c r="AB38" s="169" t="str">
        <f t="shared" si="23"/>
        <v/>
      </c>
      <c r="AC38" s="170">
        <f>IF(X38&gt;0,IFERROR(GETPIVOTDATA("act_qty",RECPT!$A$23,"yymm","202202","unit","BAR","comm","L"),0),)</f>
        <v>0</v>
      </c>
      <c r="AD38" s="171"/>
      <c r="AE38" s="172">
        <f t="shared" si="24"/>
        <v>44593</v>
      </c>
      <c r="AF38" s="167">
        <v>0</v>
      </c>
      <c r="AG38" s="168">
        <v>0</v>
      </c>
      <c r="AH38" s="168">
        <v>0</v>
      </c>
      <c r="AI38" s="168">
        <v>0</v>
      </c>
      <c r="AJ38" s="168">
        <v>0</v>
      </c>
      <c r="AK38" s="168" t="str">
        <f t="shared" si="25"/>
        <v/>
      </c>
      <c r="AL38" s="169" t="str">
        <f t="shared" si="26"/>
        <v/>
      </c>
      <c r="AM38" s="170">
        <f>IF(AH38&gt;0,IFERROR(GETPIVOTDATA("act_qty",RECPT!$A$23,"yymm","202202","unit","BAR","comm","F"),0),)</f>
        <v>0</v>
      </c>
      <c r="AN38" s="104"/>
      <c r="AO38" s="172">
        <f t="shared" si="27"/>
        <v>44593</v>
      </c>
      <c r="AP38" s="167"/>
      <c r="AQ38" s="168"/>
      <c r="AR38" s="168"/>
      <c r="AS38" s="168"/>
      <c r="AT38" s="168"/>
      <c r="AU38" s="168" t="str">
        <f t="shared" si="28"/>
        <v/>
      </c>
      <c r="AV38" s="169" t="str">
        <f t="shared" si="29"/>
        <v/>
      </c>
      <c r="AW38" s="170">
        <f>IF(AR38&gt;0,IFERROR(GETPIVOTDATA("act_qty",RECPT!$A$23,"yymm","202202","unit","KAL","comm","L"),0),)</f>
        <v>0</v>
      </c>
      <c r="AX38" s="104"/>
      <c r="AY38" s="172">
        <f t="shared" si="32"/>
        <v>44593</v>
      </c>
      <c r="AZ38" s="167"/>
      <c r="BA38" s="168"/>
      <c r="BB38" s="168"/>
      <c r="BC38" s="168"/>
      <c r="BD38" s="168"/>
      <c r="BE38" s="168" t="str">
        <f t="shared" si="30"/>
        <v/>
      </c>
      <c r="BF38" s="169" t="str">
        <f t="shared" si="31"/>
        <v/>
      </c>
      <c r="BG38" s="170">
        <f>IF(BB38&gt;0,IFERROR(GETPIVOTDATA("act_qty",RECPT!$A$23,"yymm","202202","unit","KAL","comm","F"),0),)</f>
        <v>0</v>
      </c>
    </row>
    <row r="39" spans="1:60" ht="21.5" thickBot="1" x14ac:dyDescent="0.3">
      <c r="A39" s="166">
        <f t="shared" si="33"/>
        <v>44621</v>
      </c>
      <c r="B39" s="183">
        <v>61.95</v>
      </c>
      <c r="C39" s="184">
        <v>2.8</v>
      </c>
      <c r="D39" s="184">
        <v>2.0499999999999998</v>
      </c>
      <c r="E39" s="168">
        <v>8.1</v>
      </c>
      <c r="F39" s="168">
        <v>21.35</v>
      </c>
      <c r="G39" s="168">
        <f t="shared" si="17"/>
        <v>4.8499999999999996</v>
      </c>
      <c r="H39" s="169">
        <f t="shared" si="18"/>
        <v>0.7321428571428571</v>
      </c>
      <c r="I39" s="170">
        <f>IF(D39&gt;0,IFERROR(GETPIVOTDATA("act_qty",RECPT!$A$23,"yymm","202203","unit","GUA","comm","L"),0),)</f>
        <v>2341.3000000000002</v>
      </c>
      <c r="J39" s="119"/>
      <c r="K39" s="166">
        <f t="shared" si="34"/>
        <v>44621</v>
      </c>
      <c r="L39" s="183">
        <v>61.33</v>
      </c>
      <c r="M39" s="184">
        <v>4.87</v>
      </c>
      <c r="N39" s="184">
        <v>2.5</v>
      </c>
      <c r="O39" s="168">
        <v>7.43</v>
      </c>
      <c r="P39" s="168">
        <v>41.13</v>
      </c>
      <c r="Q39" s="168">
        <f t="shared" si="19"/>
        <v>7.37</v>
      </c>
      <c r="R39" s="169">
        <f t="shared" si="20"/>
        <v>0.51334702258726894</v>
      </c>
      <c r="S39" s="170">
        <f>IF(N39&gt;0,IFERROR(GETPIVOTDATA("act_qty",RECPT!$A$23,"yymm","202203","unit","GUA","comm","F"),0),)</f>
        <v>8911.7999999999993</v>
      </c>
      <c r="T39" s="104"/>
      <c r="U39" s="172">
        <f t="shared" si="21"/>
        <v>44621</v>
      </c>
      <c r="V39" s="183"/>
      <c r="W39" s="184"/>
      <c r="X39" s="184"/>
      <c r="Y39" s="168"/>
      <c r="Z39" s="168"/>
      <c r="AA39" s="168" t="str">
        <f t="shared" si="22"/>
        <v/>
      </c>
      <c r="AB39" s="169" t="str">
        <f t="shared" si="23"/>
        <v/>
      </c>
      <c r="AC39" s="170">
        <f>IF(X39&gt;0,IFERROR(GETPIVOTDATA("act_qty",RECPT!$A$23,"yymm","202203","unit","BAR","comm","L"),0),)</f>
        <v>0</v>
      </c>
      <c r="AD39" s="171"/>
      <c r="AE39" s="172">
        <f t="shared" si="24"/>
        <v>44621</v>
      </c>
      <c r="AF39" s="183">
        <v>0</v>
      </c>
      <c r="AG39" s="184">
        <v>0</v>
      </c>
      <c r="AH39" s="184">
        <v>0</v>
      </c>
      <c r="AI39" s="168">
        <v>0</v>
      </c>
      <c r="AJ39" s="168">
        <v>0</v>
      </c>
      <c r="AK39" s="168" t="str">
        <f t="shared" si="25"/>
        <v/>
      </c>
      <c r="AL39" s="169" t="str">
        <f t="shared" si="26"/>
        <v/>
      </c>
      <c r="AM39" s="170">
        <f>IF(AH39&gt;0,IFERROR(GETPIVOTDATA("act_qty",RECPT!$A$23,"yymm","202203","unit","BAR","comm","F"),0),)</f>
        <v>0</v>
      </c>
      <c r="AN39" s="104"/>
      <c r="AO39" s="185">
        <f t="shared" si="27"/>
        <v>44621</v>
      </c>
      <c r="AP39" s="183"/>
      <c r="AQ39" s="184"/>
      <c r="AR39" s="184"/>
      <c r="AS39" s="168"/>
      <c r="AT39" s="168"/>
      <c r="AU39" s="168" t="str">
        <f t="shared" si="28"/>
        <v/>
      </c>
      <c r="AV39" s="169" t="str">
        <f t="shared" si="29"/>
        <v/>
      </c>
      <c r="AW39" s="170">
        <f>IF(AR39&gt;0,IFERROR(GETPIVOTDATA("act_qty",RECPT!$A$23,"yymm","202203","unit","KAL","comm","L"),0),)</f>
        <v>0</v>
      </c>
      <c r="AX39" s="104"/>
      <c r="AY39" s="185">
        <f t="shared" si="32"/>
        <v>44621</v>
      </c>
      <c r="AZ39" s="183"/>
      <c r="BA39" s="184"/>
      <c r="BB39" s="184"/>
      <c r="BC39" s="168"/>
      <c r="BD39" s="168"/>
      <c r="BE39" s="168" t="str">
        <f t="shared" si="30"/>
        <v/>
      </c>
      <c r="BF39" s="169" t="str">
        <f t="shared" si="31"/>
        <v/>
      </c>
      <c r="BG39" s="235">
        <f>IF(BB39&gt;0,IFERROR(GETPIVOTDATA("act_qty",RECPT!$A$23,"yymm","202203","unit","KAL","comm","F"),0),)</f>
        <v>0</v>
      </c>
    </row>
    <row r="40" spans="1:60" ht="21.5" thickBot="1" x14ac:dyDescent="0.3">
      <c r="A40" s="191" t="s">
        <v>42</v>
      </c>
      <c r="B40" s="192">
        <v>60.19</v>
      </c>
      <c r="C40" s="192">
        <v>4.21</v>
      </c>
      <c r="D40" s="192">
        <v>3.23</v>
      </c>
      <c r="E40" s="192">
        <v>15.37</v>
      </c>
      <c r="F40" s="192">
        <v>15.63</v>
      </c>
      <c r="G40" s="193">
        <f t="shared" si="17"/>
        <v>7.4399999999999995</v>
      </c>
      <c r="H40" s="194">
        <f t="shared" si="18"/>
        <v>0.76722090261282661</v>
      </c>
      <c r="I40" s="195">
        <f>SUM(I28:I39)</f>
        <v>86601.3</v>
      </c>
      <c r="J40" s="119"/>
      <c r="K40" s="191" t="s">
        <v>42</v>
      </c>
      <c r="L40" s="192">
        <v>59.59</v>
      </c>
      <c r="M40" s="192">
        <v>5.46</v>
      </c>
      <c r="N40" s="192">
        <v>3.97</v>
      </c>
      <c r="O40" s="192">
        <v>6.05</v>
      </c>
      <c r="P40" s="192">
        <v>43.53</v>
      </c>
      <c r="Q40" s="193">
        <f t="shared" si="19"/>
        <v>9.43</v>
      </c>
      <c r="R40" s="194">
        <f t="shared" si="20"/>
        <v>0.72710622710622719</v>
      </c>
      <c r="S40" s="195">
        <f>SUM(S28:S39)</f>
        <v>154991.80000000002</v>
      </c>
      <c r="T40" s="104"/>
      <c r="U40" s="191" t="str">
        <f t="shared" si="21"/>
        <v>CUMML</v>
      </c>
      <c r="V40" s="192"/>
      <c r="W40" s="192"/>
      <c r="X40" s="192"/>
      <c r="Y40" s="192"/>
      <c r="Z40" s="192"/>
      <c r="AA40" s="193" t="str">
        <f t="shared" si="22"/>
        <v/>
      </c>
      <c r="AB40" s="194" t="str">
        <f t="shared" si="23"/>
        <v/>
      </c>
      <c r="AC40" s="195">
        <f>SUM(AC28:AC39)</f>
        <v>0</v>
      </c>
      <c r="AD40" s="171"/>
      <c r="AE40" s="196" t="str">
        <f t="shared" si="24"/>
        <v>CUMML</v>
      </c>
      <c r="AF40" s="192">
        <v>60.05</v>
      </c>
      <c r="AG40" s="192">
        <v>5.41</v>
      </c>
      <c r="AH40" s="192">
        <v>3.37</v>
      </c>
      <c r="AI40" s="192">
        <v>9.43</v>
      </c>
      <c r="AJ40" s="192">
        <v>44.12</v>
      </c>
      <c r="AK40" s="193">
        <f t="shared" si="25"/>
        <v>8.7800000000000011</v>
      </c>
      <c r="AL40" s="194">
        <f t="shared" si="26"/>
        <v>0.62292051756007394</v>
      </c>
      <c r="AM40" s="195">
        <f>SUM(AM28:AM39)</f>
        <v>27465.63</v>
      </c>
      <c r="AN40" s="104"/>
      <c r="AO40" s="197" t="str">
        <f t="shared" si="27"/>
        <v>CUMML</v>
      </c>
      <c r="AP40" s="192"/>
      <c r="AQ40" s="192"/>
      <c r="AR40" s="192"/>
      <c r="AS40" s="192"/>
      <c r="AT40" s="192"/>
      <c r="AU40" s="193" t="str">
        <f t="shared" si="28"/>
        <v/>
      </c>
      <c r="AV40" s="194" t="str">
        <f t="shared" si="29"/>
        <v/>
      </c>
      <c r="AW40" s="195">
        <f>SUM(AW28:AW39)</f>
        <v>0</v>
      </c>
      <c r="AX40" s="104"/>
      <c r="AY40" s="197" t="str">
        <f t="shared" si="32"/>
        <v>CUMML</v>
      </c>
      <c r="AZ40" s="192"/>
      <c r="BA40" s="192"/>
      <c r="BB40" s="192"/>
      <c r="BC40" s="192"/>
      <c r="BD40" s="192"/>
      <c r="BE40" s="193" t="str">
        <f t="shared" si="30"/>
        <v/>
      </c>
      <c r="BF40" s="194" t="str">
        <f t="shared" si="31"/>
        <v/>
      </c>
      <c r="BG40" s="195">
        <f>SUM(BG28:BG39)</f>
        <v>0</v>
      </c>
    </row>
    <row r="41" spans="1:60" s="7" customFormat="1" ht="15.75" customHeight="1" x14ac:dyDescent="0.4">
      <c r="A41" s="209"/>
      <c r="B41" s="205">
        <f>B35*1.4298+G35</f>
        <v>93.931839999999994</v>
      </c>
      <c r="C41" s="209"/>
      <c r="D41" s="209"/>
      <c r="E41" s="209"/>
      <c r="F41" s="209"/>
      <c r="G41" s="209"/>
      <c r="H41" s="209"/>
      <c r="I41" s="209"/>
      <c r="J41" s="209"/>
      <c r="K41" s="209"/>
      <c r="L41" s="205">
        <f>L35*1.4298+Q35</f>
        <v>94.772813999999997</v>
      </c>
      <c r="M41" s="209"/>
      <c r="N41" s="209"/>
      <c r="O41" s="209"/>
      <c r="P41" s="209"/>
      <c r="Q41" s="209"/>
      <c r="R41" s="209"/>
      <c r="S41" s="209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205">
        <f>AF35*1.4298+AK35</f>
        <v>95.481409999999997</v>
      </c>
      <c r="AG41" s="165"/>
      <c r="AH41" s="165"/>
      <c r="AI41" s="165"/>
      <c r="AJ41" s="165"/>
      <c r="AK41" s="165"/>
      <c r="AL41" s="165"/>
      <c r="AM41" s="165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16"/>
    </row>
    <row r="42" spans="1:60" s="18" customFormat="1" ht="26.25" customHeight="1" x14ac:dyDescent="0.4">
      <c r="A42" s="211"/>
      <c r="B42" s="212">
        <f>B40*1.4298+G40</f>
        <v>93.499661999999987</v>
      </c>
      <c r="C42" s="212"/>
      <c r="D42" s="212"/>
      <c r="E42" s="212"/>
      <c r="F42" s="212"/>
      <c r="G42" s="212"/>
      <c r="H42" s="212"/>
      <c r="I42" s="283"/>
      <c r="J42" s="212"/>
      <c r="K42" s="211"/>
      <c r="L42" s="212">
        <f>L40*1.4298+Q40</f>
        <v>94.631782000000015</v>
      </c>
      <c r="M42" s="212"/>
      <c r="N42" s="212"/>
      <c r="O42" s="212"/>
      <c r="P42" s="212"/>
      <c r="Q42" s="212"/>
      <c r="R42" s="212"/>
      <c r="S42" s="283"/>
      <c r="T42" s="213"/>
      <c r="U42" s="213"/>
      <c r="V42" s="212"/>
      <c r="W42" s="212"/>
      <c r="X42" s="212"/>
      <c r="Y42" s="212"/>
      <c r="Z42" s="212"/>
      <c r="AA42" s="212"/>
      <c r="AB42" s="212"/>
      <c r="AC42" s="283"/>
      <c r="AD42" s="213"/>
      <c r="AE42" s="213"/>
      <c r="AF42" s="212">
        <f>AF40*1.4298+AK40</f>
        <v>94.639489999999995</v>
      </c>
      <c r="AG42" s="212"/>
      <c r="AH42" s="212"/>
      <c r="AI42" s="212"/>
      <c r="AJ42" s="212"/>
      <c r="AK42" s="212"/>
      <c r="AL42" s="212"/>
      <c r="AM42" s="213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2"/>
      <c r="BH42" s="17"/>
    </row>
    <row r="43" spans="1:60" s="12" customFormat="1" ht="18.75" customHeight="1" x14ac:dyDescent="0.25">
      <c r="A43" s="221"/>
      <c r="B43" s="205"/>
      <c r="C43" s="205"/>
      <c r="D43" s="205"/>
      <c r="E43" s="205"/>
      <c r="F43" s="205"/>
      <c r="G43" s="205"/>
      <c r="H43" s="205"/>
      <c r="I43" s="222"/>
      <c r="J43" s="212"/>
      <c r="K43" s="221"/>
      <c r="L43" s="205"/>
      <c r="M43" s="205"/>
      <c r="N43" s="205"/>
      <c r="O43" s="205"/>
      <c r="P43" s="205"/>
      <c r="Q43" s="205"/>
      <c r="R43" s="205"/>
      <c r="S43" s="213"/>
      <c r="T43" s="213"/>
      <c r="U43" s="223"/>
      <c r="V43" s="224"/>
      <c r="W43" s="224"/>
      <c r="X43" s="224"/>
      <c r="Y43" s="224"/>
      <c r="Z43" s="224"/>
      <c r="AA43" s="224"/>
      <c r="AB43" s="224"/>
      <c r="AC43" s="224"/>
      <c r="AD43" s="213"/>
      <c r="AE43" s="223"/>
      <c r="AF43" s="224"/>
      <c r="AG43" s="224"/>
      <c r="AH43" s="224"/>
      <c r="AI43" s="224"/>
      <c r="AJ43" s="224"/>
      <c r="AK43" s="224"/>
      <c r="AL43" s="224"/>
      <c r="AM43" s="213"/>
      <c r="AN43" s="213"/>
      <c r="AO43" s="223"/>
      <c r="AP43" s="224"/>
      <c r="AQ43" s="224"/>
      <c r="AR43" s="224"/>
      <c r="AS43" s="224"/>
      <c r="AT43" s="224"/>
      <c r="AU43" s="224"/>
      <c r="AV43" s="224"/>
      <c r="AW43" s="213"/>
      <c r="AX43" s="213"/>
      <c r="AY43" s="223"/>
      <c r="AZ43" s="224"/>
      <c r="BA43" s="224"/>
      <c r="BB43" s="224"/>
      <c r="BC43" s="224"/>
      <c r="BD43" s="224"/>
      <c r="BE43" s="224"/>
      <c r="BF43" s="224"/>
      <c r="BG43" s="213"/>
    </row>
    <row r="44" spans="1:60" s="19" customFormat="1" ht="24.75" customHeight="1" x14ac:dyDescent="0.6">
      <c r="A44" s="586" t="s">
        <v>46</v>
      </c>
      <c r="B44" s="586"/>
      <c r="C44" s="586"/>
      <c r="D44" s="585" t="s">
        <v>30</v>
      </c>
      <c r="E44" s="585"/>
      <c r="F44" s="585"/>
      <c r="G44" s="246"/>
      <c r="H44" s="246"/>
      <c r="I44" s="246"/>
      <c r="J44" s="104"/>
      <c r="K44" s="586" t="s">
        <v>46</v>
      </c>
      <c r="L44" s="586"/>
      <c r="M44" s="586"/>
      <c r="N44" s="585" t="s">
        <v>31</v>
      </c>
      <c r="O44" s="585"/>
      <c r="P44" s="585"/>
      <c r="Q44" s="246"/>
      <c r="R44" s="246"/>
      <c r="S44" s="104"/>
      <c r="T44" s="104"/>
      <c r="U44" s="586" t="s">
        <v>47</v>
      </c>
      <c r="V44" s="586"/>
      <c r="W44" s="586"/>
      <c r="X44" s="585" t="s">
        <v>30</v>
      </c>
      <c r="Y44" s="585"/>
      <c r="Z44" s="585"/>
      <c r="AA44" s="246"/>
      <c r="AB44" s="246"/>
      <c r="AC44" s="246"/>
      <c r="AD44" s="104"/>
      <c r="AE44" s="586" t="s">
        <v>47</v>
      </c>
      <c r="AF44" s="586"/>
      <c r="AG44" s="586"/>
      <c r="AH44" s="585" t="s">
        <v>31</v>
      </c>
      <c r="AI44" s="585"/>
      <c r="AJ44" s="585"/>
      <c r="AK44" s="246"/>
      <c r="AL44" s="246"/>
      <c r="AM44" s="104"/>
      <c r="AN44" s="104"/>
      <c r="AO44" s="586" t="s">
        <v>48</v>
      </c>
      <c r="AP44" s="586"/>
      <c r="AQ44" s="586"/>
      <c r="AR44" s="585" t="s">
        <v>30</v>
      </c>
      <c r="AS44" s="585"/>
      <c r="AT44" s="585"/>
      <c r="AU44" s="246"/>
      <c r="AV44" s="246"/>
      <c r="AW44" s="246"/>
      <c r="AX44" s="104"/>
      <c r="AY44" s="586" t="s">
        <v>48</v>
      </c>
      <c r="AZ44" s="586"/>
      <c r="BA44" s="586"/>
      <c r="BB44" s="585" t="s">
        <v>31</v>
      </c>
      <c r="BC44" s="585"/>
      <c r="BD44" s="585"/>
      <c r="BE44" s="246"/>
      <c r="BF44" s="246"/>
      <c r="BG44" s="246"/>
    </row>
    <row r="45" spans="1:60" ht="13.5" thickBot="1" x14ac:dyDescent="0.3">
      <c r="A45" s="103"/>
      <c r="B45" s="103"/>
      <c r="C45" s="103"/>
      <c r="D45" s="103"/>
      <c r="E45" s="103"/>
      <c r="F45" s="103"/>
      <c r="G45" s="103"/>
      <c r="H45" s="103"/>
      <c r="I45" s="103"/>
      <c r="J45" s="104"/>
      <c r="K45" s="103"/>
      <c r="L45" s="103"/>
      <c r="M45" s="103"/>
      <c r="N45" s="103"/>
      <c r="O45" s="103"/>
      <c r="P45" s="103"/>
      <c r="Q45" s="103"/>
      <c r="R45" s="103"/>
      <c r="S45" s="104"/>
      <c r="T45" s="104"/>
      <c r="U45" s="103"/>
      <c r="V45" s="103"/>
      <c r="W45" s="103"/>
      <c r="X45" s="103"/>
      <c r="Y45" s="103"/>
      <c r="Z45" s="103"/>
      <c r="AA45" s="103"/>
      <c r="AB45" s="103"/>
      <c r="AC45" s="103"/>
      <c r="AD45" s="104"/>
      <c r="AE45" s="103"/>
      <c r="AF45" s="103"/>
      <c r="AG45" s="103"/>
      <c r="AH45" s="103"/>
      <c r="AI45" s="103"/>
      <c r="AJ45" s="103"/>
      <c r="AK45" s="103"/>
      <c r="AL45" s="103"/>
      <c r="AM45" s="104"/>
      <c r="AN45" s="104"/>
      <c r="AO45" s="103"/>
      <c r="AP45" s="103"/>
      <c r="AQ45" s="103"/>
      <c r="AR45" s="103"/>
      <c r="AS45" s="103"/>
      <c r="AT45" s="103"/>
      <c r="AU45" s="103"/>
      <c r="AV45" s="103"/>
      <c r="AW45" s="103"/>
      <c r="AX45" s="104"/>
      <c r="AY45" s="103"/>
      <c r="AZ45" s="103"/>
      <c r="BA45" s="103"/>
      <c r="BB45" s="103"/>
      <c r="BC45" s="103"/>
      <c r="BD45" s="103"/>
      <c r="BE45" s="103"/>
      <c r="BF45" s="103"/>
      <c r="BG45" s="103"/>
    </row>
    <row r="46" spans="1:60" ht="25" thickBot="1" x14ac:dyDescent="0.3">
      <c r="A46" s="119"/>
      <c r="B46" s="120" t="s">
        <v>34</v>
      </c>
      <c r="C46" s="121" t="s">
        <v>35</v>
      </c>
      <c r="D46" s="121" t="s">
        <v>36</v>
      </c>
      <c r="E46" s="121" t="s">
        <v>37</v>
      </c>
      <c r="F46" s="121" t="s">
        <v>38</v>
      </c>
      <c r="G46" s="124" t="s">
        <v>39</v>
      </c>
      <c r="H46" s="121" t="s">
        <v>40</v>
      </c>
      <c r="I46" s="123" t="s">
        <v>41</v>
      </c>
      <c r="J46" s="104"/>
      <c r="K46" s="119"/>
      <c r="L46" s="120" t="s">
        <v>34</v>
      </c>
      <c r="M46" s="121" t="s">
        <v>35</v>
      </c>
      <c r="N46" s="121" t="s">
        <v>36</v>
      </c>
      <c r="O46" s="121" t="s">
        <v>37</v>
      </c>
      <c r="P46" s="121" t="s">
        <v>38</v>
      </c>
      <c r="Q46" s="124" t="s">
        <v>39</v>
      </c>
      <c r="R46" s="121" t="s">
        <v>40</v>
      </c>
      <c r="S46" s="123" t="s">
        <v>41</v>
      </c>
      <c r="T46" s="104"/>
      <c r="U46" s="119"/>
      <c r="V46" s="120" t="s">
        <v>34</v>
      </c>
      <c r="W46" s="121" t="s">
        <v>35</v>
      </c>
      <c r="X46" s="121" t="s">
        <v>36</v>
      </c>
      <c r="Y46" s="121" t="s">
        <v>37</v>
      </c>
      <c r="Z46" s="121" t="s">
        <v>38</v>
      </c>
      <c r="AA46" s="124" t="s">
        <v>39</v>
      </c>
      <c r="AB46" s="121" t="s">
        <v>40</v>
      </c>
      <c r="AC46" s="123" t="s">
        <v>41</v>
      </c>
      <c r="AD46" s="104"/>
      <c r="AE46" s="119"/>
      <c r="AF46" s="120" t="s">
        <v>34</v>
      </c>
      <c r="AG46" s="121" t="s">
        <v>35</v>
      </c>
      <c r="AH46" s="121" t="s">
        <v>36</v>
      </c>
      <c r="AI46" s="121" t="s">
        <v>37</v>
      </c>
      <c r="AJ46" s="121" t="s">
        <v>38</v>
      </c>
      <c r="AK46" s="124" t="s">
        <v>39</v>
      </c>
      <c r="AL46" s="121" t="s">
        <v>40</v>
      </c>
      <c r="AM46" s="123" t="s">
        <v>41</v>
      </c>
      <c r="AN46" s="104"/>
      <c r="AO46" s="126"/>
      <c r="AP46" s="120" t="s">
        <v>34</v>
      </c>
      <c r="AQ46" s="121" t="s">
        <v>35</v>
      </c>
      <c r="AR46" s="121" t="s">
        <v>36</v>
      </c>
      <c r="AS46" s="121" t="s">
        <v>37</v>
      </c>
      <c r="AT46" s="125" t="s">
        <v>38</v>
      </c>
      <c r="AU46" s="124" t="s">
        <v>39</v>
      </c>
      <c r="AV46" s="121" t="s">
        <v>40</v>
      </c>
      <c r="AW46" s="250" t="s">
        <v>41</v>
      </c>
      <c r="AX46" s="251"/>
      <c r="AY46" s="126"/>
      <c r="AZ46" s="120" t="s">
        <v>34</v>
      </c>
      <c r="BA46" s="121" t="s">
        <v>35</v>
      </c>
      <c r="BB46" s="121" t="s">
        <v>36</v>
      </c>
      <c r="BC46" s="121" t="s">
        <v>37</v>
      </c>
      <c r="BD46" s="125" t="s">
        <v>38</v>
      </c>
      <c r="BE46" s="124" t="s">
        <v>39</v>
      </c>
      <c r="BF46" s="121" t="s">
        <v>40</v>
      </c>
      <c r="BG46" s="250" t="s">
        <v>41</v>
      </c>
      <c r="BH46" s="20"/>
    </row>
    <row r="47" spans="1:60" ht="21.5" thickBot="1" x14ac:dyDescent="0.3">
      <c r="A47" s="132" t="str">
        <f>A5</f>
        <v>Act 20-21</v>
      </c>
      <c r="B47" s="133"/>
      <c r="C47" s="133"/>
      <c r="D47" s="133"/>
      <c r="E47" s="168"/>
      <c r="F47" s="168"/>
      <c r="G47" s="134" t="str">
        <f t="shared" ref="G47:G61" si="35">IF(C47&gt;0,+D47+C47,"")</f>
        <v/>
      </c>
      <c r="H47" s="134" t="str">
        <f t="shared" ref="H47:H61" si="36">IF(C47&gt;0,+D47/C47,"")</f>
        <v/>
      </c>
      <c r="I47" s="135"/>
      <c r="J47" s="104"/>
      <c r="K47" s="132" t="str">
        <f>A5</f>
        <v>Act 20-21</v>
      </c>
      <c r="L47" s="133"/>
      <c r="M47" s="133"/>
      <c r="N47" s="133"/>
      <c r="O47" s="168"/>
      <c r="P47" s="168"/>
      <c r="Q47" s="134" t="str">
        <f t="shared" ref="Q47:Q61" si="37">IF(M47&gt;0,+N47+M47,"")</f>
        <v/>
      </c>
      <c r="R47" s="134" t="str">
        <f t="shared" ref="R47:R61" si="38">IF(M47&gt;0,+N47/M47,"")</f>
        <v/>
      </c>
      <c r="S47" s="135"/>
      <c r="T47" s="104"/>
      <c r="U47" s="132" t="str">
        <f>K47</f>
        <v>Act 20-21</v>
      </c>
      <c r="V47" s="133"/>
      <c r="W47" s="133"/>
      <c r="X47" s="133"/>
      <c r="Y47" s="168"/>
      <c r="Z47" s="168"/>
      <c r="AA47" s="134" t="str">
        <f t="shared" ref="AA47:AA61" si="39">IF(W47&gt;0,+X47+W47,"")</f>
        <v/>
      </c>
      <c r="AB47" s="134" t="str">
        <f t="shared" ref="AB47:AB61" si="40">IF(W47&gt;0,+X47/W47,"")</f>
        <v/>
      </c>
      <c r="AC47" s="135"/>
      <c r="AD47" s="104"/>
      <c r="AE47" s="132" t="str">
        <f>K47</f>
        <v>Act 20-21</v>
      </c>
      <c r="AF47" s="139"/>
      <c r="AG47" s="134"/>
      <c r="AH47" s="134"/>
      <c r="AI47" s="168"/>
      <c r="AJ47" s="168"/>
      <c r="AK47" s="134" t="str">
        <f t="shared" ref="AK47:AK61" si="41">IF(AG47&gt;0,+AH47+AG47,"")</f>
        <v/>
      </c>
      <c r="AL47" s="134" t="str">
        <f t="shared" ref="AL47:AL61" si="42">IF(AG47&gt;0,+AH47/AG47,"")</f>
        <v/>
      </c>
      <c r="AM47" s="140"/>
      <c r="AN47" s="104"/>
      <c r="AO47" s="136" t="str">
        <f>AE47</f>
        <v>Act 20-21</v>
      </c>
      <c r="AP47" s="133">
        <v>62.043251538089812</v>
      </c>
      <c r="AQ47" s="133">
        <v>2.9856041879164681</v>
      </c>
      <c r="AR47" s="133">
        <v>2.017751000201284</v>
      </c>
      <c r="AS47" s="133">
        <v>27.577020301051725</v>
      </c>
      <c r="AT47" s="133">
        <v>11.25</v>
      </c>
      <c r="AU47" s="134">
        <f t="shared" ref="AU47:AU61" si="43">IF(AQ47&gt;0,+AR47+AQ47,"")</f>
        <v>5.0033551881177516</v>
      </c>
      <c r="AV47" s="134">
        <f t="shared" ref="AV47:AV48" si="44">IF(AQ47=0,0,AR47/AQ47)</f>
        <v>0.67582669141732099</v>
      </c>
      <c r="AW47" s="140"/>
      <c r="AX47" s="104"/>
      <c r="AY47" s="136" t="str">
        <f>+AO47</f>
        <v>Act 20-21</v>
      </c>
      <c r="AZ47" s="133">
        <v>62.021920805798295</v>
      </c>
      <c r="BA47" s="133">
        <v>3.5073847611649476</v>
      </c>
      <c r="BB47" s="133">
        <v>2.5535585882195715</v>
      </c>
      <c r="BC47" s="133">
        <v>9.6980857000595382</v>
      </c>
      <c r="BD47" s="133">
        <v>39.894087729775805</v>
      </c>
      <c r="BE47" s="134">
        <f t="shared" ref="BE47:BE61" si="45">IF(BA47&gt;0,+BB47+BA47,"")</f>
        <v>6.0609433493845195</v>
      </c>
      <c r="BF47" s="134">
        <f t="shared" ref="BF47:BF48" si="46">IF(BA47=0,0,BB47/BA47)</f>
        <v>0.72805202796496982</v>
      </c>
      <c r="BG47" s="140"/>
    </row>
    <row r="48" spans="1:60" ht="21" x14ac:dyDescent="0.25">
      <c r="A48" s="145" t="str">
        <f>A6</f>
        <v>APP 21-22</v>
      </c>
      <c r="B48" s="146">
        <f t="array" ref="B48:F48">BSP!B48:F48</f>
        <v>62.5</v>
      </c>
      <c r="C48" s="147">
        <v>2.4</v>
      </c>
      <c r="D48" s="147">
        <v>2.4</v>
      </c>
      <c r="E48" s="147">
        <v>5</v>
      </c>
      <c r="F48" s="147">
        <v>10</v>
      </c>
      <c r="G48" s="147">
        <f t="shared" si="35"/>
        <v>4.8</v>
      </c>
      <c r="H48" s="148">
        <f t="shared" si="36"/>
        <v>1</v>
      </c>
      <c r="I48" s="149"/>
      <c r="J48" s="153"/>
      <c r="K48" s="145" t="str">
        <f>A6</f>
        <v>APP 21-22</v>
      </c>
      <c r="L48" s="146">
        <f t="array" ref="L48:P48">BSP!L48:P48</f>
        <v>62.2</v>
      </c>
      <c r="M48" s="147">
        <v>3</v>
      </c>
      <c r="N48" s="147">
        <v>3</v>
      </c>
      <c r="O48" s="147">
        <v>5</v>
      </c>
      <c r="P48" s="147">
        <v>40</v>
      </c>
      <c r="Q48" s="147">
        <f t="shared" si="37"/>
        <v>6</v>
      </c>
      <c r="R48" s="148">
        <f t="shared" si="38"/>
        <v>1</v>
      </c>
      <c r="S48" s="149"/>
      <c r="T48" s="104"/>
      <c r="U48" s="145" t="str">
        <f>K48</f>
        <v>APP 21-22</v>
      </c>
      <c r="V48" s="146">
        <f t="array" ref="V48:Z48">BSP!V48:AA48</f>
        <v>63</v>
      </c>
      <c r="W48" s="147">
        <v>2.5</v>
      </c>
      <c r="X48" s="147">
        <v>2.2000000000000002</v>
      </c>
      <c r="Y48" s="147">
        <v>10</v>
      </c>
      <c r="Z48" s="147">
        <v>10</v>
      </c>
      <c r="AA48" s="147">
        <f t="shared" si="39"/>
        <v>4.7</v>
      </c>
      <c r="AB48" s="148">
        <f t="shared" si="40"/>
        <v>0.88000000000000012</v>
      </c>
      <c r="AC48" s="149"/>
      <c r="AD48" s="153"/>
      <c r="AE48" s="145" t="str">
        <f>K48</f>
        <v>APP 21-22</v>
      </c>
      <c r="AF48" s="147">
        <f t="array" ref="AF48:AJ48">BSP!AF48:AJ48</f>
        <v>63</v>
      </c>
      <c r="AG48" s="147">
        <v>2.8</v>
      </c>
      <c r="AH48" s="147">
        <v>2.4</v>
      </c>
      <c r="AI48" s="147">
        <v>5</v>
      </c>
      <c r="AJ48" s="147">
        <v>40</v>
      </c>
      <c r="AK48" s="147">
        <f t="shared" si="41"/>
        <v>5.1999999999999993</v>
      </c>
      <c r="AL48" s="154">
        <f t="shared" si="42"/>
        <v>0.85714285714285721</v>
      </c>
      <c r="AM48" s="155"/>
      <c r="AN48" s="104"/>
      <c r="AO48" s="156" t="str">
        <f t="shared" ref="AO48:AO61" si="47">K48</f>
        <v>APP 21-22</v>
      </c>
      <c r="AP48" s="146">
        <v>62.5</v>
      </c>
      <c r="AQ48" s="147">
        <v>3</v>
      </c>
      <c r="AR48" s="147">
        <v>2.2000000000000002</v>
      </c>
      <c r="AS48" s="147">
        <v>10</v>
      </c>
      <c r="AT48" s="147">
        <v>10</v>
      </c>
      <c r="AU48" s="147">
        <f t="shared" si="43"/>
        <v>5.2</v>
      </c>
      <c r="AV48" s="148">
        <f t="shared" si="44"/>
        <v>0.73333333333333339</v>
      </c>
      <c r="AW48" s="155">
        <f t="shared" ref="AW48:AW60" si="48">+I6+I27+I48+AC6+AC27+AC48+AW6+AW27</f>
        <v>0</v>
      </c>
      <c r="AX48" s="152"/>
      <c r="AY48" s="156" t="str">
        <f>+AO48</f>
        <v>APP 21-22</v>
      </c>
      <c r="AZ48" s="146">
        <v>62.016855631141347</v>
      </c>
      <c r="BA48" s="147">
        <v>3.6133786848072562</v>
      </c>
      <c r="BB48" s="147">
        <v>2.5377928949357522</v>
      </c>
      <c r="BC48" s="147">
        <v>5</v>
      </c>
      <c r="BD48" s="147">
        <v>40</v>
      </c>
      <c r="BE48" s="147">
        <f t="shared" si="45"/>
        <v>6.1511715797430089</v>
      </c>
      <c r="BF48" s="148">
        <f t="shared" si="46"/>
        <v>0.70233239200920405</v>
      </c>
      <c r="BG48" s="155">
        <f t="shared" ref="BG48:BG60" si="49">+S6+S27+S48+AM6+AM27+AM48+BG6+BG27</f>
        <v>0</v>
      </c>
    </row>
    <row r="49" spans="1:59" ht="21" x14ac:dyDescent="0.25">
      <c r="A49" s="166">
        <f>A7</f>
        <v>44287</v>
      </c>
      <c r="B49" s="167"/>
      <c r="C49" s="168"/>
      <c r="D49" s="168"/>
      <c r="E49" s="168"/>
      <c r="F49" s="168"/>
      <c r="G49" s="168" t="str">
        <f t="shared" si="35"/>
        <v/>
      </c>
      <c r="H49" s="169" t="str">
        <f t="shared" si="36"/>
        <v/>
      </c>
      <c r="I49" s="170">
        <f>IF(D49&gt;0,IFERROR(GETPIVOTDATA("act_qty",RECPT!$A$23,"yymm","202104","unit","TAL","comm","L"),0),)</f>
        <v>0</v>
      </c>
      <c r="J49" s="171"/>
      <c r="K49" s="166">
        <f>A7</f>
        <v>44287</v>
      </c>
      <c r="L49" s="167"/>
      <c r="M49" s="168"/>
      <c r="N49" s="168"/>
      <c r="O49" s="168"/>
      <c r="P49" s="168"/>
      <c r="Q49" s="168" t="str">
        <f t="shared" si="37"/>
        <v/>
      </c>
      <c r="R49" s="169" t="str">
        <f t="shared" si="38"/>
        <v/>
      </c>
      <c r="S49" s="170">
        <f>IF(N49&gt;0,IFERROR(GETPIVOTDATA("act_qty",RECPT!$A$23,"yymm","202104","unit","TAL","comm","F"),0),)</f>
        <v>0</v>
      </c>
      <c r="T49" s="104"/>
      <c r="U49" s="166">
        <f>A7</f>
        <v>44287</v>
      </c>
      <c r="V49" s="167"/>
      <c r="W49" s="168"/>
      <c r="X49" s="168"/>
      <c r="Y49" s="168"/>
      <c r="Z49" s="168"/>
      <c r="AA49" s="168" t="str">
        <f t="shared" si="39"/>
        <v/>
      </c>
      <c r="AB49" s="169" t="str">
        <f t="shared" si="40"/>
        <v/>
      </c>
      <c r="AC49" s="170">
        <f>IF(X49&gt;0,IFERROR(GETPIVOTDATA("act_qty",RECPT!$A$23,"yymm","202104","unit","MPR","comm","L"),0),)</f>
        <v>0</v>
      </c>
      <c r="AD49" s="171"/>
      <c r="AE49" s="166">
        <f>A7</f>
        <v>44287</v>
      </c>
      <c r="AF49" s="167"/>
      <c r="AG49" s="168"/>
      <c r="AH49" s="168"/>
      <c r="AI49" s="168"/>
      <c r="AJ49" s="168"/>
      <c r="AK49" s="168" t="str">
        <f t="shared" si="41"/>
        <v/>
      </c>
      <c r="AL49" s="169" t="str">
        <f t="shared" si="42"/>
        <v/>
      </c>
      <c r="AM49" s="170">
        <f>IF(AH49&gt;0,IFERROR(GETPIVOTDATA("act_qty",RECPT!$A$23,"yymm","202104","unit","MPR","comm","F"),0),)</f>
        <v>0</v>
      </c>
      <c r="AN49" s="104"/>
      <c r="AO49" s="172">
        <f t="shared" si="47"/>
        <v>44287</v>
      </c>
      <c r="AP49" s="167">
        <f t="shared" ref="AP49:AP60" si="50">IF(AW49=0,0,(B7*$I7+B28*$I28+B49*$I49+V7*$AC7+V28*$AC28+V49*$AC49+AP7*$AW7+AP28*$AW28)/$AW49)</f>
        <v>60.746461520333277</v>
      </c>
      <c r="AQ49" s="168">
        <f t="shared" ref="AQ49:AQ60" si="51">IF(AW49=0,0,(C7*$I7+C28*$I28+C49*$I49+W7*$AC7+W28*$AC28+W49*$AC49+AQ7*$AW7+AQ28*$AW28)/$AW49)</f>
        <v>3.1188774597805518</v>
      </c>
      <c r="AR49" s="168">
        <f t="shared" ref="AR49:AR60" si="52">IF(AW49=0,0,(D7*$I7+D28*$I28+D49*$I49+X7*$AC7+X28*$AC28+X49*$AC49+AR7*$AW7+AR28*$AW28)/$AW49)</f>
        <v>3.3163043854967387</v>
      </c>
      <c r="AS49" s="168">
        <f t="shared" ref="AS49:AS60" si="53">IF(AW49=0,0,(E7*$I7+E28*$I28+E49*$I49+Y7*$AC7+Y28*$AC28+Y49*$AC49+AS7*$AW7+AS28*$AW28)/$AW49)</f>
        <v>23.955180251055303</v>
      </c>
      <c r="AT49" s="168">
        <f t="shared" ref="AT49:AT60" si="54">IF(AW49=0,0,(F7*$I7+F28*$I28+F49*$I49+Z7*$AC7+Z28*$AC28+Z49*$AC49+AT7*$AW7+AT28*$AW28)/$AW49)</f>
        <v>14.913578127274366</v>
      </c>
      <c r="AU49" s="168">
        <f t="shared" si="43"/>
        <v>6.43518184527729</v>
      </c>
      <c r="AV49" s="169">
        <f t="shared" ref="AV49:AV60" si="55">IF(AQ49=0,0,AR49/AQ49)</f>
        <v>1.0633006356492372</v>
      </c>
      <c r="AW49" s="170">
        <f t="shared" si="48"/>
        <v>144271</v>
      </c>
      <c r="AX49" s="104"/>
      <c r="AY49" s="172">
        <f t="shared" ref="AY49:AY60" si="56">AO49</f>
        <v>44287</v>
      </c>
      <c r="AZ49" s="167">
        <f t="shared" ref="AZ49:AZ60" si="57">IF(BG49=0,0,((L7*$S7+L28*$S28+L49*$S49+AF7*$AM7+AF28*$AM28+AF49*$AM49+AZ7*$BG7+AZ28*$BG28)/$BG49))</f>
        <v>60.242656926756744</v>
      </c>
      <c r="BA49" s="168">
        <f t="shared" ref="BA49:BA60" si="58">IF(BG49=0,0,((M7*$S7+M28*$S28+M49*$S49+AG7*$AM7+AG28*$AM28+AG49*$AM49+BA7*$BG7+BA28*$BG28)/$BG49))</f>
        <v>4.5003957592604564</v>
      </c>
      <c r="BB49" s="168">
        <f t="shared" ref="BB49:BB60" si="59">IF(BG49=0,0,((N7*$S7+N28*$S28+N49*$S49+AH7*$AM7+AH28*$AM28+AH49*$AM49+BB7*$BG7+BB28*$BG28)/$BG49))</f>
        <v>3.9448190574697786</v>
      </c>
      <c r="BC49" s="168">
        <f t="shared" ref="BC49:BC60" si="60">IF(BG49=0,0,((O7*$S7+O28*$S28+O49*$S49+AI7*$AM7+AI28*$AM28+AI49*$AM49+BC7*$BG7+BC28*$BG28)/$BG49))</f>
        <v>6.8713816881073981</v>
      </c>
      <c r="BD49" s="168">
        <f t="shared" ref="BD49:BD60" si="61">IF(BG49=0,0,((P7*$S7+P28*$S28+P49*$S49+AJ7*$AM7+AJ28*$AM28+AJ49*$AM49+BD7*$BG7+BD28*$BG28)/$BG49))</f>
        <v>44.438176956062662</v>
      </c>
      <c r="BE49" s="168">
        <f t="shared" si="45"/>
        <v>8.4452148167302354</v>
      </c>
      <c r="BF49" s="169">
        <f t="shared" ref="BF49:BF60" si="62">IF(BA49=0,0,BB49/BA49)</f>
        <v>0.87654936776449743</v>
      </c>
      <c r="BG49" s="170">
        <f t="shared" si="49"/>
        <v>232035</v>
      </c>
    </row>
    <row r="50" spans="1:59" ht="21" x14ac:dyDescent="0.25">
      <c r="A50" s="166">
        <f t="shared" ref="A50:A60" si="63">A8</f>
        <v>44317</v>
      </c>
      <c r="B50" s="167"/>
      <c r="C50" s="168"/>
      <c r="D50" s="168"/>
      <c r="E50" s="168"/>
      <c r="F50" s="168"/>
      <c r="G50" s="168" t="str">
        <f t="shared" si="35"/>
        <v/>
      </c>
      <c r="H50" s="169" t="str">
        <f t="shared" si="36"/>
        <v/>
      </c>
      <c r="I50" s="170">
        <f>IF(D50&gt;0,IFERROR(GETPIVOTDATA("act_qty",RECPT!$A$23,"yymm","202105","unit","TAL","comm","L"),0),)</f>
        <v>0</v>
      </c>
      <c r="J50" s="171"/>
      <c r="K50" s="166">
        <f t="shared" ref="K50:K60" si="64">A8</f>
        <v>44317</v>
      </c>
      <c r="L50" s="167"/>
      <c r="M50" s="168"/>
      <c r="N50" s="168"/>
      <c r="O50" s="168"/>
      <c r="P50" s="168"/>
      <c r="Q50" s="168" t="str">
        <f t="shared" si="37"/>
        <v/>
      </c>
      <c r="R50" s="169" t="str">
        <f t="shared" si="38"/>
        <v/>
      </c>
      <c r="S50" s="170">
        <f>IF(N50&gt;0,IFERROR(GETPIVOTDATA("act_qty",RECPT!$A$23,"yymm","202105","unit","TAL","comm","F"),0),)</f>
        <v>0</v>
      </c>
      <c r="T50" s="104"/>
      <c r="U50" s="166">
        <f t="shared" ref="U50:U60" si="65">A8</f>
        <v>44317</v>
      </c>
      <c r="V50" s="167"/>
      <c r="W50" s="168"/>
      <c r="X50" s="168"/>
      <c r="Y50" s="168"/>
      <c r="Z50" s="168"/>
      <c r="AA50" s="168" t="str">
        <f t="shared" si="39"/>
        <v/>
      </c>
      <c r="AB50" s="169" t="str">
        <f t="shared" si="40"/>
        <v/>
      </c>
      <c r="AC50" s="170">
        <f>IF(X50&gt;0,IFERROR(GETPIVOTDATA("act_qty",RECPT!$A$23,"yymm","202105","unit","MPR","comm","L"),0),)</f>
        <v>0</v>
      </c>
      <c r="AD50" s="171"/>
      <c r="AE50" s="166">
        <f t="shared" ref="AE50:AE60" si="66">A8</f>
        <v>44317</v>
      </c>
      <c r="AF50" s="167"/>
      <c r="AG50" s="168"/>
      <c r="AH50" s="168"/>
      <c r="AI50" s="168"/>
      <c r="AJ50" s="168"/>
      <c r="AK50" s="168" t="str">
        <f t="shared" si="41"/>
        <v/>
      </c>
      <c r="AL50" s="169" t="str">
        <f t="shared" si="42"/>
        <v/>
      </c>
      <c r="AM50" s="170">
        <f>IF(AH50&gt;0,IFERROR(GETPIVOTDATA("act_qty",RECPT!$A$23,"yymm","202105","unit","MPR","comm","F"),0),)</f>
        <v>0</v>
      </c>
      <c r="AN50" s="104"/>
      <c r="AO50" s="172">
        <f t="shared" si="47"/>
        <v>44317</v>
      </c>
      <c r="AP50" s="167">
        <f t="shared" si="50"/>
        <v>61.842426649880252</v>
      </c>
      <c r="AQ50" s="168">
        <f t="shared" si="51"/>
        <v>2.5345885519546769</v>
      </c>
      <c r="AR50" s="168">
        <f t="shared" si="52"/>
        <v>2.4452150759368192</v>
      </c>
      <c r="AS50" s="168">
        <f t="shared" si="53"/>
        <v>24.309323840326464</v>
      </c>
      <c r="AT50" s="168">
        <f t="shared" si="54"/>
        <v>14.682539813468203</v>
      </c>
      <c r="AU50" s="168">
        <f t="shared" si="43"/>
        <v>4.9798036278914957</v>
      </c>
      <c r="AV50" s="169">
        <f t="shared" si="55"/>
        <v>0.96473846772923644</v>
      </c>
      <c r="AW50" s="170">
        <f t="shared" si="48"/>
        <v>138207</v>
      </c>
      <c r="AX50" s="104"/>
      <c r="AY50" s="172">
        <f t="shared" si="56"/>
        <v>44317</v>
      </c>
      <c r="AZ50" s="167">
        <f t="shared" si="57"/>
        <v>61.730684472961173</v>
      </c>
      <c r="BA50" s="168">
        <f t="shared" si="58"/>
        <v>3.2973850240743818</v>
      </c>
      <c r="BB50" s="168">
        <f t="shared" si="59"/>
        <v>3.0224815626121373</v>
      </c>
      <c r="BC50" s="168">
        <f t="shared" si="60"/>
        <v>6.4411758688468401</v>
      </c>
      <c r="BD50" s="168">
        <f t="shared" si="61"/>
        <v>42.804710384386738</v>
      </c>
      <c r="BE50" s="168">
        <f t="shared" si="45"/>
        <v>6.3198665866865191</v>
      </c>
      <c r="BF50" s="169">
        <f t="shared" si="62"/>
        <v>0.91662985685470155</v>
      </c>
      <c r="BG50" s="170">
        <f t="shared" si="49"/>
        <v>186713</v>
      </c>
    </row>
    <row r="51" spans="1:59" ht="21" x14ac:dyDescent="0.25">
      <c r="A51" s="166">
        <f t="shared" si="63"/>
        <v>44348</v>
      </c>
      <c r="B51" s="167"/>
      <c r="C51" s="168"/>
      <c r="D51" s="168"/>
      <c r="E51" s="168"/>
      <c r="F51" s="168"/>
      <c r="G51" s="168" t="str">
        <f t="shared" si="35"/>
        <v/>
      </c>
      <c r="H51" s="169" t="str">
        <f t="shared" si="36"/>
        <v/>
      </c>
      <c r="I51" s="170">
        <f>IF(D51&gt;0,IFERROR(GETPIVOTDATA("act_qty",RECPT!$A$23,"yymm","202106","unit","TAL","comm","L"),0),)</f>
        <v>0</v>
      </c>
      <c r="J51" s="171"/>
      <c r="K51" s="166">
        <f t="shared" si="64"/>
        <v>44348</v>
      </c>
      <c r="L51" s="167"/>
      <c r="M51" s="168"/>
      <c r="N51" s="168"/>
      <c r="O51" s="168"/>
      <c r="P51" s="168"/>
      <c r="Q51" s="168" t="str">
        <f t="shared" si="37"/>
        <v/>
      </c>
      <c r="R51" s="169" t="str">
        <f t="shared" si="38"/>
        <v/>
      </c>
      <c r="S51" s="170">
        <f>IF(N51&gt;0,IFERROR(GETPIVOTDATA("act_qty",RECPT!$A$23,"yymm","202106","unit","TAL","comm","F"),0),)</f>
        <v>0</v>
      </c>
      <c r="T51" s="104"/>
      <c r="U51" s="166">
        <f t="shared" si="65"/>
        <v>44348</v>
      </c>
      <c r="V51" s="167"/>
      <c r="W51" s="168"/>
      <c r="X51" s="168"/>
      <c r="Y51" s="168"/>
      <c r="Z51" s="168"/>
      <c r="AA51" s="168" t="str">
        <f t="shared" si="39"/>
        <v/>
      </c>
      <c r="AB51" s="169" t="str">
        <f t="shared" si="40"/>
        <v/>
      </c>
      <c r="AC51" s="170">
        <f>IF(X51&gt;0,IFERROR(GETPIVOTDATA("act_qty",RECPT!$A$23,"yymm","202106","unit","MPR","comm","L"),0),)</f>
        <v>0</v>
      </c>
      <c r="AD51" s="171"/>
      <c r="AE51" s="166">
        <f t="shared" si="66"/>
        <v>44348</v>
      </c>
      <c r="AF51" s="167"/>
      <c r="AG51" s="168"/>
      <c r="AH51" s="168"/>
      <c r="AI51" s="168"/>
      <c r="AJ51" s="168"/>
      <c r="AK51" s="168" t="str">
        <f t="shared" si="41"/>
        <v/>
      </c>
      <c r="AL51" s="169" t="str">
        <f t="shared" si="42"/>
        <v/>
      </c>
      <c r="AM51" s="170">
        <f>IF(AH51&gt;0,IFERROR(GETPIVOTDATA("act_qty",RECPT!$A$23,"yymm","202106","unit","MPR","comm","F"),0),)</f>
        <v>0</v>
      </c>
      <c r="AN51" s="104"/>
      <c r="AO51" s="172">
        <f t="shared" si="47"/>
        <v>44348</v>
      </c>
      <c r="AP51" s="167">
        <f t="shared" si="50"/>
        <v>61.26</v>
      </c>
      <c r="AQ51" s="168">
        <f t="shared" si="51"/>
        <v>3.99</v>
      </c>
      <c r="AR51" s="168">
        <f t="shared" si="52"/>
        <v>2.3199999999999998</v>
      </c>
      <c r="AS51" s="168">
        <f t="shared" si="53"/>
        <v>26.22</v>
      </c>
      <c r="AT51" s="168">
        <f t="shared" si="54"/>
        <v>14.85</v>
      </c>
      <c r="AU51" s="168">
        <f t="shared" si="43"/>
        <v>6.3100000000000005</v>
      </c>
      <c r="AV51" s="169">
        <f t="shared" si="55"/>
        <v>0.581453634085213</v>
      </c>
      <c r="AW51" s="170">
        <f t="shared" si="48"/>
        <v>122533</v>
      </c>
      <c r="AX51" s="104"/>
      <c r="AY51" s="172">
        <f t="shared" si="56"/>
        <v>44348</v>
      </c>
      <c r="AZ51" s="167">
        <f t="shared" si="57"/>
        <v>62.18</v>
      </c>
      <c r="BA51" s="168">
        <f t="shared" si="58"/>
        <v>3.3</v>
      </c>
      <c r="BB51" s="168">
        <f t="shared" si="59"/>
        <v>2.4300000000000002</v>
      </c>
      <c r="BC51" s="168">
        <f t="shared" si="60"/>
        <v>8.5500000000000007</v>
      </c>
      <c r="BD51" s="168">
        <f t="shared" si="61"/>
        <v>39.54</v>
      </c>
      <c r="BE51" s="168">
        <f t="shared" si="45"/>
        <v>5.73</v>
      </c>
      <c r="BF51" s="169">
        <f t="shared" si="62"/>
        <v>0.73636363636363644</v>
      </c>
      <c r="BG51" s="170">
        <f t="shared" si="49"/>
        <v>143730</v>
      </c>
    </row>
    <row r="52" spans="1:59" ht="21" x14ac:dyDescent="0.25">
      <c r="A52" s="166">
        <f t="shared" si="63"/>
        <v>44378</v>
      </c>
      <c r="B52" s="167"/>
      <c r="C52" s="168"/>
      <c r="D52" s="168"/>
      <c r="E52" s="168"/>
      <c r="F52" s="168"/>
      <c r="G52" s="168" t="str">
        <f t="shared" si="35"/>
        <v/>
      </c>
      <c r="H52" s="169" t="str">
        <f t="shared" si="36"/>
        <v/>
      </c>
      <c r="I52" s="170">
        <f>IF(D52&gt;0,IFERROR(GETPIVOTDATA("act_qty",RECPT!$A$23,"yymm","202107","unit","TAL","comm","L"),0),)</f>
        <v>0</v>
      </c>
      <c r="J52" s="171"/>
      <c r="K52" s="166">
        <f t="shared" si="64"/>
        <v>44378</v>
      </c>
      <c r="L52" s="167"/>
      <c r="M52" s="168"/>
      <c r="N52" s="168"/>
      <c r="O52" s="168"/>
      <c r="P52" s="168"/>
      <c r="Q52" s="168" t="str">
        <f t="shared" si="37"/>
        <v/>
      </c>
      <c r="R52" s="169" t="str">
        <f t="shared" si="38"/>
        <v/>
      </c>
      <c r="S52" s="170">
        <f>IF(N52&gt;0,IFERROR(GETPIVOTDATA("act_qty",RECPT!$A$23,"yymm","202107","unit","TAL","comm","F"),0),)</f>
        <v>0</v>
      </c>
      <c r="T52" s="104"/>
      <c r="U52" s="166">
        <f t="shared" si="65"/>
        <v>44378</v>
      </c>
      <c r="V52" s="167"/>
      <c r="W52" s="168"/>
      <c r="X52" s="168"/>
      <c r="Y52" s="168"/>
      <c r="Z52" s="168"/>
      <c r="AA52" s="168" t="str">
        <f t="shared" si="39"/>
        <v/>
      </c>
      <c r="AB52" s="169" t="str">
        <f t="shared" si="40"/>
        <v/>
      </c>
      <c r="AC52" s="170">
        <f>IF(X52&gt;0,IFERROR(GETPIVOTDATA("act_qty",RECPT!$A$23,"yymm","202107","unit","MPR","comm","L"),0),)</f>
        <v>0</v>
      </c>
      <c r="AD52" s="171"/>
      <c r="AE52" s="166">
        <f t="shared" si="66"/>
        <v>44378</v>
      </c>
      <c r="AF52" s="167"/>
      <c r="AG52" s="168"/>
      <c r="AH52" s="168"/>
      <c r="AI52" s="168"/>
      <c r="AJ52" s="168"/>
      <c r="AK52" s="168" t="str">
        <f t="shared" si="41"/>
        <v/>
      </c>
      <c r="AL52" s="169" t="str">
        <f t="shared" si="42"/>
        <v/>
      </c>
      <c r="AM52" s="170">
        <f>IF(AH52&gt;0,IFERROR(GETPIVOTDATA("act_qty",RECPT!$A$23,"yymm","202107","unit","MPR","comm","F"),0),)</f>
        <v>0</v>
      </c>
      <c r="AN52" s="104"/>
      <c r="AO52" s="172">
        <f t="shared" si="47"/>
        <v>44378</v>
      </c>
      <c r="AP52" s="167">
        <f t="shared" si="50"/>
        <v>62.31</v>
      </c>
      <c r="AQ52" s="168">
        <f t="shared" si="51"/>
        <v>2.81</v>
      </c>
      <c r="AR52" s="168">
        <f t="shared" si="52"/>
        <v>2.0499999999999998</v>
      </c>
      <c r="AS52" s="168">
        <f t="shared" si="53"/>
        <v>15.939999999999998</v>
      </c>
      <c r="AT52" s="168">
        <f t="shared" si="54"/>
        <v>15.460000000000003</v>
      </c>
      <c r="AU52" s="168">
        <f t="shared" si="43"/>
        <v>4.8599999999999994</v>
      </c>
      <c r="AV52" s="169">
        <f t="shared" si="55"/>
        <v>0.72953736654804258</v>
      </c>
      <c r="AW52" s="170">
        <f t="shared" si="48"/>
        <v>148430</v>
      </c>
      <c r="AX52" s="104"/>
      <c r="AY52" s="172">
        <f t="shared" si="56"/>
        <v>44378</v>
      </c>
      <c r="AZ52" s="167">
        <f t="shared" si="57"/>
        <v>62.070000000000007</v>
      </c>
      <c r="BA52" s="168">
        <f t="shared" si="58"/>
        <v>3.41</v>
      </c>
      <c r="BB52" s="168">
        <f t="shared" si="59"/>
        <v>2.57</v>
      </c>
      <c r="BC52" s="168">
        <f t="shared" si="60"/>
        <v>9.08</v>
      </c>
      <c r="BD52" s="168">
        <f t="shared" si="61"/>
        <v>22.53</v>
      </c>
      <c r="BE52" s="168">
        <f t="shared" si="45"/>
        <v>5.98</v>
      </c>
      <c r="BF52" s="169">
        <f t="shared" si="62"/>
        <v>0.75366568914956</v>
      </c>
      <c r="BG52" s="170">
        <f t="shared" si="49"/>
        <v>168284</v>
      </c>
    </row>
    <row r="53" spans="1:59" ht="21" x14ac:dyDescent="0.25">
      <c r="A53" s="166">
        <f t="shared" si="63"/>
        <v>44409</v>
      </c>
      <c r="B53" s="167"/>
      <c r="C53" s="168"/>
      <c r="D53" s="168"/>
      <c r="E53" s="168"/>
      <c r="F53" s="168"/>
      <c r="G53" s="168" t="str">
        <f t="shared" si="35"/>
        <v/>
      </c>
      <c r="H53" s="169" t="str">
        <f t="shared" si="36"/>
        <v/>
      </c>
      <c r="I53" s="170">
        <f>IF(D53&gt;0,IFERROR(GETPIVOTDATA("act_qty",RECPT!$A$23,"yymm","202108","unit","TAL","comm","L"),0),)</f>
        <v>0</v>
      </c>
      <c r="J53" s="171"/>
      <c r="K53" s="166">
        <f t="shared" si="64"/>
        <v>44409</v>
      </c>
      <c r="L53" s="167"/>
      <c r="M53" s="168"/>
      <c r="N53" s="168"/>
      <c r="O53" s="168"/>
      <c r="P53" s="168"/>
      <c r="Q53" s="168" t="str">
        <f t="shared" si="37"/>
        <v/>
      </c>
      <c r="R53" s="169" t="str">
        <f t="shared" si="38"/>
        <v/>
      </c>
      <c r="S53" s="170">
        <f>IF(N53&gt;0,IFERROR(GETPIVOTDATA("act_qty",RECPT!$A$23,"yymm","202108","unit","TAL","comm","F"),0),)</f>
        <v>0</v>
      </c>
      <c r="T53" s="104"/>
      <c r="U53" s="166">
        <f t="shared" si="65"/>
        <v>44409</v>
      </c>
      <c r="V53" s="167"/>
      <c r="W53" s="168"/>
      <c r="X53" s="168"/>
      <c r="Y53" s="168"/>
      <c r="Z53" s="168"/>
      <c r="AA53" s="168" t="str">
        <f t="shared" si="39"/>
        <v/>
      </c>
      <c r="AB53" s="169" t="str">
        <f t="shared" si="40"/>
        <v/>
      </c>
      <c r="AC53" s="170">
        <f>IF(X53&gt;0,IFERROR(GETPIVOTDATA("act_qty",RECPT!$A$23,"yymm","202108","unit","MPR","comm","L"),0),)</f>
        <v>0</v>
      </c>
      <c r="AD53" s="171"/>
      <c r="AE53" s="166">
        <f t="shared" si="66"/>
        <v>44409</v>
      </c>
      <c r="AF53" s="167"/>
      <c r="AG53" s="168"/>
      <c r="AH53" s="168"/>
      <c r="AI53" s="168"/>
      <c r="AJ53" s="168"/>
      <c r="AK53" s="168" t="str">
        <f t="shared" si="41"/>
        <v/>
      </c>
      <c r="AL53" s="169" t="str">
        <f t="shared" si="42"/>
        <v/>
      </c>
      <c r="AM53" s="170">
        <f>IF(AH53&gt;0,IFERROR(GETPIVOTDATA("act_qty",RECPT!$A$23,"yymm","202108","unit","MPR","comm","F"),0),)</f>
        <v>0</v>
      </c>
      <c r="AN53" s="104"/>
      <c r="AO53" s="172">
        <f t="shared" si="47"/>
        <v>44409</v>
      </c>
      <c r="AP53" s="167">
        <f t="shared" si="50"/>
        <v>61.608812760038184</v>
      </c>
      <c r="AQ53" s="168">
        <f t="shared" si="51"/>
        <v>3.9219338419217404</v>
      </c>
      <c r="AR53" s="168">
        <f t="shared" si="52"/>
        <v>1.7175764909895015</v>
      </c>
      <c r="AS53" s="168">
        <f t="shared" si="53"/>
        <v>14.167074722573968</v>
      </c>
      <c r="AT53" s="168">
        <f t="shared" si="54"/>
        <v>21.827441816945601</v>
      </c>
      <c r="AU53" s="168">
        <f t="shared" si="43"/>
        <v>5.6395103329112422</v>
      </c>
      <c r="AV53" s="169">
        <f t="shared" si="55"/>
        <v>0.43794121987225876</v>
      </c>
      <c r="AW53" s="170">
        <f t="shared" si="48"/>
        <v>160313</v>
      </c>
      <c r="AX53" s="104"/>
      <c r="AY53" s="172">
        <f t="shared" si="56"/>
        <v>44409</v>
      </c>
      <c r="AZ53" s="167">
        <f t="shared" si="57"/>
        <v>61.872530914263614</v>
      </c>
      <c r="BA53" s="168">
        <f t="shared" si="58"/>
        <v>3.9744889632023552</v>
      </c>
      <c r="BB53" s="168">
        <f t="shared" si="59"/>
        <v>2.296947879362623</v>
      </c>
      <c r="BC53" s="168">
        <f t="shared" si="60"/>
        <v>9.0773681386556184</v>
      </c>
      <c r="BD53" s="168">
        <f t="shared" si="61"/>
        <v>37.534897493168295</v>
      </c>
      <c r="BE53" s="168">
        <f t="shared" si="45"/>
        <v>6.2714368425649782</v>
      </c>
      <c r="BF53" s="169">
        <f t="shared" si="62"/>
        <v>0.57792282243800941</v>
      </c>
      <c r="BG53" s="170">
        <f t="shared" si="49"/>
        <v>160282</v>
      </c>
    </row>
    <row r="54" spans="1:59" ht="21" x14ac:dyDescent="0.25">
      <c r="A54" s="166">
        <f t="shared" si="63"/>
        <v>44440</v>
      </c>
      <c r="B54" s="167"/>
      <c r="C54" s="168"/>
      <c r="D54" s="168"/>
      <c r="E54" s="168"/>
      <c r="F54" s="168"/>
      <c r="G54" s="168" t="str">
        <f t="shared" si="35"/>
        <v/>
      </c>
      <c r="H54" s="169" t="str">
        <f t="shared" si="36"/>
        <v/>
      </c>
      <c r="I54" s="170">
        <f>IF(D54&gt;0,IFERROR(GETPIVOTDATA("act_qty",RECPT!$A$23,"yymm","202109","unit","TAL","comm","L"),0),)</f>
        <v>0</v>
      </c>
      <c r="J54" s="171"/>
      <c r="K54" s="166">
        <f t="shared" si="64"/>
        <v>44440</v>
      </c>
      <c r="L54" s="167"/>
      <c r="M54" s="168"/>
      <c r="N54" s="168"/>
      <c r="O54" s="168"/>
      <c r="P54" s="168"/>
      <c r="Q54" s="168" t="str">
        <f t="shared" si="37"/>
        <v/>
      </c>
      <c r="R54" s="169" t="str">
        <f t="shared" si="38"/>
        <v/>
      </c>
      <c r="S54" s="170">
        <f>IF(N54&gt;0,IFERROR(GETPIVOTDATA("act_qty",RECPT!$A$23,"yymm","202109","unit","TAL","comm","F"),0),)</f>
        <v>0</v>
      </c>
      <c r="T54" s="104"/>
      <c r="U54" s="166">
        <f t="shared" si="65"/>
        <v>44440</v>
      </c>
      <c r="V54" s="167"/>
      <c r="W54" s="168"/>
      <c r="X54" s="168"/>
      <c r="Y54" s="168"/>
      <c r="Z54" s="168"/>
      <c r="AA54" s="168" t="str">
        <f t="shared" si="39"/>
        <v/>
      </c>
      <c r="AB54" s="169" t="str">
        <f t="shared" si="40"/>
        <v/>
      </c>
      <c r="AC54" s="170">
        <f>IF(X54&gt;0,IFERROR(GETPIVOTDATA("act_qty",RECPT!$A$23,"yymm","202109","unit","MPR","comm","L"),0),)</f>
        <v>0</v>
      </c>
      <c r="AD54" s="171"/>
      <c r="AE54" s="166">
        <f t="shared" si="66"/>
        <v>44440</v>
      </c>
      <c r="AF54" s="167"/>
      <c r="AG54" s="168"/>
      <c r="AH54" s="168"/>
      <c r="AI54" s="168"/>
      <c r="AJ54" s="168"/>
      <c r="AK54" s="168" t="str">
        <f t="shared" si="41"/>
        <v/>
      </c>
      <c r="AL54" s="169" t="str">
        <f t="shared" si="42"/>
        <v/>
      </c>
      <c r="AM54" s="170">
        <f>IF(AH54&gt;0,IFERROR(GETPIVOTDATA("act_qty",RECPT!$A$23,"yymm","202109","unit","MPR","comm","F"),0),)</f>
        <v>0</v>
      </c>
      <c r="AN54" s="104"/>
      <c r="AO54" s="172">
        <f t="shared" si="47"/>
        <v>44440</v>
      </c>
      <c r="AP54" s="167">
        <f t="shared" si="50"/>
        <v>61.184056489023483</v>
      </c>
      <c r="AQ54" s="168">
        <f t="shared" si="51"/>
        <v>4.3510793648130592</v>
      </c>
      <c r="AR54" s="168">
        <f t="shared" si="52"/>
        <v>1.7188991602982995</v>
      </c>
      <c r="AS54" s="168">
        <f t="shared" si="53"/>
        <v>29.067366474007834</v>
      </c>
      <c r="AT54" s="168">
        <f t="shared" si="54"/>
        <v>13.430611111577146</v>
      </c>
      <c r="AU54" s="168">
        <f t="shared" si="43"/>
        <v>6.0699785251113587</v>
      </c>
      <c r="AV54" s="169">
        <f t="shared" si="55"/>
        <v>0.39505120825856288</v>
      </c>
      <c r="AW54" s="170">
        <f t="shared" si="48"/>
        <v>119209</v>
      </c>
      <c r="AX54" s="104"/>
      <c r="AY54" s="172">
        <f t="shared" si="56"/>
        <v>44440</v>
      </c>
      <c r="AZ54" s="167">
        <f t="shared" si="57"/>
        <v>61.110195988180479</v>
      </c>
      <c r="BA54" s="168">
        <f t="shared" si="58"/>
        <v>4.9734852255938167</v>
      </c>
      <c r="BB54" s="168">
        <f t="shared" si="59"/>
        <v>2.1065911467212182</v>
      </c>
      <c r="BC54" s="168">
        <f t="shared" si="60"/>
        <v>11.621387828162291</v>
      </c>
      <c r="BD54" s="168">
        <f t="shared" si="61"/>
        <v>34.442680418229344</v>
      </c>
      <c r="BE54" s="168">
        <f t="shared" si="45"/>
        <v>7.0800763723150348</v>
      </c>
      <c r="BF54" s="169">
        <f t="shared" si="62"/>
        <v>0.42356437209878284</v>
      </c>
      <c r="BG54" s="170">
        <f t="shared" si="49"/>
        <v>175980</v>
      </c>
    </row>
    <row r="55" spans="1:59" ht="21" x14ac:dyDescent="0.25">
      <c r="A55" s="166">
        <f t="shared" si="63"/>
        <v>44470</v>
      </c>
      <c r="B55" s="167"/>
      <c r="C55" s="168"/>
      <c r="D55" s="168"/>
      <c r="E55" s="168"/>
      <c r="F55" s="168"/>
      <c r="G55" s="168" t="str">
        <f t="shared" si="35"/>
        <v/>
      </c>
      <c r="H55" s="169" t="str">
        <f t="shared" si="36"/>
        <v/>
      </c>
      <c r="I55" s="170">
        <f>IF(D55&gt;0,IFERROR(GETPIVOTDATA("act_qty",RECPT!$A$23,"yymm","202110","unit","TAL","comm","L"),0),)</f>
        <v>0</v>
      </c>
      <c r="J55" s="119"/>
      <c r="K55" s="166">
        <f t="shared" si="64"/>
        <v>44470</v>
      </c>
      <c r="L55" s="167"/>
      <c r="M55" s="168"/>
      <c r="N55" s="168"/>
      <c r="O55" s="168"/>
      <c r="P55" s="168"/>
      <c r="Q55" s="168" t="str">
        <f t="shared" si="37"/>
        <v/>
      </c>
      <c r="R55" s="169" t="str">
        <f t="shared" si="38"/>
        <v/>
      </c>
      <c r="S55" s="170">
        <f>IF(N55&gt;0,IFERROR(GETPIVOTDATA("act_qty",RECPT!$A$23,"yymm","202110","unit","TAL","comm","F"),0),)</f>
        <v>0</v>
      </c>
      <c r="T55" s="104"/>
      <c r="U55" s="166">
        <f t="shared" si="65"/>
        <v>44470</v>
      </c>
      <c r="V55" s="167"/>
      <c r="W55" s="168"/>
      <c r="X55" s="168"/>
      <c r="Y55" s="168"/>
      <c r="Z55" s="168"/>
      <c r="AA55" s="168" t="str">
        <f t="shared" si="39"/>
        <v/>
      </c>
      <c r="AB55" s="169" t="str">
        <f t="shared" si="40"/>
        <v/>
      </c>
      <c r="AC55" s="170">
        <f>IF(X55&gt;0,IFERROR(GETPIVOTDATA("act_qty",RECPT!$A$23,"yymm","202110","unit","MPR","comm","L"),0),)</f>
        <v>0</v>
      </c>
      <c r="AD55" s="119"/>
      <c r="AE55" s="166">
        <f t="shared" si="66"/>
        <v>44470</v>
      </c>
      <c r="AF55" s="167"/>
      <c r="AG55" s="168"/>
      <c r="AH55" s="168"/>
      <c r="AI55" s="168"/>
      <c r="AJ55" s="168"/>
      <c r="AK55" s="168" t="str">
        <f t="shared" si="41"/>
        <v/>
      </c>
      <c r="AL55" s="169" t="str">
        <f t="shared" si="42"/>
        <v/>
      </c>
      <c r="AM55" s="170">
        <f>IF(AH55&gt;0,IFERROR(GETPIVOTDATA("act_qty",RECPT!$A$23,"yymm","202110","unit","MPR","comm","F"),0),)</f>
        <v>0</v>
      </c>
      <c r="AN55" s="104"/>
      <c r="AO55" s="172">
        <f t="shared" si="47"/>
        <v>44470</v>
      </c>
      <c r="AP55" s="167">
        <f t="shared" si="50"/>
        <v>61.224502009250116</v>
      </c>
      <c r="AQ55" s="168">
        <f t="shared" si="51"/>
        <v>4.7509959814997726</v>
      </c>
      <c r="AR55" s="168">
        <f t="shared" si="52"/>
        <v>2.0066625894539056</v>
      </c>
      <c r="AS55" s="168">
        <f t="shared" si="53"/>
        <v>34.191159646247357</v>
      </c>
      <c r="AT55" s="168">
        <f t="shared" si="54"/>
        <v>12.245797366881055</v>
      </c>
      <c r="AU55" s="168">
        <f t="shared" si="43"/>
        <v>6.7576585709536783</v>
      </c>
      <c r="AV55" s="169">
        <f t="shared" si="55"/>
        <v>0.42236672000308695</v>
      </c>
      <c r="AW55" s="170">
        <f t="shared" si="48"/>
        <v>119395.29</v>
      </c>
      <c r="AX55" s="104"/>
      <c r="AY55" s="172">
        <f t="shared" si="56"/>
        <v>44470</v>
      </c>
      <c r="AZ55" s="167">
        <f t="shared" si="57"/>
        <v>61.462656470903724</v>
      </c>
      <c r="BA55" s="168">
        <f t="shared" si="58"/>
        <v>5.0187659874648993</v>
      </c>
      <c r="BB55" s="168">
        <f t="shared" si="59"/>
        <v>2.2121640244572691</v>
      </c>
      <c r="BC55" s="168">
        <f t="shared" si="60"/>
        <v>12.164516368779278</v>
      </c>
      <c r="BD55" s="168">
        <f t="shared" si="61"/>
        <v>37.527206290000478</v>
      </c>
      <c r="BE55" s="168">
        <f t="shared" si="45"/>
        <v>7.2309300119221689</v>
      </c>
      <c r="BF55" s="169">
        <f t="shared" si="62"/>
        <v>0.44077847621954713</v>
      </c>
      <c r="BG55" s="170">
        <f t="shared" si="49"/>
        <v>231803.47999999998</v>
      </c>
    </row>
    <row r="56" spans="1:59" ht="21" x14ac:dyDescent="0.25">
      <c r="A56" s="166">
        <f t="shared" si="63"/>
        <v>44501</v>
      </c>
      <c r="B56" s="167"/>
      <c r="C56" s="168"/>
      <c r="D56" s="168"/>
      <c r="E56" s="168"/>
      <c r="F56" s="168"/>
      <c r="G56" s="168" t="str">
        <f t="shared" si="35"/>
        <v/>
      </c>
      <c r="H56" s="169" t="str">
        <f t="shared" si="36"/>
        <v/>
      </c>
      <c r="I56" s="170">
        <f>IF(D56&gt;0,IFERROR(GETPIVOTDATA("act_qty",RECPT!$A$23,"yymm","202111","unit","TAL","comm","L"),0),)</f>
        <v>0</v>
      </c>
      <c r="J56" s="119"/>
      <c r="K56" s="166">
        <f t="shared" si="64"/>
        <v>44501</v>
      </c>
      <c r="L56" s="167"/>
      <c r="M56" s="168"/>
      <c r="N56" s="168"/>
      <c r="O56" s="168"/>
      <c r="P56" s="168"/>
      <c r="Q56" s="168" t="str">
        <f t="shared" si="37"/>
        <v/>
      </c>
      <c r="R56" s="169" t="str">
        <f t="shared" si="38"/>
        <v/>
      </c>
      <c r="S56" s="170">
        <f>IF(N56&gt;0,IFERROR(GETPIVOTDATA("act_qty",RECPT!$A$23,"yymm","202111","unit","TAL","comm","F"),0),)</f>
        <v>0</v>
      </c>
      <c r="T56" s="104"/>
      <c r="U56" s="166">
        <f t="shared" si="65"/>
        <v>44501</v>
      </c>
      <c r="V56" s="167"/>
      <c r="W56" s="168"/>
      <c r="X56" s="168"/>
      <c r="Y56" s="168"/>
      <c r="Z56" s="168"/>
      <c r="AA56" s="168" t="str">
        <f t="shared" si="39"/>
        <v/>
      </c>
      <c r="AB56" s="169" t="str">
        <f t="shared" si="40"/>
        <v/>
      </c>
      <c r="AC56" s="170">
        <f>IF(X56&gt;0,IFERROR(GETPIVOTDATA("act_qty",RECPT!$A$23,"yymm","202111","unit","MPR","comm","L"),0),)</f>
        <v>0</v>
      </c>
      <c r="AD56" s="119"/>
      <c r="AE56" s="166">
        <f t="shared" si="66"/>
        <v>44501</v>
      </c>
      <c r="AF56" s="167"/>
      <c r="AG56" s="168"/>
      <c r="AH56" s="168"/>
      <c r="AI56" s="168"/>
      <c r="AJ56" s="168"/>
      <c r="AK56" s="168" t="str">
        <f t="shared" si="41"/>
        <v/>
      </c>
      <c r="AL56" s="169" t="str">
        <f t="shared" si="42"/>
        <v/>
      </c>
      <c r="AM56" s="170">
        <f>IF(AH56&gt;0,IFERROR(GETPIVOTDATA("act_qty",RECPT!$A$23,"yymm","202111","unit","MPR","comm","F"),0),)</f>
        <v>0</v>
      </c>
      <c r="AN56" s="104"/>
      <c r="AO56" s="172">
        <f t="shared" si="47"/>
        <v>44501</v>
      </c>
      <c r="AP56" s="167">
        <f t="shared" si="50"/>
        <v>61.397867586075471</v>
      </c>
      <c r="AQ56" s="168">
        <f t="shared" si="51"/>
        <v>4.185476983997205</v>
      </c>
      <c r="AR56" s="168">
        <f t="shared" si="52"/>
        <v>2.1038571583186187</v>
      </c>
      <c r="AS56" s="168">
        <f t="shared" si="53"/>
        <v>31.706389230376494</v>
      </c>
      <c r="AT56" s="168">
        <f t="shared" si="54"/>
        <v>16.032326269735862</v>
      </c>
      <c r="AU56" s="168">
        <f t="shared" si="43"/>
        <v>6.2893341423158233</v>
      </c>
      <c r="AV56" s="169">
        <f t="shared" si="55"/>
        <v>0.50265648726836332</v>
      </c>
      <c r="AW56" s="170">
        <f t="shared" si="48"/>
        <v>136006.24</v>
      </c>
      <c r="AX56" s="104"/>
      <c r="AY56" s="172">
        <f t="shared" si="56"/>
        <v>44501</v>
      </c>
      <c r="AZ56" s="167">
        <f t="shared" si="57"/>
        <v>61.916540788063514</v>
      </c>
      <c r="BA56" s="168">
        <f t="shared" si="58"/>
        <v>4.2547291494425652</v>
      </c>
      <c r="BB56" s="168">
        <f t="shared" si="59"/>
        <v>2.2459070636213059</v>
      </c>
      <c r="BC56" s="168">
        <f t="shared" si="60"/>
        <v>12.381407351733543</v>
      </c>
      <c r="BD56" s="168">
        <f t="shared" si="61"/>
        <v>36.507485963227403</v>
      </c>
      <c r="BE56" s="168">
        <f t="shared" si="45"/>
        <v>6.5006362130638706</v>
      </c>
      <c r="BF56" s="169">
        <f t="shared" si="62"/>
        <v>0.52786134786407124</v>
      </c>
      <c r="BG56" s="170">
        <f t="shared" si="49"/>
        <v>179617.50000000003</v>
      </c>
    </row>
    <row r="57" spans="1:59" ht="21" x14ac:dyDescent="0.25">
      <c r="A57" s="166">
        <f t="shared" si="63"/>
        <v>44531</v>
      </c>
      <c r="B57" s="167"/>
      <c r="C57" s="168"/>
      <c r="D57" s="168"/>
      <c r="E57" s="168"/>
      <c r="F57" s="168"/>
      <c r="G57" s="168" t="str">
        <f t="shared" si="35"/>
        <v/>
      </c>
      <c r="H57" s="169" t="str">
        <f t="shared" si="36"/>
        <v/>
      </c>
      <c r="I57" s="170">
        <f>IF(D57&gt;0,IFERROR(GETPIVOTDATA("act_qty",RECPT!$A$23,"yymm","202112","unit","TAL","comm","L"),0),)</f>
        <v>0</v>
      </c>
      <c r="J57" s="119"/>
      <c r="K57" s="166">
        <f t="shared" si="64"/>
        <v>44531</v>
      </c>
      <c r="L57" s="167"/>
      <c r="M57" s="168"/>
      <c r="N57" s="168"/>
      <c r="O57" s="168"/>
      <c r="P57" s="168"/>
      <c r="Q57" s="168" t="str">
        <f t="shared" si="37"/>
        <v/>
      </c>
      <c r="R57" s="169" t="str">
        <f t="shared" si="38"/>
        <v/>
      </c>
      <c r="S57" s="170">
        <f>IF(N57&gt;0,IFERROR(GETPIVOTDATA("act_qty",RECPT!$A$23,"yymm","202112","unit","TAL","comm","F"),0),)</f>
        <v>0</v>
      </c>
      <c r="T57" s="104"/>
      <c r="U57" s="166">
        <f t="shared" si="65"/>
        <v>44531</v>
      </c>
      <c r="V57" s="167"/>
      <c r="W57" s="168"/>
      <c r="X57" s="168"/>
      <c r="Y57" s="168"/>
      <c r="Z57" s="168"/>
      <c r="AA57" s="168" t="str">
        <f t="shared" si="39"/>
        <v/>
      </c>
      <c r="AB57" s="169" t="str">
        <f t="shared" si="40"/>
        <v/>
      </c>
      <c r="AC57" s="170">
        <f>IF(X57&gt;0,IFERROR(GETPIVOTDATA("act_qty",RECPT!$A$23,"yymm","202112","unit","MPR","comm","L"),0),)</f>
        <v>0</v>
      </c>
      <c r="AD57" s="119"/>
      <c r="AE57" s="166">
        <f t="shared" si="66"/>
        <v>44531</v>
      </c>
      <c r="AF57" s="167"/>
      <c r="AG57" s="168"/>
      <c r="AH57" s="168"/>
      <c r="AI57" s="168"/>
      <c r="AJ57" s="168"/>
      <c r="AK57" s="168" t="str">
        <f t="shared" si="41"/>
        <v/>
      </c>
      <c r="AL57" s="169" t="str">
        <f t="shared" si="42"/>
        <v/>
      </c>
      <c r="AM57" s="170">
        <f>IF(AH57&gt;0,IFERROR(GETPIVOTDATA("act_qty",RECPT!$A$23,"yymm","202112","unit","MPR","comm","F"),0),)</f>
        <v>0</v>
      </c>
      <c r="AN57" s="104"/>
      <c r="AO57" s="172">
        <f t="shared" si="47"/>
        <v>44531</v>
      </c>
      <c r="AP57" s="167">
        <f t="shared" si="50"/>
        <v>61.416544052331865</v>
      </c>
      <c r="AQ57" s="168">
        <f t="shared" si="51"/>
        <v>3.7991444965188745</v>
      </c>
      <c r="AR57" s="168">
        <f t="shared" si="52"/>
        <v>2.1608447680150404</v>
      </c>
      <c r="AS57" s="168">
        <f t="shared" si="53"/>
        <v>36.477574777961117</v>
      </c>
      <c r="AT57" s="168">
        <f t="shared" si="54"/>
        <v>16.14575962488933</v>
      </c>
      <c r="AU57" s="168">
        <f t="shared" si="43"/>
        <v>5.959989264533915</v>
      </c>
      <c r="AV57" s="169">
        <f t="shared" si="55"/>
        <v>0.56877140893035394</v>
      </c>
      <c r="AW57" s="170">
        <f t="shared" si="48"/>
        <v>137320.54</v>
      </c>
      <c r="AX57" s="104"/>
      <c r="AY57" s="172">
        <f t="shared" si="56"/>
        <v>44531</v>
      </c>
      <c r="AZ57" s="167">
        <f t="shared" si="57"/>
        <v>61.045086568675806</v>
      </c>
      <c r="BA57" s="168">
        <f t="shared" si="58"/>
        <v>4.7223352654697797</v>
      </c>
      <c r="BB57" s="168">
        <f t="shared" si="59"/>
        <v>2.7983095537905682</v>
      </c>
      <c r="BC57" s="168">
        <f t="shared" si="60"/>
        <v>12.385865731290389</v>
      </c>
      <c r="BD57" s="168">
        <f t="shared" si="61"/>
        <v>35.888948778945462</v>
      </c>
      <c r="BE57" s="168">
        <f t="shared" si="45"/>
        <v>7.5206448192603474</v>
      </c>
      <c r="BF57" s="169">
        <f t="shared" si="62"/>
        <v>0.59256901437136555</v>
      </c>
      <c r="BG57" s="170">
        <f t="shared" si="49"/>
        <v>235783.9</v>
      </c>
    </row>
    <row r="58" spans="1:59" ht="21" x14ac:dyDescent="0.25">
      <c r="A58" s="166">
        <f t="shared" si="63"/>
        <v>44562</v>
      </c>
      <c r="B58" s="167"/>
      <c r="C58" s="168"/>
      <c r="D58" s="168"/>
      <c r="E58" s="168"/>
      <c r="F58" s="168"/>
      <c r="G58" s="168" t="str">
        <f t="shared" si="35"/>
        <v/>
      </c>
      <c r="H58" s="169" t="str">
        <f t="shared" si="36"/>
        <v/>
      </c>
      <c r="I58" s="170">
        <f>IF(D58&gt;0,IFERROR(GETPIVOTDATA("act_qty",RECPT!$A$23,"yymm","202201","unit","TAL","comm","L"),0),)</f>
        <v>0</v>
      </c>
      <c r="J58" s="119"/>
      <c r="K58" s="166">
        <f t="shared" si="64"/>
        <v>44562</v>
      </c>
      <c r="L58" s="167"/>
      <c r="M58" s="168"/>
      <c r="N58" s="168"/>
      <c r="O58" s="168"/>
      <c r="P58" s="168"/>
      <c r="Q58" s="168" t="str">
        <f t="shared" si="37"/>
        <v/>
      </c>
      <c r="R58" s="169" t="str">
        <f t="shared" si="38"/>
        <v/>
      </c>
      <c r="S58" s="170">
        <f>IF(N58&gt;0,IFERROR(GETPIVOTDATA("act_qty",RECPT!$A$23,"yymm","202201","unit","TAL","comm","F"),0),)</f>
        <v>0</v>
      </c>
      <c r="T58" s="104"/>
      <c r="U58" s="166">
        <f t="shared" si="65"/>
        <v>44562</v>
      </c>
      <c r="V58" s="167"/>
      <c r="W58" s="168"/>
      <c r="X58" s="168"/>
      <c r="Y58" s="168"/>
      <c r="Z58" s="168"/>
      <c r="AA58" s="168" t="str">
        <f t="shared" si="39"/>
        <v/>
      </c>
      <c r="AB58" s="169" t="str">
        <f t="shared" si="40"/>
        <v/>
      </c>
      <c r="AC58" s="170">
        <f>IF(X58&gt;0,IFERROR(GETPIVOTDATA("act_qty",RECPT!$A$23,"yymm","202201","unit","MPR","comm","L"),0),)</f>
        <v>0</v>
      </c>
      <c r="AD58" s="119"/>
      <c r="AE58" s="166">
        <f t="shared" si="66"/>
        <v>44562</v>
      </c>
      <c r="AF58" s="167"/>
      <c r="AG58" s="168"/>
      <c r="AH58" s="168"/>
      <c r="AI58" s="168"/>
      <c r="AJ58" s="168"/>
      <c r="AK58" s="168" t="str">
        <f t="shared" si="41"/>
        <v/>
      </c>
      <c r="AL58" s="169" t="str">
        <f t="shared" si="42"/>
        <v/>
      </c>
      <c r="AM58" s="170">
        <f>IF(AH58&gt;0,IFERROR(GETPIVOTDATA("act_qty",RECPT!$A$23,"yymm","202201","unit","MPR","comm","F"),0),)</f>
        <v>0</v>
      </c>
      <c r="AN58" s="104"/>
      <c r="AO58" s="172">
        <f t="shared" si="47"/>
        <v>44562</v>
      </c>
      <c r="AP58" s="167">
        <f t="shared" si="50"/>
        <v>61.7</v>
      </c>
      <c r="AQ58" s="168">
        <f t="shared" si="51"/>
        <v>3.57</v>
      </c>
      <c r="AR58" s="168">
        <f t="shared" si="52"/>
        <v>2.15</v>
      </c>
      <c r="AS58" s="168">
        <f t="shared" si="53"/>
        <v>29.5</v>
      </c>
      <c r="AT58" s="168">
        <f t="shared" si="54"/>
        <v>16.670000000000002</v>
      </c>
      <c r="AU58" s="168">
        <f t="shared" si="43"/>
        <v>5.72</v>
      </c>
      <c r="AV58" s="169">
        <f t="shared" si="55"/>
        <v>0.60224089635854339</v>
      </c>
      <c r="AW58" s="170">
        <f t="shared" si="48"/>
        <v>134306.87</v>
      </c>
      <c r="AX58" s="104"/>
      <c r="AY58" s="172">
        <f t="shared" si="56"/>
        <v>44562</v>
      </c>
      <c r="AZ58" s="167">
        <f t="shared" si="57"/>
        <v>61.902129106558917</v>
      </c>
      <c r="BA58" s="168">
        <f t="shared" si="58"/>
        <v>3.9358315597746598</v>
      </c>
      <c r="BB58" s="168">
        <f t="shared" si="59"/>
        <v>2.6274775567768756</v>
      </c>
      <c r="BC58" s="168">
        <f t="shared" si="60"/>
        <v>8.9985933973777836</v>
      </c>
      <c r="BD58" s="168">
        <f t="shared" si="61"/>
        <v>40.967678545905684</v>
      </c>
      <c r="BE58" s="168">
        <f t="shared" si="45"/>
        <v>6.5633091165515349</v>
      </c>
      <c r="BF58" s="169">
        <f t="shared" si="62"/>
        <v>0.6675787611518893</v>
      </c>
      <c r="BG58" s="170">
        <f t="shared" si="49"/>
        <v>242779.30000000002</v>
      </c>
    </row>
    <row r="59" spans="1:59" ht="21" x14ac:dyDescent="0.25">
      <c r="A59" s="166">
        <f t="shared" si="63"/>
        <v>44593</v>
      </c>
      <c r="B59" s="167"/>
      <c r="C59" s="168"/>
      <c r="D59" s="168"/>
      <c r="E59" s="168"/>
      <c r="F59" s="168"/>
      <c r="G59" s="168" t="str">
        <f t="shared" si="35"/>
        <v/>
      </c>
      <c r="H59" s="169" t="str">
        <f t="shared" si="36"/>
        <v/>
      </c>
      <c r="I59" s="170">
        <f>IF(D59&gt;0,IFERROR(GETPIVOTDATA("act_qty",RECPT!$A$23,"yymm","202202","unit","TAL","comm","L"),0),)</f>
        <v>0</v>
      </c>
      <c r="J59" s="119"/>
      <c r="K59" s="166">
        <f t="shared" si="64"/>
        <v>44593</v>
      </c>
      <c r="L59" s="167"/>
      <c r="M59" s="168"/>
      <c r="N59" s="168"/>
      <c r="O59" s="168"/>
      <c r="P59" s="168"/>
      <c r="Q59" s="168" t="str">
        <f t="shared" si="37"/>
        <v/>
      </c>
      <c r="R59" s="169" t="str">
        <f t="shared" si="38"/>
        <v/>
      </c>
      <c r="S59" s="170">
        <f>IF(N59&gt;0,IFERROR(GETPIVOTDATA("act_qty",RECPT!$A$23,"yymm","202202","unit","TAL","comm","F"),0),)</f>
        <v>0</v>
      </c>
      <c r="T59" s="104"/>
      <c r="U59" s="166">
        <f t="shared" si="65"/>
        <v>44593</v>
      </c>
      <c r="V59" s="167"/>
      <c r="W59" s="168"/>
      <c r="X59" s="168"/>
      <c r="Y59" s="168"/>
      <c r="Z59" s="168"/>
      <c r="AA59" s="168" t="str">
        <f t="shared" si="39"/>
        <v/>
      </c>
      <c r="AB59" s="169" t="str">
        <f t="shared" si="40"/>
        <v/>
      </c>
      <c r="AC59" s="170">
        <f>IF(X59&gt;0,IFERROR(GETPIVOTDATA("act_qty",RECPT!$A$23,"yymm","202202","unit","MPR","comm","L"),0),)</f>
        <v>0</v>
      </c>
      <c r="AD59" s="119"/>
      <c r="AE59" s="166">
        <f t="shared" si="66"/>
        <v>44593</v>
      </c>
      <c r="AF59" s="167"/>
      <c r="AG59" s="168"/>
      <c r="AH59" s="168"/>
      <c r="AI59" s="168"/>
      <c r="AJ59" s="168"/>
      <c r="AK59" s="168" t="str">
        <f t="shared" si="41"/>
        <v/>
      </c>
      <c r="AL59" s="169" t="str">
        <f t="shared" si="42"/>
        <v/>
      </c>
      <c r="AM59" s="170">
        <f>IF(AH59&gt;0,IFERROR(GETPIVOTDATA("act_qty",RECPT!$A$23,"yymm","202202","unit","MPR","comm","F"),0),)</f>
        <v>0</v>
      </c>
      <c r="AN59" s="104"/>
      <c r="AO59" s="172">
        <f t="shared" si="47"/>
        <v>44593</v>
      </c>
      <c r="AP59" s="167">
        <f t="shared" si="50"/>
        <v>61.761279322051202</v>
      </c>
      <c r="AQ59" s="168">
        <f t="shared" si="51"/>
        <v>3.6512275059346049</v>
      </c>
      <c r="AR59" s="168">
        <f t="shared" si="52"/>
        <v>2.0730155448349796</v>
      </c>
      <c r="AS59" s="168">
        <f t="shared" si="53"/>
        <v>23.268501161395719</v>
      </c>
      <c r="AT59" s="168">
        <f t="shared" si="54"/>
        <v>21.410590652678863</v>
      </c>
      <c r="AU59" s="168">
        <f t="shared" si="43"/>
        <v>5.7242430507695845</v>
      </c>
      <c r="AV59" s="169">
        <f t="shared" si="55"/>
        <v>0.56775852544536243</v>
      </c>
      <c r="AW59" s="170">
        <f t="shared" si="48"/>
        <v>113613.3</v>
      </c>
      <c r="AX59" s="104"/>
      <c r="AY59" s="172">
        <f t="shared" si="56"/>
        <v>44593</v>
      </c>
      <c r="AZ59" s="167">
        <f t="shared" si="57"/>
        <v>61.800098501749048</v>
      </c>
      <c r="BA59" s="168">
        <f t="shared" si="58"/>
        <v>4.1183303273364027</v>
      </c>
      <c r="BB59" s="168">
        <f t="shared" si="59"/>
        <v>2.6782486473013818</v>
      </c>
      <c r="BC59" s="168">
        <f t="shared" si="60"/>
        <v>8.9339291415539233</v>
      </c>
      <c r="BD59" s="168">
        <f t="shared" si="61"/>
        <v>40.478755549225539</v>
      </c>
      <c r="BE59" s="168">
        <f t="shared" si="45"/>
        <v>6.796578974637784</v>
      </c>
      <c r="BF59" s="169">
        <f t="shared" si="62"/>
        <v>0.65032390178220179</v>
      </c>
      <c r="BG59" s="170">
        <f t="shared" si="49"/>
        <v>219062.1</v>
      </c>
    </row>
    <row r="60" spans="1:59" ht="21.5" thickBot="1" x14ac:dyDescent="0.3">
      <c r="A60" s="166">
        <f t="shared" si="63"/>
        <v>44621</v>
      </c>
      <c r="B60" s="183"/>
      <c r="C60" s="184"/>
      <c r="D60" s="184"/>
      <c r="E60" s="168"/>
      <c r="F60" s="168"/>
      <c r="G60" s="168" t="str">
        <f t="shared" si="35"/>
        <v/>
      </c>
      <c r="H60" s="169" t="str">
        <f t="shared" si="36"/>
        <v/>
      </c>
      <c r="I60" s="170">
        <f>IF(D60&gt;0,IFERROR(GETPIVOTDATA("act_qty",RECPT!$A$23,"yymm","202203","unit","TAL","comm","L"),0),)</f>
        <v>0</v>
      </c>
      <c r="J60" s="119"/>
      <c r="K60" s="166">
        <f t="shared" si="64"/>
        <v>44621</v>
      </c>
      <c r="L60" s="183"/>
      <c r="M60" s="184"/>
      <c r="N60" s="184"/>
      <c r="O60" s="168"/>
      <c r="P60" s="168"/>
      <c r="Q60" s="168" t="str">
        <f t="shared" si="37"/>
        <v/>
      </c>
      <c r="R60" s="169" t="str">
        <f t="shared" si="38"/>
        <v/>
      </c>
      <c r="S60" s="170">
        <f>IF(N60&gt;0,IFERROR(GETPIVOTDATA("act_qty",RECPT!$A$23,"yymm","202203","unit","TAL","comm","F"),0),)</f>
        <v>0</v>
      </c>
      <c r="T60" s="104"/>
      <c r="U60" s="166">
        <f t="shared" si="65"/>
        <v>44621</v>
      </c>
      <c r="V60" s="183"/>
      <c r="W60" s="184"/>
      <c r="X60" s="184"/>
      <c r="Y60" s="168"/>
      <c r="Z60" s="168"/>
      <c r="AA60" s="168" t="str">
        <f t="shared" si="39"/>
        <v/>
      </c>
      <c r="AB60" s="169" t="str">
        <f t="shared" si="40"/>
        <v/>
      </c>
      <c r="AC60" s="170">
        <f>IF(X60&gt;0,IFERROR(GETPIVOTDATA("act_qty",RECPT!$A$23,"yymm","202203","unit","MPR","comm","L"),0),)</f>
        <v>0</v>
      </c>
      <c r="AD60" s="119"/>
      <c r="AE60" s="166">
        <f t="shared" si="66"/>
        <v>44621</v>
      </c>
      <c r="AF60" s="183"/>
      <c r="AG60" s="184"/>
      <c r="AH60" s="184"/>
      <c r="AI60" s="168"/>
      <c r="AJ60" s="168"/>
      <c r="AK60" s="168" t="str">
        <f t="shared" si="41"/>
        <v/>
      </c>
      <c r="AL60" s="169" t="str">
        <f t="shared" si="42"/>
        <v/>
      </c>
      <c r="AM60" s="170">
        <f>IF(AH60&gt;0,IFERROR(GETPIVOTDATA("act_qty",RECPT!$A$23,"yymm","202203","unit","MPR","comm","F"),0),)</f>
        <v>0</v>
      </c>
      <c r="AN60" s="104"/>
      <c r="AO60" s="185">
        <f t="shared" si="47"/>
        <v>44621</v>
      </c>
      <c r="AP60" s="183">
        <f t="shared" si="50"/>
        <v>61.694302702178511</v>
      </c>
      <c r="AQ60" s="184">
        <f t="shared" si="51"/>
        <v>3.6752715194658792</v>
      </c>
      <c r="AR60" s="184">
        <f t="shared" si="52"/>
        <v>1.9024823281799079</v>
      </c>
      <c r="AS60" s="184">
        <f t="shared" si="53"/>
        <v>13.548319345888732</v>
      </c>
      <c r="AT60" s="184">
        <f t="shared" si="54"/>
        <v>18.360308517779469</v>
      </c>
      <c r="AU60" s="168">
        <f t="shared" si="43"/>
        <v>5.5777538476457869</v>
      </c>
      <c r="AV60" s="169">
        <f t="shared" si="55"/>
        <v>0.51764402115694363</v>
      </c>
      <c r="AW60" s="170">
        <f t="shared" si="48"/>
        <v>141478.06999999998</v>
      </c>
      <c r="AX60" s="104"/>
      <c r="AY60" s="185">
        <f t="shared" si="56"/>
        <v>44621</v>
      </c>
      <c r="AZ60" s="183">
        <f t="shared" si="57"/>
        <v>61.934374049884312</v>
      </c>
      <c r="BA60" s="184">
        <f t="shared" si="58"/>
        <v>4.0449814557134829</v>
      </c>
      <c r="BB60" s="184">
        <f t="shared" si="59"/>
        <v>2.3465081778071597</v>
      </c>
      <c r="BC60" s="184">
        <f t="shared" si="60"/>
        <v>7.0750501611790577</v>
      </c>
      <c r="BD60" s="184">
        <f t="shared" si="61"/>
        <v>43.700988021730083</v>
      </c>
      <c r="BE60" s="168">
        <f t="shared" si="45"/>
        <v>6.3914896335206421</v>
      </c>
      <c r="BF60" s="169">
        <f t="shared" si="62"/>
        <v>0.58010356870554947</v>
      </c>
      <c r="BG60" s="170">
        <f t="shared" si="49"/>
        <v>219091.74</v>
      </c>
    </row>
    <row r="61" spans="1:59" ht="21.5" thickBot="1" x14ac:dyDescent="0.3">
      <c r="A61" s="191" t="s">
        <v>42</v>
      </c>
      <c r="B61" s="192"/>
      <c r="C61" s="192"/>
      <c r="D61" s="192"/>
      <c r="E61" s="192"/>
      <c r="F61" s="192"/>
      <c r="G61" s="193" t="str">
        <f t="shared" si="35"/>
        <v/>
      </c>
      <c r="H61" s="194" t="str">
        <f t="shared" si="36"/>
        <v/>
      </c>
      <c r="I61" s="195">
        <f>SUM(I49:I60)</f>
        <v>0</v>
      </c>
      <c r="J61" s="119"/>
      <c r="K61" s="191" t="s">
        <v>42</v>
      </c>
      <c r="L61" s="192"/>
      <c r="M61" s="192"/>
      <c r="N61" s="192"/>
      <c r="O61" s="192"/>
      <c r="P61" s="192"/>
      <c r="Q61" s="193" t="str">
        <f t="shared" si="37"/>
        <v/>
      </c>
      <c r="R61" s="194" t="str">
        <f t="shared" si="38"/>
        <v/>
      </c>
      <c r="S61" s="195">
        <f>SUM(S49:S60)</f>
        <v>0</v>
      </c>
      <c r="T61" s="104"/>
      <c r="U61" s="191" t="s">
        <v>42</v>
      </c>
      <c r="V61" s="192"/>
      <c r="W61" s="192"/>
      <c r="X61" s="192"/>
      <c r="Y61" s="192"/>
      <c r="Z61" s="192"/>
      <c r="AA61" s="193" t="str">
        <f t="shared" si="39"/>
        <v/>
      </c>
      <c r="AB61" s="194" t="str">
        <f t="shared" si="40"/>
        <v/>
      </c>
      <c r="AC61" s="195">
        <f>SUM(AC49:AC60)</f>
        <v>0</v>
      </c>
      <c r="AD61" s="171"/>
      <c r="AE61" s="196" t="s">
        <v>42</v>
      </c>
      <c r="AF61" s="192"/>
      <c r="AG61" s="192"/>
      <c r="AH61" s="192"/>
      <c r="AI61" s="192"/>
      <c r="AJ61" s="192"/>
      <c r="AK61" s="193" t="str">
        <f t="shared" si="41"/>
        <v/>
      </c>
      <c r="AL61" s="194" t="str">
        <f t="shared" si="42"/>
        <v/>
      </c>
      <c r="AM61" s="195">
        <f>SUM(AM49:AM60)</f>
        <v>0</v>
      </c>
      <c r="AN61" s="104"/>
      <c r="AO61" s="196" t="str">
        <f t="shared" si="47"/>
        <v>CUMML</v>
      </c>
      <c r="AP61" s="192">
        <f>+(B19*$I19+B40*$I40+B61*$I61+V19*$AC19+V40*$AC40+V61*$AC61+AP19*$AW19+AP40*$AW40)/$AW61</f>
        <v>61.517511055946699</v>
      </c>
      <c r="AQ61" s="192">
        <f>+(C19*$I19+C40*$I40+C61*$I61+W19*$AC19+W40*$AC40+W61*$AC61+AQ19*$AW19+AQ40*$AW40)/$AW61</f>
        <v>3.6763820938747735</v>
      </c>
      <c r="AR61" s="192">
        <f>+(D19*$I19+D40*$I40+D61*$I61+X19*$AC19+X40*$AC40+X61*$AC61+AR19*$AW19+AR40*$AW40)/$AW61</f>
        <v>2.1709570697625495</v>
      </c>
      <c r="AS61" s="192">
        <f>+(E19*$I19+E40*$I40+E61*$I61+Y19*$AC19+Y40*$AC40+Y61*$AC61+AS19*$AW19+AS40*$AW40)/$AW61</f>
        <v>24.954431375988889</v>
      </c>
      <c r="AT61" s="192">
        <f>+(F19*$I19+F40*$I40+F61*$I61+Z19*$AC19+Z40*$AC40+Z61*$AC61+AT19*$AW19+AT40*$AW40)/$AW61</f>
        <v>16.105003654826945</v>
      </c>
      <c r="AU61" s="193">
        <f t="shared" si="43"/>
        <v>5.8473391636373231</v>
      </c>
      <c r="AV61" s="194">
        <f>IF(AQ61&gt;0,+AR61/AQ61,"")</f>
        <v>0.59051453693553368</v>
      </c>
      <c r="AW61" s="195">
        <f>SUM(AW49:AW60)</f>
        <v>1615083.31</v>
      </c>
      <c r="AX61" s="104"/>
      <c r="AY61" s="196" t="s">
        <v>42</v>
      </c>
      <c r="AZ61" s="192">
        <f>+(L19*$S19+L40*$S40+L61*$S61+AF19*$AM19+AF40*$AM40+AF61*$AM61+AZ19*$BG19+AZ40*$BG40)/$BG61</f>
        <v>61.574758781328704</v>
      </c>
      <c r="BA61" s="192">
        <f>+(M19*$S19+M40*$S40+M61*$S61+AG19*$AM19+AG40*$AM40+AG61*$AM61+BA19*$BG19+BA40*$BG40)/$BG61</f>
        <v>4.1631391351137079</v>
      </c>
      <c r="BB61" s="192">
        <f>+(N19*$S19+N40*$S40+N61*$S61+AH19*$AM19+AH40*$AM40+AH61*$AM61+BB19*$BG19+BB40*$BG40)/$BG61</f>
        <v>2.6424496359123135</v>
      </c>
      <c r="BC61" s="192">
        <f>+(O19*$S19+O40*$S40+O61*$S61+AI19*$AM19+AI40*$AM40+AI61*$AM61+BC19*$BG19+BC40*$BG40)/$BG61</f>
        <v>9.4530199956994991</v>
      </c>
      <c r="BD61" s="192">
        <f>+(P19*$S19+P40*$S40+P61*$S61+AJ19*$AM19+AJ40*$AM40+AJ61*$AM61+BD19*$BG19+BD40*$BG40)/$BG61</f>
        <v>38.487650269479481</v>
      </c>
      <c r="BE61" s="193">
        <f t="shared" si="45"/>
        <v>6.8055887710260219</v>
      </c>
      <c r="BF61" s="194">
        <f>IF(BA61&gt;0,+BB61/BA61,"")</f>
        <v>0.63472527584407534</v>
      </c>
      <c r="BG61" s="195">
        <f>SUM(BG49:BG60)</f>
        <v>2395162.0199999996</v>
      </c>
    </row>
    <row r="62" spans="1:59" ht="12.5" x14ac:dyDescent="0.25">
      <c r="A62" s="5"/>
      <c r="B62" s="5"/>
      <c r="C62" s="5"/>
      <c r="D62" s="5"/>
      <c r="E62" s="5"/>
      <c r="F62" s="5"/>
      <c r="G62" s="5"/>
      <c r="H62" s="5"/>
      <c r="I62" s="21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</row>
    <row r="63" spans="1:59" ht="19.5" x14ac:dyDescent="0.35">
      <c r="A63" s="22"/>
      <c r="B63" s="10"/>
      <c r="C63" s="10"/>
      <c r="D63" s="10"/>
      <c r="E63" s="10"/>
      <c r="F63" s="10"/>
      <c r="G63" s="10"/>
      <c r="H63" s="10"/>
      <c r="I63" s="23"/>
      <c r="J63" s="5"/>
      <c r="K63" s="22"/>
      <c r="L63" s="10"/>
      <c r="M63" s="10"/>
      <c r="N63" s="10"/>
      <c r="O63" s="10"/>
      <c r="P63" s="10"/>
      <c r="Q63" s="10"/>
      <c r="R63" s="10"/>
      <c r="S63" s="23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</row>
    <row r="64" spans="1:59" ht="34.5" customHeight="1" x14ac:dyDescent="0.45">
      <c r="A64" s="588"/>
      <c r="B64" s="588"/>
      <c r="C64" s="588"/>
      <c r="D64" s="588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14"/>
      <c r="R64" s="14"/>
      <c r="S64" s="14"/>
      <c r="T64" s="24"/>
      <c r="U64" s="13"/>
      <c r="V64" s="14"/>
      <c r="W64" s="14"/>
      <c r="X64" s="14"/>
      <c r="Y64" s="14"/>
      <c r="Z64" s="14"/>
      <c r="AA64" s="14"/>
      <c r="AB64" s="24"/>
      <c r="AC64" s="24"/>
      <c r="AD64" s="24"/>
      <c r="AE64" s="24"/>
      <c r="AF64" s="24"/>
      <c r="AG64" s="24"/>
      <c r="AH64" s="24"/>
      <c r="AI64" s="25"/>
      <c r="AJ64" s="11"/>
      <c r="AK64" s="24"/>
      <c r="AL64" s="24"/>
      <c r="AM64" s="24"/>
      <c r="AN64" s="24"/>
      <c r="AO64" s="24"/>
      <c r="AP64" s="10"/>
      <c r="AQ64" s="10"/>
      <c r="AR64" s="10"/>
      <c r="AS64" s="10"/>
      <c r="AT64" s="10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</row>
    <row r="65" spans="1:59" s="371" customFormat="1" ht="29.25" customHeight="1" x14ac:dyDescent="0.5">
      <c r="A65" s="591" t="s">
        <v>49</v>
      </c>
      <c r="B65" s="591"/>
      <c r="C65" s="591" t="s">
        <v>50</v>
      </c>
      <c r="D65" s="591"/>
      <c r="E65" s="591"/>
      <c r="F65" s="591"/>
      <c r="G65" s="24"/>
      <c r="H65" s="29"/>
      <c r="I65" s="29"/>
      <c r="J65" s="24"/>
      <c r="K65" s="592" t="s">
        <v>51</v>
      </c>
      <c r="L65" s="592"/>
      <c r="M65" s="591" t="s">
        <v>52</v>
      </c>
      <c r="N65" s="591"/>
      <c r="O65" s="591"/>
      <c r="P65" s="591"/>
      <c r="Q65" s="29"/>
      <c r="R65" s="364"/>
      <c r="S65" s="364"/>
      <c r="T65" s="365"/>
      <c r="U65" s="366"/>
      <c r="V65" s="367"/>
      <c r="W65" s="367"/>
      <c r="X65" s="366"/>
      <c r="Y65" s="368"/>
      <c r="Z65" s="369"/>
      <c r="AA65" s="364"/>
      <c r="AB65" s="365"/>
      <c r="AC65" s="365"/>
      <c r="AD65" s="365"/>
      <c r="AE65" s="366"/>
      <c r="AF65" s="367"/>
      <c r="AG65" s="367"/>
      <c r="AH65" s="364"/>
      <c r="AI65" s="369"/>
      <c r="AJ65" s="369"/>
      <c r="AK65" s="365"/>
      <c r="AL65" s="365"/>
      <c r="AM65" s="365"/>
      <c r="AN65" s="365"/>
      <c r="AO65" s="365"/>
      <c r="AP65" s="365"/>
      <c r="AQ65" s="365"/>
      <c r="AR65" s="365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</row>
    <row r="66" spans="1:59" ht="29" thickBot="1" x14ac:dyDescent="0.7">
      <c r="A66" s="28"/>
      <c r="B66" s="28"/>
      <c r="C66" s="28"/>
      <c r="D66" s="28"/>
      <c r="E66" s="28"/>
      <c r="F66" s="28"/>
      <c r="G66" s="24"/>
      <c r="H66" s="11"/>
      <c r="I66" s="31"/>
      <c r="J66" s="24"/>
      <c r="K66" s="32">
        <f t="shared" ref="K66:K67" si="67">AE42</f>
        <v>0</v>
      </c>
      <c r="L66" s="32">
        <f>AF42</f>
        <v>94.639489999999995</v>
      </c>
      <c r="M66" s="32">
        <f>AG42</f>
        <v>0</v>
      </c>
      <c r="N66" s="32">
        <f>AH42</f>
        <v>0</v>
      </c>
      <c r="O66" s="32">
        <f>AI42</f>
        <v>0</v>
      </c>
      <c r="P66" s="32">
        <f>AJ42</f>
        <v>0</v>
      </c>
      <c r="Q66" s="11"/>
      <c r="R66" s="11"/>
      <c r="S66" s="11"/>
      <c r="T66" s="24"/>
      <c r="U66" s="11"/>
      <c r="V66" s="11"/>
      <c r="W66" s="11"/>
      <c r="X66" s="11"/>
      <c r="Y66" s="11"/>
      <c r="Z66" s="11"/>
      <c r="AA66" s="29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</row>
    <row r="67" spans="1:59" ht="21.5" thickBot="1" x14ac:dyDescent="0.5">
      <c r="A67" s="448"/>
      <c r="B67" s="449" t="s">
        <v>53</v>
      </c>
      <c r="C67" s="450" t="s">
        <v>54</v>
      </c>
      <c r="D67" s="450" t="s">
        <v>55</v>
      </c>
      <c r="E67" s="450" t="s">
        <v>37</v>
      </c>
      <c r="F67" s="451" t="s">
        <v>38</v>
      </c>
      <c r="G67" s="452" t="s">
        <v>41</v>
      </c>
      <c r="H67" s="453"/>
      <c r="I67" s="453"/>
      <c r="J67" s="454"/>
      <c r="K67" s="455">
        <f t="shared" si="67"/>
        <v>0</v>
      </c>
      <c r="L67" s="449" t="s">
        <v>53</v>
      </c>
      <c r="M67" s="450" t="s">
        <v>54</v>
      </c>
      <c r="N67" s="450" t="s">
        <v>55</v>
      </c>
      <c r="O67" s="450" t="s">
        <v>37</v>
      </c>
      <c r="P67" s="451" t="s">
        <v>38</v>
      </c>
      <c r="Q67" s="452" t="s">
        <v>41</v>
      </c>
      <c r="R67" s="24"/>
      <c r="S67" s="24"/>
      <c r="T67" s="24"/>
      <c r="U67" s="38"/>
      <c r="V67" s="39"/>
      <c r="W67" s="39"/>
      <c r="X67" s="39"/>
      <c r="Y67" s="39"/>
      <c r="Z67" s="39"/>
      <c r="AA67" s="29"/>
      <c r="AB67" s="39"/>
      <c r="AC67" s="24"/>
      <c r="AD67" s="24"/>
      <c r="AE67" s="38"/>
      <c r="AF67" s="39"/>
      <c r="AG67" s="39"/>
      <c r="AH67" s="39"/>
      <c r="AI67" s="39"/>
      <c r="AJ67" s="39"/>
      <c r="AK67" s="39"/>
      <c r="AL67" s="24"/>
      <c r="AM67" s="24"/>
      <c r="AN67" s="24"/>
      <c r="AO67" s="24"/>
      <c r="AP67" s="24"/>
      <c r="AQ67" s="24"/>
      <c r="AR67" s="24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</row>
    <row r="68" spans="1:59" ht="21" thickBot="1" x14ac:dyDescent="0.5">
      <c r="A68" s="456" t="str">
        <f t="shared" ref="A68:A69" si="68">A5</f>
        <v>Act 20-21</v>
      </c>
      <c r="B68" s="457">
        <v>45.69</v>
      </c>
      <c r="C68" s="458">
        <v>1.75</v>
      </c>
      <c r="D68" s="458">
        <v>4.08</v>
      </c>
      <c r="E68" s="458">
        <v>10.32</v>
      </c>
      <c r="F68" s="459">
        <v>10.41</v>
      </c>
      <c r="G68" s="460"/>
      <c r="H68" s="453"/>
      <c r="I68" s="453"/>
      <c r="J68" s="454"/>
      <c r="K68" s="456" t="str">
        <f>A68</f>
        <v>Act 20-21</v>
      </c>
      <c r="L68" s="457"/>
      <c r="M68" s="458"/>
      <c r="N68" s="458"/>
      <c r="O68" s="458"/>
      <c r="P68" s="459"/>
      <c r="Q68" s="460"/>
      <c r="R68" s="24"/>
      <c r="S68" s="24"/>
      <c r="T68" s="24"/>
      <c r="U68" s="44"/>
      <c r="V68" s="44"/>
      <c r="W68" s="44"/>
      <c r="X68" s="44"/>
      <c r="Y68" s="44"/>
      <c r="Z68" s="44"/>
      <c r="AA68" s="29"/>
      <c r="AB68" s="45"/>
      <c r="AC68" s="24"/>
      <c r="AD68" s="24"/>
      <c r="AE68" s="44"/>
      <c r="AF68" s="46"/>
      <c r="AG68" s="46"/>
      <c r="AH68" s="46"/>
      <c r="AI68" s="46"/>
      <c r="AJ68" s="46"/>
      <c r="AK68" s="45"/>
      <c r="AL68" s="24"/>
      <c r="AM68" s="24"/>
      <c r="AN68" s="24"/>
      <c r="AO68" s="24"/>
      <c r="AP68" s="24"/>
      <c r="AQ68" s="24"/>
      <c r="AR68" s="24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</row>
    <row r="69" spans="1:59" ht="21" thickBot="1" x14ac:dyDescent="0.5">
      <c r="A69" s="461" t="str">
        <f t="shared" si="68"/>
        <v>APP 21-22</v>
      </c>
      <c r="B69" s="449">
        <v>50</v>
      </c>
      <c r="C69" s="450">
        <v>2.25</v>
      </c>
      <c r="D69" s="450">
        <v>3.5</v>
      </c>
      <c r="E69" s="450">
        <v>5</v>
      </c>
      <c r="F69" s="451">
        <v>5</v>
      </c>
      <c r="G69" s="462"/>
      <c r="H69" s="453"/>
      <c r="I69" s="453"/>
      <c r="J69" s="454"/>
      <c r="K69" s="461" t="str">
        <f t="shared" ref="K69:K82" si="69">A69</f>
        <v>APP 21-22</v>
      </c>
      <c r="L69" s="449">
        <v>30</v>
      </c>
      <c r="M69" s="450">
        <v>18</v>
      </c>
      <c r="N69" s="450">
        <v>5</v>
      </c>
      <c r="O69" s="450">
        <v>5</v>
      </c>
      <c r="P69" s="451">
        <v>10</v>
      </c>
      <c r="Q69" s="462"/>
      <c r="R69" s="24"/>
      <c r="S69" s="24"/>
      <c r="T69" s="24"/>
      <c r="U69" s="48"/>
      <c r="V69" s="49"/>
      <c r="W69" s="49"/>
      <c r="X69" s="49"/>
      <c r="Y69" s="49"/>
      <c r="Z69" s="49"/>
      <c r="AA69" s="29"/>
      <c r="AB69" s="8"/>
      <c r="AC69" s="24"/>
      <c r="AD69" s="24"/>
      <c r="AE69" s="50"/>
      <c r="AF69" s="51"/>
      <c r="AG69" s="51"/>
      <c r="AH69" s="51"/>
      <c r="AI69" s="51"/>
      <c r="AJ69" s="51"/>
      <c r="AK69" s="8"/>
      <c r="AL69" s="24"/>
      <c r="AM69" s="24"/>
      <c r="AN69" s="24"/>
      <c r="AO69" s="24"/>
      <c r="AP69" s="24"/>
      <c r="AQ69" s="24"/>
      <c r="AR69" s="24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</row>
    <row r="70" spans="1:59" ht="21" x14ac:dyDescent="0.45">
      <c r="A70" s="463">
        <f>A7</f>
        <v>44287</v>
      </c>
      <c r="B70" s="464"/>
      <c r="C70" s="465"/>
      <c r="D70" s="465"/>
      <c r="E70" s="465"/>
      <c r="F70" s="466"/>
      <c r="G70" s="467">
        <f>IF(B70&gt;0,IFERROR(GETPIVOTDATA("act_qty",RECPT!$A$23,"yymm","202104","unit","KTR","comm","LS"),0),)</f>
        <v>0</v>
      </c>
      <c r="H70" s="453"/>
      <c r="I70" s="453"/>
      <c r="J70" s="454"/>
      <c r="K70" s="463">
        <f t="shared" si="69"/>
        <v>44287</v>
      </c>
      <c r="L70" s="464"/>
      <c r="M70" s="465"/>
      <c r="N70" s="465"/>
      <c r="O70" s="465"/>
      <c r="P70" s="466"/>
      <c r="Q70" s="467">
        <f>IF(L70&gt;0,IFERROR(GETPIVOTDATA("act_qty",RECPT!$A$23,"yymm","202104","unit","TDM","comm","BD"),0),)</f>
        <v>0</v>
      </c>
      <c r="R70" s="24"/>
      <c r="S70" s="24"/>
      <c r="T70" s="24"/>
      <c r="U70" s="9"/>
      <c r="V70" s="15"/>
      <c r="W70" s="15"/>
      <c r="X70" s="15"/>
      <c r="Y70" s="15"/>
      <c r="Z70" s="15"/>
      <c r="AA70" s="29"/>
      <c r="AB70" s="23"/>
      <c r="AC70" s="24"/>
      <c r="AD70" s="24"/>
      <c r="AE70" s="9"/>
      <c r="AF70" s="10"/>
      <c r="AG70" s="10"/>
      <c r="AH70" s="10"/>
      <c r="AI70" s="10"/>
      <c r="AJ70" s="10"/>
      <c r="AK70" s="23"/>
      <c r="AL70" s="24"/>
      <c r="AM70" s="24"/>
      <c r="AN70" s="24"/>
      <c r="AO70" s="24"/>
      <c r="AP70" s="24"/>
      <c r="AQ70" s="24"/>
      <c r="AR70" s="24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</row>
    <row r="71" spans="1:59" ht="21" x14ac:dyDescent="0.45">
      <c r="A71" s="448">
        <f t="shared" ref="A71:A82" si="70">A8</f>
        <v>44317</v>
      </c>
      <c r="B71" s="464"/>
      <c r="C71" s="468"/>
      <c r="D71" s="468"/>
      <c r="E71" s="468"/>
      <c r="F71" s="469"/>
      <c r="G71" s="470">
        <f>IF(B71&gt;0,IFERROR(GETPIVOTDATA("act_qty",RECPT!$A$23,"yymm","202105","unit","KTR","comm","LS"),0),)</f>
        <v>0</v>
      </c>
      <c r="H71" s="453"/>
      <c r="I71" s="453"/>
      <c r="J71" s="454"/>
      <c r="K71" s="448">
        <f t="shared" si="69"/>
        <v>44317</v>
      </c>
      <c r="L71" s="464"/>
      <c r="M71" s="468"/>
      <c r="N71" s="468"/>
      <c r="O71" s="468"/>
      <c r="P71" s="469"/>
      <c r="Q71" s="470">
        <f>IF(L71&gt;0,IFERROR(GETPIVOTDATA("act_qty",RECPT!$A$23,"yymm","202105","unit","TDM","comm","BD"),0),)</f>
        <v>0</v>
      </c>
      <c r="R71" s="24"/>
      <c r="S71" s="24"/>
      <c r="T71" s="24"/>
      <c r="U71" s="9"/>
      <c r="V71" s="15"/>
      <c r="W71" s="15"/>
      <c r="X71" s="15"/>
      <c r="Y71" s="15"/>
      <c r="Z71" s="15"/>
      <c r="AA71" s="29"/>
      <c r="AB71" s="10"/>
      <c r="AC71" s="24"/>
      <c r="AD71" s="24"/>
      <c r="AE71" s="9"/>
      <c r="AF71" s="10"/>
      <c r="AG71" s="10"/>
      <c r="AH71" s="10"/>
      <c r="AI71" s="10"/>
      <c r="AJ71" s="10"/>
      <c r="AK71" s="23"/>
      <c r="AL71" s="24"/>
      <c r="AM71" s="24"/>
      <c r="AN71" s="24"/>
      <c r="AO71" s="24"/>
      <c r="AP71" s="24"/>
      <c r="AQ71" s="24"/>
      <c r="AR71" s="24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</row>
    <row r="72" spans="1:59" ht="21" x14ac:dyDescent="0.45">
      <c r="A72" s="448">
        <f t="shared" si="70"/>
        <v>44348</v>
      </c>
      <c r="B72" s="464"/>
      <c r="C72" s="468"/>
      <c r="D72" s="468"/>
      <c r="E72" s="468"/>
      <c r="F72" s="469"/>
      <c r="G72" s="470">
        <f>IF(B72&gt;0,IFERROR(GETPIVOTDATA("act_qty",RECPT!$A$23,"yymm","202106","unit","KTR","comm","LS"),0),)</f>
        <v>0</v>
      </c>
      <c r="H72" s="453"/>
      <c r="I72" s="453"/>
      <c r="J72" s="454"/>
      <c r="K72" s="448">
        <f t="shared" si="69"/>
        <v>44348</v>
      </c>
      <c r="L72" s="464"/>
      <c r="M72" s="468"/>
      <c r="N72" s="468"/>
      <c r="O72" s="468"/>
      <c r="P72" s="469"/>
      <c r="Q72" s="470">
        <f>IF(L72&gt;0,IFERROR(GETPIVOTDATA("act_qty",RECPT!$A$23,"yymm","202106","unit","TDM","comm","BD"),0),)</f>
        <v>0</v>
      </c>
      <c r="R72" s="24"/>
      <c r="S72" s="24"/>
      <c r="T72" s="24"/>
      <c r="U72" s="9"/>
      <c r="V72" s="15"/>
      <c r="W72" s="15"/>
      <c r="X72" s="15"/>
      <c r="Y72" s="15"/>
      <c r="Z72" s="15"/>
      <c r="AA72" s="29"/>
      <c r="AB72" s="10"/>
      <c r="AC72" s="24"/>
      <c r="AD72" s="24"/>
      <c r="AE72" s="9"/>
      <c r="AF72" s="10"/>
      <c r="AG72" s="10"/>
      <c r="AH72" s="10"/>
      <c r="AI72" s="10"/>
      <c r="AJ72" s="10"/>
      <c r="AK72" s="23"/>
      <c r="AL72" s="24"/>
      <c r="AM72" s="24"/>
      <c r="AN72" s="24"/>
      <c r="AO72" s="24"/>
      <c r="AP72" s="24"/>
      <c r="AQ72" s="24"/>
      <c r="AR72" s="24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</row>
    <row r="73" spans="1:59" ht="21" x14ac:dyDescent="0.45">
      <c r="A73" s="448">
        <f t="shared" si="70"/>
        <v>44378</v>
      </c>
      <c r="B73" s="464"/>
      <c r="C73" s="468"/>
      <c r="D73" s="468"/>
      <c r="E73" s="468"/>
      <c r="F73" s="469"/>
      <c r="G73" s="470">
        <f>IF(B73&gt;0,IFERROR(GETPIVOTDATA("act_qty",RECPT!$A$23,"yymm","202107","unit","KTR","comm","LS"),0),)</f>
        <v>0</v>
      </c>
      <c r="H73" s="453"/>
      <c r="I73" s="453"/>
      <c r="J73" s="454"/>
      <c r="K73" s="448">
        <f t="shared" si="69"/>
        <v>44378</v>
      </c>
      <c r="L73" s="464"/>
      <c r="M73" s="468"/>
      <c r="N73" s="468"/>
      <c r="O73" s="468"/>
      <c r="P73" s="469"/>
      <c r="Q73" s="470">
        <f>IF(L73&gt;0,IFERROR(GETPIVOTDATA("act_qty",RECPT!$A$23,"yymm","202107","unit","TDM","comm","BD"),0),)</f>
        <v>0</v>
      </c>
      <c r="R73" s="24"/>
      <c r="S73" s="24"/>
      <c r="T73" s="24"/>
      <c r="U73" s="9"/>
      <c r="V73" s="15"/>
      <c r="W73" s="15"/>
      <c r="X73" s="15"/>
      <c r="Y73" s="15"/>
      <c r="Z73" s="15"/>
      <c r="AA73" s="29"/>
      <c r="AB73" s="10"/>
      <c r="AC73" s="24"/>
      <c r="AD73" s="24"/>
      <c r="AE73" s="9"/>
      <c r="AF73" s="10"/>
      <c r="AG73" s="10"/>
      <c r="AH73" s="10"/>
      <c r="AI73" s="10"/>
      <c r="AJ73" s="10"/>
      <c r="AK73" s="23"/>
      <c r="AL73" s="24"/>
      <c r="AM73" s="24"/>
      <c r="AN73" s="24"/>
      <c r="AO73" s="24"/>
      <c r="AP73" s="24"/>
      <c r="AQ73" s="24"/>
      <c r="AR73" s="24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</row>
    <row r="74" spans="1:59" ht="21" x14ac:dyDescent="0.45">
      <c r="A74" s="448">
        <f t="shared" si="70"/>
        <v>44409</v>
      </c>
      <c r="B74" s="464"/>
      <c r="C74" s="468"/>
      <c r="D74" s="468"/>
      <c r="E74" s="468"/>
      <c r="F74" s="469"/>
      <c r="G74" s="470">
        <f>IF(B74&gt;0,IFERROR(GETPIVOTDATA("act_qty",RECPT!$A$23,"yymm","202108","unit","KTR","comm","LS"),0),)</f>
        <v>0</v>
      </c>
      <c r="H74" s="453"/>
      <c r="I74" s="453"/>
      <c r="J74" s="454"/>
      <c r="K74" s="448">
        <f t="shared" si="69"/>
        <v>44409</v>
      </c>
      <c r="L74" s="464"/>
      <c r="M74" s="468"/>
      <c r="N74" s="468"/>
      <c r="O74" s="468"/>
      <c r="P74" s="469"/>
      <c r="Q74" s="470">
        <f>IF(L74&gt;0,IFERROR(GETPIVOTDATA("act_qty",RECPT!$A$23,"yymm","202108","unit","TDM","comm","BD"),0),)</f>
        <v>0</v>
      </c>
      <c r="R74" s="24"/>
      <c r="S74" s="24"/>
      <c r="T74" s="24"/>
      <c r="U74" s="9"/>
      <c r="V74" s="15"/>
      <c r="W74" s="15"/>
      <c r="X74" s="15"/>
      <c r="Y74" s="15"/>
      <c r="Z74" s="15"/>
      <c r="AA74" s="29"/>
      <c r="AB74" s="10"/>
      <c r="AC74" s="24"/>
      <c r="AD74" s="24"/>
      <c r="AE74" s="9"/>
      <c r="AF74" s="10"/>
      <c r="AG74" s="10"/>
      <c r="AH74" s="10"/>
      <c r="AI74" s="10"/>
      <c r="AJ74" s="10"/>
      <c r="AK74" s="23"/>
      <c r="AL74" s="24"/>
      <c r="AM74" s="24"/>
      <c r="AN74" s="24"/>
      <c r="AO74" s="24"/>
      <c r="AP74" s="24"/>
      <c r="AQ74" s="24"/>
      <c r="AR74" s="24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</row>
    <row r="75" spans="1:59" ht="21" x14ac:dyDescent="0.45">
      <c r="A75" s="448">
        <f t="shared" si="70"/>
        <v>44440</v>
      </c>
      <c r="B75" s="464"/>
      <c r="C75" s="468"/>
      <c r="D75" s="468"/>
      <c r="E75" s="468"/>
      <c r="F75" s="469"/>
      <c r="G75" s="470">
        <f>IF(B75&gt;0,IFERROR(GETPIVOTDATA("act_qty",RECPT!$A$23,"yymm","202109","unit","KTR","comm","LS"),0),)</f>
        <v>0</v>
      </c>
      <c r="H75" s="453"/>
      <c r="I75" s="453"/>
      <c r="J75" s="454"/>
      <c r="K75" s="448">
        <f t="shared" si="69"/>
        <v>44440</v>
      </c>
      <c r="L75" s="464"/>
      <c r="M75" s="468"/>
      <c r="N75" s="468"/>
      <c r="O75" s="468"/>
      <c r="P75" s="469"/>
      <c r="Q75" s="470">
        <f>IF(L75&gt;0,IFERROR(GETPIVOTDATA("act_qty",RECPT!$A$23,"yymm","202109","unit","TDM","comm","BD"),0),)</f>
        <v>0</v>
      </c>
      <c r="R75" s="24"/>
      <c r="S75" s="24"/>
      <c r="T75" s="24"/>
      <c r="U75" s="9"/>
      <c r="V75" s="15"/>
      <c r="W75" s="15"/>
      <c r="X75" s="15"/>
      <c r="Y75" s="15"/>
      <c r="Z75" s="15"/>
      <c r="AA75" s="29"/>
      <c r="AB75" s="10"/>
      <c r="AC75" s="24"/>
      <c r="AD75" s="24"/>
      <c r="AE75" s="9"/>
      <c r="AF75" s="10"/>
      <c r="AG75" s="10"/>
      <c r="AH75" s="10"/>
      <c r="AI75" s="10"/>
      <c r="AJ75" s="10"/>
      <c r="AK75" s="23"/>
      <c r="AL75" s="24"/>
      <c r="AM75" s="24"/>
      <c r="AN75" s="24"/>
      <c r="AO75" s="24"/>
      <c r="AP75" s="24"/>
      <c r="AQ75" s="24"/>
      <c r="AR75" s="24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</row>
    <row r="76" spans="1:59" ht="21" x14ac:dyDescent="0.45">
      <c r="A76" s="448">
        <f t="shared" si="70"/>
        <v>44470</v>
      </c>
      <c r="B76" s="464"/>
      <c r="C76" s="468"/>
      <c r="D76" s="468"/>
      <c r="E76" s="468"/>
      <c r="F76" s="469"/>
      <c r="G76" s="470">
        <f>IF(B76&gt;0,IFERROR(GETPIVOTDATA("act_qty",RECPT!$A$23,"yymm","202110","unit","KTR","comm","LS"),0),)</f>
        <v>0</v>
      </c>
      <c r="H76" s="453"/>
      <c r="I76" s="453"/>
      <c r="J76" s="454"/>
      <c r="K76" s="448">
        <f t="shared" si="69"/>
        <v>44470</v>
      </c>
      <c r="L76" s="464"/>
      <c r="M76" s="468"/>
      <c r="N76" s="468"/>
      <c r="O76" s="468"/>
      <c r="P76" s="469"/>
      <c r="Q76" s="470">
        <f>IF(L76&gt;0,IFERROR(GETPIVOTDATA("act_qty",RECPT!$A$23,"yymm","202110","unit","TDM","comm","BD"),0),)</f>
        <v>0</v>
      </c>
      <c r="R76" s="24"/>
      <c r="S76" s="24"/>
      <c r="T76" s="24"/>
      <c r="U76" s="9"/>
      <c r="V76" s="15"/>
      <c r="W76" s="15"/>
      <c r="X76" s="15"/>
      <c r="Y76" s="15"/>
      <c r="Z76" s="15"/>
      <c r="AA76" s="29"/>
      <c r="AB76" s="10"/>
      <c r="AC76" s="24"/>
      <c r="AD76" s="24"/>
      <c r="AE76" s="9"/>
      <c r="AF76" s="10"/>
      <c r="AG76" s="10"/>
      <c r="AH76" s="10"/>
      <c r="AI76" s="10"/>
      <c r="AJ76" s="10"/>
      <c r="AK76" s="23"/>
      <c r="AL76" s="24"/>
      <c r="AM76" s="24"/>
      <c r="AN76" s="24"/>
      <c r="AO76" s="24"/>
      <c r="AP76" s="24"/>
      <c r="AQ76" s="24"/>
      <c r="AR76" s="24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</row>
    <row r="77" spans="1:59" ht="21" x14ac:dyDescent="0.45">
      <c r="A77" s="448">
        <f t="shared" si="70"/>
        <v>44501</v>
      </c>
      <c r="B77" s="464"/>
      <c r="C77" s="468"/>
      <c r="D77" s="468"/>
      <c r="E77" s="468"/>
      <c r="F77" s="471"/>
      <c r="G77" s="470">
        <f>IF(B77&gt;0,IFERROR(GETPIVOTDATA("act_qty",RECPT!$A$23,"yymm","202111","unit","KTR","comm","LS"),0),)</f>
        <v>0</v>
      </c>
      <c r="H77" s="453"/>
      <c r="I77" s="453"/>
      <c r="J77" s="454"/>
      <c r="K77" s="448">
        <f t="shared" si="69"/>
        <v>44501</v>
      </c>
      <c r="L77" s="464"/>
      <c r="M77" s="468"/>
      <c r="N77" s="468"/>
      <c r="O77" s="468"/>
      <c r="P77" s="471"/>
      <c r="Q77" s="470">
        <f>IF(L77&gt;0,IFERROR(GETPIVOTDATA("act_qty",RECPT!$A$23,"yymm","202111","unit","TDM","comm","BD"),0),)</f>
        <v>0</v>
      </c>
      <c r="R77" s="24"/>
      <c r="S77" s="24"/>
      <c r="T77" s="24"/>
      <c r="U77" s="9"/>
      <c r="V77" s="15"/>
      <c r="W77" s="15"/>
      <c r="X77" s="15"/>
      <c r="Y77" s="15"/>
      <c r="Z77" s="15"/>
      <c r="AA77" s="29"/>
      <c r="AB77" s="10"/>
      <c r="AC77" s="24"/>
      <c r="AD77" s="24"/>
      <c r="AE77" s="9"/>
      <c r="AF77" s="10"/>
      <c r="AG77" s="10"/>
      <c r="AH77" s="10"/>
      <c r="AI77" s="10"/>
      <c r="AJ77" s="10"/>
      <c r="AK77" s="23"/>
      <c r="AL77" s="24"/>
      <c r="AM77" s="24"/>
      <c r="AN77" s="24"/>
      <c r="AO77" s="24"/>
      <c r="AP77" s="24"/>
      <c r="AQ77" s="24"/>
      <c r="AR77" s="24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</row>
    <row r="78" spans="1:59" ht="21" x14ac:dyDescent="0.45">
      <c r="A78" s="448">
        <f t="shared" si="70"/>
        <v>44531</v>
      </c>
      <c r="B78" s="464"/>
      <c r="C78" s="468"/>
      <c r="D78" s="468"/>
      <c r="E78" s="468"/>
      <c r="F78" s="471"/>
      <c r="G78" s="470">
        <f>IF(B78&gt;0,IFERROR(GETPIVOTDATA("act_qty",RECPT!$A$23,"yymm","202112","unit","KTR","comm","LS"),0),)</f>
        <v>0</v>
      </c>
      <c r="H78" s="453"/>
      <c r="I78" s="453"/>
      <c r="J78" s="454"/>
      <c r="K78" s="448">
        <f t="shared" si="69"/>
        <v>44531</v>
      </c>
      <c r="L78" s="464"/>
      <c r="M78" s="468"/>
      <c r="N78" s="468"/>
      <c r="O78" s="468"/>
      <c r="P78" s="471"/>
      <c r="Q78" s="470">
        <f>IF(L78&gt;0,IFERROR(GETPIVOTDATA("act_qty",RECPT!$A$23,"yymm","202112","unit","TDM","comm","BD"),0),)</f>
        <v>0</v>
      </c>
      <c r="R78" s="24"/>
      <c r="S78" s="24"/>
      <c r="T78" s="24"/>
      <c r="U78" s="9"/>
      <c r="V78" s="15"/>
      <c r="W78" s="15"/>
      <c r="X78" s="15"/>
      <c r="Y78" s="15"/>
      <c r="Z78" s="15"/>
      <c r="AA78" s="29"/>
      <c r="AB78" s="10"/>
      <c r="AC78" s="24"/>
      <c r="AD78" s="24"/>
      <c r="AE78" s="9"/>
      <c r="AF78" s="10"/>
      <c r="AG78" s="10"/>
      <c r="AH78" s="10"/>
      <c r="AI78" s="10"/>
      <c r="AJ78" s="10"/>
      <c r="AK78" s="23"/>
      <c r="AL78" s="24"/>
      <c r="AM78" s="24"/>
      <c r="AN78" s="24"/>
      <c r="AO78" s="24"/>
      <c r="AP78" s="24"/>
      <c r="AQ78" s="24"/>
      <c r="AR78" s="24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</row>
    <row r="79" spans="1:59" ht="21" x14ac:dyDescent="0.45">
      <c r="A79" s="448">
        <f t="shared" si="70"/>
        <v>44562</v>
      </c>
      <c r="B79" s="464"/>
      <c r="C79" s="468"/>
      <c r="D79" s="468"/>
      <c r="E79" s="468"/>
      <c r="F79" s="471"/>
      <c r="G79" s="470">
        <f>IF(B79&gt;0,IFERROR(GETPIVOTDATA("act_qty",RECPT!$A$23,"yymm","202201","unit","KTR","comm","LS"),0),)</f>
        <v>0</v>
      </c>
      <c r="H79" s="453"/>
      <c r="I79" s="453"/>
      <c r="J79" s="454"/>
      <c r="K79" s="448">
        <f t="shared" si="69"/>
        <v>44562</v>
      </c>
      <c r="L79" s="464"/>
      <c r="M79" s="468"/>
      <c r="N79" s="468"/>
      <c r="O79" s="468"/>
      <c r="P79" s="471"/>
      <c r="Q79" s="470">
        <f>IF(L79&gt;0,IFERROR(GETPIVOTDATA("act_qty",RECPT!$A$23,"yymm","202201","unit","TDM","comm","BD"),0),)</f>
        <v>0</v>
      </c>
      <c r="R79" s="24"/>
      <c r="S79" s="24"/>
      <c r="T79" s="24"/>
      <c r="U79" s="9"/>
      <c r="V79" s="15"/>
      <c r="W79" s="15"/>
      <c r="X79" s="15"/>
      <c r="Y79" s="15"/>
      <c r="Z79" s="15"/>
      <c r="AA79" s="29"/>
      <c r="AB79" s="10"/>
      <c r="AC79" s="24"/>
      <c r="AD79" s="24"/>
      <c r="AE79" s="9"/>
      <c r="AF79" s="10"/>
      <c r="AG79" s="10"/>
      <c r="AH79" s="10"/>
      <c r="AI79" s="10"/>
      <c r="AJ79" s="10"/>
      <c r="AK79" s="23"/>
      <c r="AL79" s="24"/>
      <c r="AM79" s="24"/>
      <c r="AN79" s="24"/>
      <c r="AO79" s="24"/>
      <c r="AP79" s="24"/>
      <c r="AQ79" s="24"/>
      <c r="AR79" s="24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</row>
    <row r="80" spans="1:59" ht="21" x14ac:dyDescent="0.45">
      <c r="A80" s="448">
        <f t="shared" si="70"/>
        <v>44593</v>
      </c>
      <c r="B80" s="464"/>
      <c r="C80" s="468"/>
      <c r="D80" s="468"/>
      <c r="E80" s="468"/>
      <c r="F80" s="471"/>
      <c r="G80" s="470">
        <f>IF(B80&gt;0,IFERROR(GETPIVOTDATA("act_qty",RECPT!$A$23,"yymm","202202","unit","KTR","comm","LS"),0),)</f>
        <v>0</v>
      </c>
      <c r="H80" s="453"/>
      <c r="I80" s="453"/>
      <c r="J80" s="454"/>
      <c r="K80" s="448">
        <f t="shared" si="69"/>
        <v>44593</v>
      </c>
      <c r="L80" s="464"/>
      <c r="M80" s="468"/>
      <c r="N80" s="468"/>
      <c r="O80" s="468"/>
      <c r="P80" s="471"/>
      <c r="Q80" s="470">
        <f>IF(L80&gt;0,IFERROR(GETPIVOTDATA("act_qty",RECPT!$A$23,"yymm","202202","unit","TDM","comm","BD"),0),)</f>
        <v>0</v>
      </c>
      <c r="R80" s="24"/>
      <c r="S80" s="24"/>
      <c r="T80" s="24"/>
      <c r="U80" s="9"/>
      <c r="V80" s="15"/>
      <c r="W80" s="15"/>
      <c r="X80" s="15"/>
      <c r="Y80" s="15"/>
      <c r="Z80" s="15"/>
      <c r="AA80" s="29"/>
      <c r="AB80" s="10"/>
      <c r="AC80" s="24"/>
      <c r="AD80" s="24"/>
      <c r="AE80" s="9"/>
      <c r="AF80" s="10"/>
      <c r="AG80" s="10"/>
      <c r="AH80" s="10"/>
      <c r="AI80" s="10"/>
      <c r="AJ80" s="10"/>
      <c r="AK80" s="23"/>
      <c r="AL80" s="24"/>
      <c r="AM80" s="24"/>
      <c r="AN80" s="24"/>
      <c r="AO80" s="24"/>
      <c r="AP80" s="24"/>
      <c r="AQ80" s="24"/>
      <c r="AR80" s="24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</row>
    <row r="81" spans="1:59" ht="21.5" thickBot="1" x14ac:dyDescent="0.5">
      <c r="A81" s="456">
        <f t="shared" si="70"/>
        <v>44621</v>
      </c>
      <c r="B81" s="464"/>
      <c r="C81" s="472"/>
      <c r="D81" s="472"/>
      <c r="E81" s="472"/>
      <c r="F81" s="473"/>
      <c r="G81" s="474">
        <f>IF(B81&gt;0,IFERROR(GETPIVOTDATA("act_qty",RECPT!$A$23,"yymm","202203","unit","KTR","comm","LS"),0),)</f>
        <v>0</v>
      </c>
      <c r="H81" s="453"/>
      <c r="I81" s="453"/>
      <c r="J81" s="454"/>
      <c r="K81" s="456">
        <f t="shared" si="69"/>
        <v>44621</v>
      </c>
      <c r="L81" s="464"/>
      <c r="M81" s="472"/>
      <c r="N81" s="472"/>
      <c r="O81" s="472"/>
      <c r="P81" s="473"/>
      <c r="Q81" s="474">
        <f>IF(L81&gt;0,IFERROR(GETPIVOTDATA("act_qty",RECPT!$A$23,"yymm","202203","unit","TDM","comm","BD"),0),)</f>
        <v>0</v>
      </c>
      <c r="R81" s="24"/>
      <c r="S81" s="24"/>
      <c r="T81" s="24"/>
      <c r="U81" s="9"/>
      <c r="V81" s="15"/>
      <c r="W81" s="15"/>
      <c r="X81" s="15"/>
      <c r="Y81" s="15"/>
      <c r="Z81" s="15"/>
      <c r="AA81" s="29"/>
      <c r="AB81" s="10"/>
      <c r="AC81" s="24"/>
      <c r="AD81" s="24"/>
      <c r="AE81" s="9"/>
      <c r="AF81" s="10"/>
      <c r="AG81" s="10"/>
      <c r="AH81" s="10"/>
      <c r="AI81" s="10"/>
      <c r="AJ81" s="10"/>
      <c r="AK81" s="23"/>
      <c r="AL81" s="24"/>
      <c r="AM81" s="24"/>
      <c r="AN81" s="24"/>
      <c r="AO81" s="24"/>
      <c r="AP81" s="24"/>
      <c r="AQ81" s="24"/>
      <c r="AR81" s="24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1:59" ht="21" thickBot="1" x14ac:dyDescent="0.5">
      <c r="A82" s="461" t="str">
        <f t="shared" si="70"/>
        <v>CUMML</v>
      </c>
      <c r="B82" s="449"/>
      <c r="C82" s="450"/>
      <c r="D82" s="450"/>
      <c r="E82" s="450"/>
      <c r="F82" s="451"/>
      <c r="G82" s="475">
        <f>SUM(G70:G81)</f>
        <v>0</v>
      </c>
      <c r="H82" s="453"/>
      <c r="I82" s="453"/>
      <c r="J82" s="454"/>
      <c r="K82" s="461" t="str">
        <f t="shared" si="69"/>
        <v>CUMML</v>
      </c>
      <c r="L82" s="449"/>
      <c r="M82" s="450"/>
      <c r="N82" s="450"/>
      <c r="O82" s="450"/>
      <c r="P82" s="451"/>
      <c r="Q82" s="475">
        <f>SUM(Q70:Q81)</f>
        <v>0</v>
      </c>
      <c r="R82" s="24"/>
      <c r="S82" s="24"/>
      <c r="T82" s="24"/>
      <c r="U82" s="65"/>
      <c r="V82" s="10"/>
      <c r="W82" s="10"/>
      <c r="X82" s="10"/>
      <c r="Y82" s="10"/>
      <c r="Z82" s="10"/>
      <c r="AA82" s="24"/>
      <c r="AB82" s="23"/>
      <c r="AC82" s="24"/>
      <c r="AD82" s="24"/>
      <c r="AE82" s="9"/>
      <c r="AF82" s="10"/>
      <c r="AG82" s="10"/>
      <c r="AH82" s="10"/>
      <c r="AI82" s="10"/>
      <c r="AJ82" s="10"/>
      <c r="AK82" s="23"/>
      <c r="AL82" s="24"/>
      <c r="AM82" s="24"/>
      <c r="AN82" s="24"/>
      <c r="AO82" s="24"/>
      <c r="AP82" s="24"/>
      <c r="AQ82" s="24"/>
      <c r="AR82" s="24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</row>
    <row r="83" spans="1:59" ht="18" customHeight="1" x14ac:dyDescent="0.35">
      <c r="A83" s="24"/>
      <c r="B83" s="24"/>
      <c r="C83" s="24"/>
      <c r="D83" s="24"/>
      <c r="E83" s="24"/>
      <c r="F83" s="24"/>
      <c r="G83" s="24"/>
      <c r="H83" s="24"/>
      <c r="I83" s="37"/>
      <c r="J83" s="24"/>
      <c r="K83" s="24"/>
      <c r="L83" s="24"/>
      <c r="M83" s="24"/>
      <c r="N83" s="24"/>
      <c r="O83" s="24"/>
      <c r="P83" s="24"/>
      <c r="Q83" s="11"/>
      <c r="R83" s="24"/>
      <c r="S83" s="24"/>
      <c r="T83" s="24"/>
      <c r="U83" s="24"/>
      <c r="V83" s="24"/>
      <c r="W83" s="24"/>
      <c r="X83" s="24"/>
      <c r="Y83" s="24"/>
      <c r="Z83" s="24"/>
      <c r="AA83" s="29"/>
      <c r="AB83" s="24"/>
      <c r="AC83" s="5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</row>
    <row r="84" spans="1:59" ht="19.5" x14ac:dyDescent="0.35">
      <c r="A84" s="9"/>
      <c r="B84" s="10"/>
      <c r="C84" s="10"/>
      <c r="D84" s="10"/>
      <c r="E84" s="10"/>
      <c r="F84" s="10"/>
      <c r="G84" s="24"/>
      <c r="H84" s="24"/>
      <c r="I84" s="37"/>
      <c r="J84" s="24"/>
      <c r="K84" s="9"/>
      <c r="L84" s="10"/>
      <c r="M84" s="10"/>
      <c r="N84" s="10"/>
      <c r="O84" s="10"/>
      <c r="P84" s="10"/>
      <c r="Q84" s="11"/>
      <c r="R84" s="24"/>
      <c r="S84" s="24"/>
      <c r="T84" s="24"/>
      <c r="U84" s="9"/>
      <c r="V84" s="10"/>
      <c r="W84" s="10"/>
      <c r="X84" s="10"/>
      <c r="Y84" s="10"/>
      <c r="Z84" s="10"/>
      <c r="AA84" s="29"/>
      <c r="AB84" s="24"/>
      <c r="AC84" s="5"/>
      <c r="AD84" s="24"/>
      <c r="AE84" s="9"/>
      <c r="AF84" s="10"/>
      <c r="AG84" s="10"/>
      <c r="AH84" s="10"/>
      <c r="AI84" s="66"/>
      <c r="AJ84" s="66"/>
      <c r="AK84" s="24"/>
      <c r="AL84" s="24"/>
      <c r="AM84" s="24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1:59" ht="21.75" customHeight="1" x14ac:dyDescent="0.35">
      <c r="A85" s="67"/>
      <c r="B85" s="68"/>
      <c r="C85" s="68"/>
      <c r="D85" s="68"/>
      <c r="E85" s="68"/>
      <c r="F85" s="68"/>
      <c r="G85" s="24"/>
      <c r="H85" s="24"/>
      <c r="I85" s="37"/>
      <c r="J85" s="24"/>
      <c r="K85" s="67"/>
      <c r="L85" s="68"/>
      <c r="M85" s="68"/>
      <c r="N85" s="68"/>
      <c r="O85" s="68"/>
      <c r="P85" s="68"/>
      <c r="Q85" s="11"/>
      <c r="R85" s="24"/>
      <c r="S85" s="24"/>
      <c r="T85" s="24"/>
      <c r="U85" s="67"/>
      <c r="V85" s="68"/>
      <c r="W85" s="68"/>
      <c r="X85" s="68"/>
      <c r="Y85" s="68"/>
      <c r="Z85" s="68"/>
      <c r="AA85" s="29"/>
      <c r="AB85" s="24"/>
      <c r="AC85" s="5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</row>
    <row r="86" spans="1:59" ht="17.5" x14ac:dyDescent="0.35">
      <c r="A86" s="24"/>
      <c r="B86" s="24"/>
      <c r="C86" s="24"/>
      <c r="D86" s="24"/>
      <c r="E86" s="24"/>
      <c r="F86" s="24"/>
      <c r="G86" s="24"/>
      <c r="H86" s="24"/>
      <c r="I86" s="37"/>
      <c r="J86" s="24"/>
      <c r="K86" s="24"/>
      <c r="L86" s="24"/>
      <c r="M86" s="24"/>
      <c r="N86" s="24"/>
      <c r="O86" s="24"/>
      <c r="P86" s="24"/>
      <c r="Q86" s="11"/>
      <c r="R86" s="24"/>
      <c r="S86" s="24"/>
      <c r="T86" s="24"/>
      <c r="U86" s="24"/>
      <c r="V86" s="24"/>
      <c r="W86" s="24"/>
      <c r="X86" s="24"/>
      <c r="Y86" s="24"/>
      <c r="Z86" s="24"/>
      <c r="AA86" s="29"/>
      <c r="AB86" s="24"/>
      <c r="AC86" s="5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</row>
    <row r="87" spans="1:59" ht="17.5" x14ac:dyDescent="0.35">
      <c r="A87" s="24"/>
      <c r="B87" s="24"/>
      <c r="C87" s="24"/>
      <c r="D87" s="24"/>
      <c r="E87" s="24"/>
      <c r="F87" s="24"/>
      <c r="G87" s="24"/>
      <c r="H87" s="24"/>
      <c r="I87" s="37"/>
      <c r="J87" s="24"/>
      <c r="K87" s="24"/>
      <c r="L87" s="24"/>
      <c r="M87" s="24"/>
      <c r="N87" s="24"/>
      <c r="O87" s="24"/>
      <c r="P87" s="24"/>
      <c r="Q87" s="11"/>
      <c r="R87" s="24"/>
      <c r="S87" s="24"/>
      <c r="T87" s="24"/>
      <c r="U87" s="24"/>
      <c r="V87" s="24"/>
      <c r="W87" s="24"/>
      <c r="X87" s="24"/>
      <c r="Y87" s="24"/>
      <c r="Z87" s="24"/>
      <c r="AA87" s="29"/>
      <c r="AB87" s="24"/>
      <c r="AC87" s="5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</row>
    <row r="88" spans="1:59" ht="19.5" x14ac:dyDescent="0.35">
      <c r="A88" s="595"/>
      <c r="B88" s="595"/>
      <c r="C88" s="595"/>
      <c r="D88" s="595"/>
      <c r="E88" s="595"/>
      <c r="F88" s="595"/>
      <c r="G88" s="24"/>
      <c r="H88" s="14"/>
      <c r="I88" s="14"/>
      <c r="J88" s="22"/>
      <c r="K88" s="595"/>
      <c r="L88" s="595"/>
      <c r="M88" s="595"/>
      <c r="N88" s="595"/>
      <c r="O88" s="595"/>
      <c r="P88" s="595"/>
      <c r="Q88" s="11"/>
      <c r="R88" s="24"/>
      <c r="S88" s="24"/>
      <c r="T88" s="24"/>
      <c r="U88" s="24"/>
      <c r="V88" s="24"/>
      <c r="W88" s="24"/>
      <c r="X88" s="24"/>
      <c r="Y88" s="24"/>
      <c r="Z88" s="24"/>
      <c r="AA88" s="29"/>
      <c r="AB88" s="24"/>
      <c r="AC88" s="5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</row>
    <row r="89" spans="1:59" ht="19.5" x14ac:dyDescent="0.35">
      <c r="A89" s="22"/>
      <c r="B89" s="30"/>
      <c r="C89" s="30"/>
      <c r="D89" s="22"/>
      <c r="E89" s="25"/>
      <c r="F89" s="11"/>
      <c r="G89" s="24"/>
      <c r="H89" s="24"/>
      <c r="I89" s="37"/>
      <c r="J89" s="24"/>
      <c r="K89" s="22"/>
      <c r="L89" s="30"/>
      <c r="M89" s="30"/>
      <c r="N89" s="22"/>
      <c r="O89" s="25"/>
      <c r="P89" s="11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5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</row>
    <row r="90" spans="1:59" ht="21" customHeight="1" x14ac:dyDescent="0.35">
      <c r="A90" s="11"/>
      <c r="B90" s="11"/>
      <c r="C90" s="11"/>
      <c r="D90" s="11"/>
      <c r="E90" s="11"/>
      <c r="F90" s="11"/>
      <c r="G90" s="24"/>
      <c r="H90" s="24"/>
      <c r="I90" s="37"/>
      <c r="J90" s="24"/>
      <c r="K90" s="594"/>
      <c r="L90" s="594"/>
      <c r="M90" s="594"/>
      <c r="N90" s="594"/>
      <c r="O90" s="594"/>
      <c r="P90" s="59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5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</row>
    <row r="91" spans="1:59" ht="20.5" x14ac:dyDescent="0.4">
      <c r="A91" s="38"/>
      <c r="B91" s="39"/>
      <c r="C91" s="39"/>
      <c r="D91" s="39"/>
      <c r="E91" s="39"/>
      <c r="F91" s="39"/>
      <c r="G91" s="24"/>
      <c r="H91" s="24"/>
      <c r="I91" s="37"/>
      <c r="J91" s="24"/>
      <c r="K91" s="38"/>
      <c r="L91" s="39"/>
      <c r="M91" s="39"/>
      <c r="N91" s="39"/>
      <c r="O91" s="39"/>
      <c r="P91" s="39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5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</row>
    <row r="92" spans="1:59" ht="20.5" x14ac:dyDescent="0.4">
      <c r="A92" s="69"/>
      <c r="B92" s="70"/>
      <c r="C92" s="70"/>
      <c r="D92" s="70"/>
      <c r="E92" s="70"/>
      <c r="F92" s="70"/>
      <c r="G92" s="24"/>
      <c r="H92" s="24"/>
      <c r="I92" s="37"/>
      <c r="J92" s="24"/>
      <c r="K92" s="69"/>
      <c r="L92" s="71"/>
      <c r="M92" s="71"/>
      <c r="N92" s="71"/>
      <c r="O92" s="71"/>
      <c r="P92" s="71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5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</row>
    <row r="93" spans="1:59" ht="19.5" x14ac:dyDescent="0.35">
      <c r="A93" s="48"/>
      <c r="B93" s="72"/>
      <c r="C93" s="72"/>
      <c r="D93" s="72"/>
      <c r="E93" s="72"/>
      <c r="F93" s="72"/>
      <c r="G93" s="24"/>
      <c r="H93" s="24"/>
      <c r="I93" s="37"/>
      <c r="J93" s="24"/>
      <c r="K93" s="48"/>
      <c r="L93" s="72"/>
      <c r="M93" s="72"/>
      <c r="N93" s="72"/>
      <c r="O93" s="72"/>
      <c r="P93" s="72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5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</row>
    <row r="94" spans="1:59" ht="20.5" x14ac:dyDescent="0.4">
      <c r="A94" s="56"/>
      <c r="B94" s="15"/>
      <c r="C94" s="15"/>
      <c r="D94" s="15"/>
      <c r="E94" s="15"/>
      <c r="F94" s="15"/>
      <c r="G94" s="24"/>
      <c r="H94" s="24"/>
      <c r="I94" s="37"/>
      <c r="J94" s="24"/>
      <c r="K94" s="56"/>
      <c r="L94" s="15"/>
      <c r="M94" s="15"/>
      <c r="N94" s="15"/>
      <c r="O94" s="15"/>
      <c r="P94" s="15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5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</row>
    <row r="95" spans="1:59" ht="20.5" x14ac:dyDescent="0.4">
      <c r="A95" s="56"/>
      <c r="B95" s="15"/>
      <c r="C95" s="15"/>
      <c r="D95" s="15"/>
      <c r="E95" s="15"/>
      <c r="F95" s="15"/>
      <c r="G95" s="24"/>
      <c r="H95" s="24"/>
      <c r="I95" s="37"/>
      <c r="J95" s="24"/>
      <c r="K95" s="56"/>
      <c r="L95" s="15"/>
      <c r="M95" s="15"/>
      <c r="N95" s="15"/>
      <c r="O95" s="15"/>
      <c r="P95" s="15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5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</row>
    <row r="96" spans="1:59" ht="20.5" x14ac:dyDescent="0.4">
      <c r="A96" s="56"/>
      <c r="B96" s="15"/>
      <c r="C96" s="15"/>
      <c r="D96" s="15"/>
      <c r="E96" s="15"/>
      <c r="F96" s="15"/>
      <c r="G96" s="24"/>
      <c r="H96" s="24"/>
      <c r="I96" s="37"/>
      <c r="J96" s="24"/>
      <c r="K96" s="56"/>
      <c r="L96" s="15"/>
      <c r="M96" s="15"/>
      <c r="N96" s="15"/>
      <c r="O96" s="15"/>
      <c r="P96" s="15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5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</row>
    <row r="97" spans="1:59" ht="20.5" x14ac:dyDescent="0.4">
      <c r="A97" s="56"/>
      <c r="B97" s="15"/>
      <c r="C97" s="15"/>
      <c r="D97" s="15"/>
      <c r="E97" s="15"/>
      <c r="F97" s="15"/>
      <c r="G97" s="24"/>
      <c r="H97" s="24"/>
      <c r="I97" s="37"/>
      <c r="J97" s="24"/>
      <c r="K97" s="56"/>
      <c r="L97" s="15"/>
      <c r="M97" s="15"/>
      <c r="N97" s="15"/>
      <c r="O97" s="15"/>
      <c r="P97" s="15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5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</row>
    <row r="98" spans="1:59" ht="20.5" x14ac:dyDescent="0.4">
      <c r="A98" s="56"/>
      <c r="B98" s="15"/>
      <c r="C98" s="15"/>
      <c r="D98" s="15"/>
      <c r="E98" s="15"/>
      <c r="F98" s="15"/>
      <c r="G98" s="24"/>
      <c r="H98" s="24"/>
      <c r="I98" s="37"/>
      <c r="J98" s="24"/>
      <c r="K98" s="56"/>
      <c r="L98" s="15"/>
      <c r="M98" s="15"/>
      <c r="N98" s="15"/>
      <c r="O98" s="15"/>
      <c r="P98" s="15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5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</row>
    <row r="99" spans="1:59" ht="20.5" x14ac:dyDescent="0.4">
      <c r="A99" s="56"/>
      <c r="B99" s="15"/>
      <c r="C99" s="15"/>
      <c r="D99" s="15"/>
      <c r="E99" s="15"/>
      <c r="F99" s="15"/>
      <c r="G99" s="24"/>
      <c r="H99" s="24"/>
      <c r="I99" s="37"/>
      <c r="J99" s="24"/>
      <c r="K99" s="56"/>
      <c r="L99" s="15"/>
      <c r="M99" s="15"/>
      <c r="N99" s="15"/>
      <c r="O99" s="15"/>
      <c r="P99" s="15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5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</row>
    <row r="100" spans="1:59" ht="18.75" customHeight="1" x14ac:dyDescent="0.4">
      <c r="A100" s="56"/>
      <c r="B100" s="15"/>
      <c r="C100" s="15"/>
      <c r="D100" s="15"/>
      <c r="E100" s="15"/>
      <c r="F100" s="15"/>
      <c r="G100" s="24"/>
      <c r="H100" s="24"/>
      <c r="I100" s="37"/>
      <c r="J100" s="24"/>
      <c r="K100" s="56"/>
      <c r="L100" s="15"/>
      <c r="M100" s="15"/>
      <c r="N100" s="15"/>
      <c r="O100" s="15"/>
      <c r="P100" s="15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5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</row>
    <row r="101" spans="1:59" ht="20.5" x14ac:dyDescent="0.4">
      <c r="A101" s="56"/>
      <c r="B101" s="15"/>
      <c r="C101" s="15"/>
      <c r="D101" s="15"/>
      <c r="E101" s="15"/>
      <c r="F101" s="15"/>
      <c r="G101" s="24"/>
      <c r="H101" s="24"/>
      <c r="I101" s="37"/>
      <c r="J101" s="24"/>
      <c r="K101" s="56"/>
      <c r="L101" s="15"/>
      <c r="M101" s="15"/>
      <c r="N101" s="15"/>
      <c r="O101" s="15"/>
      <c r="P101" s="15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5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</row>
    <row r="102" spans="1:59" ht="20.5" x14ac:dyDescent="0.4">
      <c r="A102" s="56"/>
      <c r="B102" s="15"/>
      <c r="C102" s="15"/>
      <c r="D102" s="15"/>
      <c r="E102" s="15"/>
      <c r="F102" s="15"/>
      <c r="G102" s="24"/>
      <c r="H102" s="24"/>
      <c r="I102" s="37"/>
      <c r="J102" s="24"/>
      <c r="K102" s="56"/>
      <c r="L102" s="15"/>
      <c r="M102" s="15"/>
      <c r="N102" s="15"/>
      <c r="O102" s="15"/>
      <c r="P102" s="15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5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</row>
    <row r="103" spans="1:59" ht="20.5" x14ac:dyDescent="0.4">
      <c r="A103" s="56"/>
      <c r="B103" s="15"/>
      <c r="C103" s="15"/>
      <c r="D103" s="15"/>
      <c r="E103" s="15"/>
      <c r="F103" s="15"/>
      <c r="G103" s="24"/>
      <c r="H103" s="24"/>
      <c r="I103" s="37"/>
      <c r="J103" s="24"/>
      <c r="K103" s="56"/>
      <c r="L103" s="15"/>
      <c r="M103" s="15"/>
      <c r="N103" s="15"/>
      <c r="O103" s="15"/>
      <c r="P103" s="15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5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</row>
    <row r="104" spans="1:59" ht="20.5" x14ac:dyDescent="0.4">
      <c r="A104" s="56"/>
      <c r="B104" s="15"/>
      <c r="C104" s="15"/>
      <c r="D104" s="15"/>
      <c r="E104" s="15"/>
      <c r="F104" s="15"/>
      <c r="G104" s="24"/>
      <c r="H104" s="24"/>
      <c r="I104" s="37"/>
      <c r="J104" s="24"/>
      <c r="K104" s="56"/>
      <c r="L104" s="15"/>
      <c r="M104" s="15"/>
      <c r="N104" s="15"/>
      <c r="O104" s="15"/>
      <c r="P104" s="15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5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</row>
    <row r="105" spans="1:59" ht="20.5" x14ac:dyDescent="0.4">
      <c r="A105" s="56"/>
      <c r="B105" s="15"/>
      <c r="C105" s="15"/>
      <c r="D105" s="15"/>
      <c r="E105" s="15"/>
      <c r="F105" s="15"/>
      <c r="G105" s="24"/>
      <c r="H105" s="24"/>
      <c r="I105" s="37"/>
      <c r="J105" s="24"/>
      <c r="K105" s="56"/>
      <c r="L105" s="15"/>
      <c r="M105" s="15"/>
      <c r="N105" s="15"/>
      <c r="O105" s="15"/>
      <c r="P105" s="15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5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</row>
    <row r="106" spans="1:59" ht="19.5" x14ac:dyDescent="0.35">
      <c r="A106" s="65"/>
      <c r="B106" s="10"/>
      <c r="C106" s="10"/>
      <c r="D106" s="10"/>
      <c r="E106" s="10"/>
      <c r="F106" s="10"/>
      <c r="G106" s="24"/>
      <c r="H106" s="24"/>
      <c r="I106" s="37"/>
      <c r="J106" s="24"/>
      <c r="K106" s="65"/>
      <c r="L106" s="10"/>
      <c r="M106" s="10"/>
      <c r="N106" s="10"/>
      <c r="O106" s="10"/>
      <c r="P106" s="10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5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</row>
    <row r="107" spans="1:59" ht="12.5" x14ac:dyDescent="0.25">
      <c r="A107" s="24"/>
      <c r="B107" s="24"/>
      <c r="C107" s="24"/>
      <c r="D107" s="24"/>
      <c r="E107" s="24"/>
      <c r="F107" s="24"/>
      <c r="G107" s="24"/>
      <c r="H107" s="24"/>
      <c r="I107" s="37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5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</row>
    <row r="108" spans="1:59" ht="19.5" x14ac:dyDescent="0.35">
      <c r="A108" s="9"/>
      <c r="B108" s="10"/>
      <c r="C108" s="10"/>
      <c r="D108" s="10"/>
      <c r="E108" s="10"/>
      <c r="F108" s="10"/>
      <c r="G108" s="24"/>
      <c r="H108" s="24"/>
      <c r="I108" s="37"/>
      <c r="J108" s="24"/>
      <c r="K108" s="9"/>
      <c r="L108" s="10"/>
      <c r="M108" s="10"/>
      <c r="N108" s="10"/>
      <c r="O108" s="10"/>
      <c r="P108" s="10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5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</row>
    <row r="109" spans="1:59" ht="19.5" x14ac:dyDescent="0.35">
      <c r="A109" s="67"/>
      <c r="B109" s="68"/>
      <c r="C109" s="68"/>
      <c r="D109" s="68"/>
      <c r="E109" s="68"/>
      <c r="F109" s="68"/>
      <c r="G109" s="24"/>
      <c r="H109" s="24"/>
      <c r="I109" s="37"/>
      <c r="J109" s="24"/>
      <c r="K109" s="67"/>
      <c r="L109" s="68"/>
      <c r="M109" s="68"/>
      <c r="N109" s="68"/>
      <c r="O109" s="68"/>
      <c r="P109" s="68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5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</row>
    <row r="110" spans="1:59" ht="12.5" x14ac:dyDescent="0.25">
      <c r="A110" s="24"/>
      <c r="B110" s="24"/>
      <c r="C110" s="24"/>
      <c r="D110" s="24"/>
      <c r="E110" s="24"/>
      <c r="F110" s="24"/>
      <c r="G110" s="24"/>
      <c r="H110" s="24"/>
      <c r="I110" s="37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5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</row>
    <row r="111" spans="1:59" ht="12.5" x14ac:dyDescent="0.25">
      <c r="A111" s="24"/>
      <c r="B111" s="24"/>
      <c r="C111" s="24"/>
      <c r="D111" s="24"/>
      <c r="E111" s="24"/>
      <c r="F111" s="24"/>
      <c r="G111" s="24"/>
      <c r="H111" s="24"/>
      <c r="I111" s="37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5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</row>
    <row r="112" spans="1:59" ht="12.5" x14ac:dyDescent="0.25">
      <c r="A112" s="24"/>
      <c r="B112" s="24"/>
      <c r="C112" s="24"/>
      <c r="D112" s="24"/>
      <c r="E112" s="24"/>
      <c r="F112" s="24"/>
      <c r="G112" s="24"/>
      <c r="H112" s="24"/>
      <c r="I112" s="37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5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</row>
    <row r="113" spans="1:59" ht="12.5" x14ac:dyDescent="0.25">
      <c r="A113" s="24"/>
      <c r="B113" s="24"/>
      <c r="C113" s="24"/>
      <c r="D113" s="24"/>
      <c r="E113" s="24"/>
      <c r="F113" s="24"/>
      <c r="G113" s="24"/>
      <c r="H113" s="24"/>
      <c r="I113" s="37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5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</row>
    <row r="114" spans="1:59" ht="12.5" x14ac:dyDescent="0.25">
      <c r="A114" s="24"/>
      <c r="B114" s="24"/>
      <c r="C114" s="24"/>
      <c r="D114" s="24"/>
      <c r="E114" s="24"/>
      <c r="F114" s="24"/>
      <c r="G114" s="24"/>
      <c r="H114" s="24"/>
      <c r="I114" s="37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5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</row>
    <row r="115" spans="1:59" ht="12.5" x14ac:dyDescent="0.25">
      <c r="A115" s="24"/>
      <c r="B115" s="24"/>
      <c r="C115" s="24"/>
      <c r="D115" s="24"/>
      <c r="E115" s="24"/>
      <c r="F115" s="24"/>
      <c r="G115" s="24"/>
      <c r="H115" s="24"/>
      <c r="I115" s="37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5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</row>
    <row r="116" spans="1:59" ht="12.5" x14ac:dyDescent="0.25">
      <c r="A116" s="24"/>
      <c r="B116" s="24"/>
      <c r="C116" s="24"/>
      <c r="D116" s="24"/>
      <c r="E116" s="24"/>
      <c r="F116" s="24"/>
      <c r="G116" s="24"/>
      <c r="H116" s="24"/>
      <c r="I116" s="37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5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</row>
    <row r="117" spans="1:59" ht="16" x14ac:dyDescent="0.35">
      <c r="A117" s="24"/>
      <c r="B117" s="24"/>
      <c r="C117" s="24"/>
      <c r="D117" s="24"/>
      <c r="E117" s="24"/>
      <c r="F117" s="24"/>
      <c r="G117" s="24"/>
      <c r="H117" s="24"/>
      <c r="I117" s="37"/>
      <c r="J117" s="24"/>
      <c r="K117" s="73"/>
      <c r="L117" s="73"/>
      <c r="M117" s="73"/>
      <c r="N117" s="73"/>
      <c r="O117" s="73"/>
      <c r="P117" s="7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5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</row>
    <row r="118" spans="1:59" ht="31.5" customHeight="1" x14ac:dyDescent="0.35">
      <c r="A118" s="398" t="s">
        <v>65</v>
      </c>
      <c r="B118" s="399">
        <f>SUMPRODUCT(B7:B18,$I7:$I18)/SUM($I7:$I18)</f>
        <v>62.2</v>
      </c>
      <c r="C118" s="399">
        <f>SUMPRODUCT(C7:C18,$I7:$I18)/SUM($I7:$I18)</f>
        <v>3.3</v>
      </c>
      <c r="D118" s="399">
        <f>SUMPRODUCT(D7:D18,$I7:$I18)/SUM($I7:$I18)</f>
        <v>2.2000000000000002</v>
      </c>
      <c r="E118" s="399">
        <f>SUMPRODUCT(E7:E18,$I7:$I18)/SUM($I7:$I18)</f>
        <v>24.6</v>
      </c>
      <c r="F118" s="399">
        <f>SUMPRODUCT(F7:F18,$I7:$I18)/SUM($I7:$I18)</f>
        <v>15.900000000000002</v>
      </c>
      <c r="G118" s="18"/>
      <c r="H118" s="18"/>
      <c r="I118" s="400">
        <f>SUM(I7:I18)</f>
        <v>4179</v>
      </c>
      <c r="J118" s="18"/>
      <c r="K118" s="76"/>
      <c r="L118" s="76"/>
      <c r="M118" s="76"/>
      <c r="N118" s="76"/>
      <c r="O118" s="76"/>
      <c r="P118" s="76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</row>
    <row r="119" spans="1:59" ht="43.5" customHeight="1" x14ac:dyDescent="0.35">
      <c r="A119" s="398" t="s">
        <v>66</v>
      </c>
      <c r="B119" s="399">
        <f>SUMPRODUCT(V7:V18,$AC7:$AC18)/SUM($AC7:$AC18)</f>
        <v>61.623522718311655</v>
      </c>
      <c r="C119" s="399">
        <f>SUMPRODUCT(W7:W18,$AC7:$AC18)/SUM($AC7:$AC18)</f>
        <v>3.5939774392214678</v>
      </c>
      <c r="D119" s="399">
        <f>SUMPRODUCT(X7:X18,$AC7:$AC18)/SUM($AC7:$AC18)</f>
        <v>2.1068990775968897</v>
      </c>
      <c r="E119" s="399">
        <f>SUMPRODUCT(Y7:Y18,$AC7:$AC18)/SUM($AC7:$AC18)</f>
        <v>25.334290007406125</v>
      </c>
      <c r="F119" s="399">
        <f>SUMPRODUCT(Z7:Z18,$AC7:$AC18)/SUM($AC7:$AC18)</f>
        <v>16.483726693926421</v>
      </c>
      <c r="G119" s="18"/>
      <c r="H119" s="18"/>
      <c r="I119" s="400">
        <f>SUM(AC7:AC18)</f>
        <v>1513491.21</v>
      </c>
      <c r="J119" s="18"/>
      <c r="K119" s="76"/>
      <c r="L119" s="76"/>
      <c r="M119" s="76"/>
      <c r="N119" s="76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</row>
    <row r="120" spans="1:59" ht="28.5" customHeight="1" x14ac:dyDescent="0.35">
      <c r="A120" s="398" t="s">
        <v>67</v>
      </c>
      <c r="B120" s="399">
        <f>SUMPRODUCT(B28:B39,$I28:$I39)/SUM($I28:$I39)</f>
        <v>60.204987396263121</v>
      </c>
      <c r="C120" s="399">
        <f>SUMPRODUCT(C28:C39,$I28:$I39)/SUM($I28:$I39)</f>
        <v>4.1837205677051044</v>
      </c>
      <c r="D120" s="399">
        <f>SUMPRODUCT(D28:D39,$I28:$I39)/SUM($I28:$I39)</f>
        <v>3.2235666785602524</v>
      </c>
      <c r="E120" s="399">
        <f>SUMPRODUCT(E28:E39,$I28:$I39)/SUM($I28:$I39)</f>
        <v>15.237896082391371</v>
      </c>
      <c r="F120" s="399">
        <f>SUMPRODUCT(F28:F39,$I28:$I39)/SUM($I28:$I39)</f>
        <v>15.548741358386067</v>
      </c>
      <c r="G120" s="18"/>
      <c r="H120" s="18"/>
      <c r="I120" s="400">
        <f>SUM(I28:I39)</f>
        <v>86601.3</v>
      </c>
      <c r="J120" s="18"/>
      <c r="K120" s="77"/>
      <c r="L120" s="78"/>
      <c r="M120" s="79"/>
      <c r="N120" s="80"/>
      <c r="O120" s="79"/>
      <c r="P120" s="79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</row>
    <row r="121" spans="1:59" ht="30" customHeight="1" x14ac:dyDescent="0.35">
      <c r="A121" s="398" t="s">
        <v>68</v>
      </c>
      <c r="B121" s="401" t="e">
        <f>SUMPRODUCT(V49:V60,$AC49:$AC60)/SUM($AC49:$AC60)</f>
        <v>#DIV/0!</v>
      </c>
      <c r="C121" s="401" t="e">
        <f>SUMPRODUCT(W49:W60,$AC49:$AC60)/SUM($AC49:$AC60)</f>
        <v>#DIV/0!</v>
      </c>
      <c r="D121" s="401" t="e">
        <f>SUMPRODUCT(X49:X60,$AC49:$AC60)/SUM($AC49:$AC60)</f>
        <v>#DIV/0!</v>
      </c>
      <c r="E121" s="401" t="e">
        <f>SUMPRODUCT(Y49:Y60,$AC49:$AC60)/SUM($AC49:$AC60)</f>
        <v>#DIV/0!</v>
      </c>
      <c r="F121" s="401" t="e">
        <f>SUMPRODUCT(Z49:Z60,$AC49:$AC60)/SUM($AC49:$AC60)</f>
        <v>#DIV/0!</v>
      </c>
      <c r="G121" s="18"/>
      <c r="H121" s="18"/>
      <c r="I121" s="400">
        <f>SUM(AC49:AC60)</f>
        <v>0</v>
      </c>
      <c r="J121" s="18"/>
      <c r="K121" s="77"/>
      <c r="L121" s="78"/>
      <c r="M121" s="79"/>
      <c r="N121" s="80"/>
      <c r="O121" s="79"/>
      <c r="P121" s="79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</row>
    <row r="122" spans="1:59" ht="30" customHeight="1" x14ac:dyDescent="0.35">
      <c r="A122" s="398" t="s">
        <v>69</v>
      </c>
      <c r="B122" s="402">
        <f>SUMPRODUCT(AP7:AP18,$AW7:$AW18)/SUM($AW7:$AW18)</f>
        <v>57.548653693187077</v>
      </c>
      <c r="C122" s="402">
        <f>SUMPRODUCT(AQ7:AQ18,$AW7:$AW18)/SUM($AW7:$AW18)</f>
        <v>10.22896964427755</v>
      </c>
      <c r="D122" s="402">
        <f>SUMPRODUCT(AR7:AR18,$AW7:$AW18)/SUM($AW7:$AW18)</f>
        <v>2.2170230673893339</v>
      </c>
      <c r="E122" s="402">
        <f>SUMPRODUCT(AS7:AS18,$AW7:$AW18)/SUM($AW7:$AW18)</f>
        <v>26.938908784846191</v>
      </c>
      <c r="F122" s="402">
        <f>SUMPRODUCT(AT7:AT18,$AW7:$AW18)/SUM($AW7:$AW18)</f>
        <v>15.095992711666883</v>
      </c>
      <c r="G122" s="18"/>
      <c r="H122" s="18"/>
      <c r="I122" s="400">
        <f>SUM(AW7:AW18)</f>
        <v>10811.8</v>
      </c>
      <c r="J122" s="18"/>
      <c r="K122" s="77"/>
      <c r="L122" s="78"/>
      <c r="M122" s="79"/>
      <c r="N122" s="80"/>
      <c r="O122" s="79"/>
      <c r="P122" s="79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</row>
    <row r="123" spans="1:59" ht="30" customHeight="1" x14ac:dyDescent="0.35">
      <c r="A123" s="398"/>
      <c r="B123" s="401"/>
      <c r="C123" s="401"/>
      <c r="D123" s="401"/>
      <c r="E123" s="401"/>
      <c r="F123" s="401"/>
      <c r="G123" s="18"/>
      <c r="H123" s="18"/>
      <c r="I123" s="400"/>
      <c r="J123" s="18"/>
      <c r="K123" s="77"/>
      <c r="L123" s="78"/>
      <c r="M123" s="79"/>
      <c r="N123" s="80"/>
      <c r="O123" s="79"/>
      <c r="P123" s="79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</row>
    <row r="124" spans="1:59" ht="30" customHeight="1" x14ac:dyDescent="0.35">
      <c r="A124" s="18"/>
      <c r="B124" s="18"/>
      <c r="C124" s="18"/>
      <c r="D124" s="18"/>
      <c r="E124" s="18"/>
      <c r="F124" s="18"/>
      <c r="G124" s="18"/>
      <c r="H124" s="18"/>
      <c r="I124" s="75"/>
      <c r="J124" s="18"/>
      <c r="K124" s="77"/>
      <c r="L124" s="78"/>
      <c r="M124" s="79"/>
      <c r="N124" s="80"/>
      <c r="O124" s="79"/>
      <c r="P124" s="79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</row>
    <row r="125" spans="1:59" ht="26.25" customHeight="1" x14ac:dyDescent="0.35">
      <c r="A125" s="398" t="s">
        <v>70</v>
      </c>
      <c r="B125" s="399">
        <f>SUMPRODUCT(AF7:AF18,$AM7:$AM18)/SUM($AM7:$AM18)</f>
        <v>61.778137425881347</v>
      </c>
      <c r="C125" s="399">
        <f>SUMPRODUCT(AG7:AG18,$AM7:$AM18)/SUM($AM7:$AM18)</f>
        <v>3.9933661823867981</v>
      </c>
      <c r="D125" s="399">
        <f>SUMPRODUCT(AH7:AH18,$AM7:$AM18)/SUM($AM7:$AM18)</f>
        <v>2.5383572394936196</v>
      </c>
      <c r="E125" s="399">
        <f>SUMPRODUCT(AI7:AI18,$AM7:$AM18)/SUM($AM7:$AM18)</f>
        <v>9.6871007761701655</v>
      </c>
      <c r="F125" s="399">
        <f>SUMPRODUCT(AJ7:AJ18,$AM7:$AM18)/SUM($AM7:$AM18)</f>
        <v>38.007720955928498</v>
      </c>
      <c r="G125" s="18"/>
      <c r="H125" s="18"/>
      <c r="I125" s="400">
        <f>SUM(AM7:AM18)</f>
        <v>2162426.59</v>
      </c>
      <c r="J125" s="18"/>
      <c r="K125" s="77"/>
      <c r="L125" s="78"/>
      <c r="M125" s="79"/>
      <c r="N125" s="80"/>
      <c r="O125" s="79"/>
      <c r="P125" s="79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</row>
    <row r="126" spans="1:59" ht="24.75" customHeight="1" x14ac:dyDescent="0.35">
      <c r="A126" s="398" t="s">
        <v>71</v>
      </c>
      <c r="B126" s="399">
        <f>SUMPRODUCT(L28:L39,$S28:$S39)/SUM($S28:$S39)</f>
        <v>59.511116794565901</v>
      </c>
      <c r="C126" s="399">
        <f>SUMPRODUCT(M28:M39,$S28:$S39)/SUM($S28:$S39)</f>
        <v>5.4734751515886639</v>
      </c>
      <c r="D126" s="399">
        <f>SUMPRODUCT(N28:N39,$S28:$S39)/SUM($S28:$S39)</f>
        <v>4.0409992141519737</v>
      </c>
      <c r="E126" s="399">
        <f>SUMPRODUCT(O28:O39,$S28:$S39)/SUM($S28:$S39)</f>
        <v>6.1087406301494651</v>
      </c>
      <c r="F126" s="399">
        <f>SUMPRODUCT(P28:P39,$S28:$S39)/SUM($S28:$S39)</f>
        <v>43.351509266941861</v>
      </c>
      <c r="G126" s="18"/>
      <c r="H126" s="18"/>
      <c r="I126" s="400">
        <f>SUM(S28:S39)</f>
        <v>154991.80000000002</v>
      </c>
      <c r="J126" s="18"/>
      <c r="K126" s="77"/>
      <c r="L126" s="78"/>
      <c r="M126" s="79"/>
      <c r="N126" s="80"/>
      <c r="O126" s="79"/>
      <c r="P126" s="79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</row>
    <row r="127" spans="1:59" ht="29.25" customHeight="1" x14ac:dyDescent="0.25">
      <c r="A127" s="398" t="s">
        <v>72</v>
      </c>
      <c r="B127" s="401" t="e">
        <f>SUMPRODUCT(AF49:AF60,$AM49:$AM60)/SUM($AM49:$AM60)</f>
        <v>#DIV/0!</v>
      </c>
      <c r="C127" s="401" t="e">
        <f>SUMPRODUCT(AG49:AG60,$AM49:$AM60)/SUM($AM49:$AM60)</f>
        <v>#DIV/0!</v>
      </c>
      <c r="D127" s="401" t="e">
        <f>SUMPRODUCT(AH49:AH60,$AM49:$AM60)/SUM($AM49:$AM60)</f>
        <v>#DIV/0!</v>
      </c>
      <c r="E127" s="401" t="e">
        <f>SUMPRODUCT(AI49:AI60,$AM49:$AM60)/SUM($AM49:$AM60)</f>
        <v>#DIV/0!</v>
      </c>
      <c r="F127" s="401" t="e">
        <f>SUMPRODUCT(AJ49:AJ60,$AM49:$AM60)/SUM($AM49:$AM60)</f>
        <v>#DIV/0!</v>
      </c>
      <c r="G127" s="18"/>
      <c r="H127" s="18"/>
      <c r="I127" s="400">
        <f>SUM(AM49:AM60)</f>
        <v>0</v>
      </c>
      <c r="J127" s="18"/>
      <c r="K127" s="81"/>
      <c r="L127" s="82"/>
      <c r="M127" s="82"/>
      <c r="N127" s="82"/>
      <c r="O127" s="82"/>
      <c r="P127" s="82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</row>
    <row r="128" spans="1:59" ht="33" customHeight="1" x14ac:dyDescent="0.25">
      <c r="A128" s="398" t="s">
        <v>73</v>
      </c>
      <c r="B128" s="399">
        <f>SUMPRODUCT(AZ7:AZ18,$BG7:$BG18)/SUM($BG7:$BG18)</f>
        <v>59.448395157301675</v>
      </c>
      <c r="C128" s="399">
        <f>SUMPRODUCT(BA7:BA18,$BG7:$BG18)/SUM($BG7:$BG18)</f>
        <v>7.646491581188311</v>
      </c>
      <c r="D128" s="399">
        <f>SUMPRODUCT(BB7:BB18,$BG7:$BG18)/SUM($BG7:$BG18)</f>
        <v>1.9860490290948973</v>
      </c>
      <c r="E128" s="399">
        <f>SUMPRODUCT(BC7:BC18,$BG7:$BG18)/SUM($BG7:$BG18)</f>
        <v>11.671762552953574</v>
      </c>
      <c r="F128" s="399">
        <f>SUMPRODUCT(BD7:BD18,$BG7:$BG18)/SUM($BG7:$BG18)</f>
        <v>35.703883061307877</v>
      </c>
      <c r="G128" s="18"/>
      <c r="H128" s="18"/>
      <c r="I128" s="400">
        <f>SUM(BG7:BG18)</f>
        <v>46503</v>
      </c>
      <c r="J128" s="18"/>
      <c r="K128" s="81"/>
      <c r="L128" s="83"/>
      <c r="M128" s="83"/>
      <c r="N128" s="83"/>
      <c r="O128" s="83"/>
      <c r="P128" s="83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</row>
    <row r="129" spans="1:39" ht="27.75" customHeight="1" x14ac:dyDescent="0.3">
      <c r="A129" s="398"/>
      <c r="B129" s="399"/>
      <c r="C129" s="399"/>
      <c r="D129" s="399"/>
      <c r="E129" s="399"/>
      <c r="F129" s="399"/>
      <c r="G129" s="18"/>
      <c r="H129" s="18"/>
      <c r="I129" s="75"/>
      <c r="J129" s="18"/>
      <c r="K129" s="81"/>
      <c r="L129" s="84"/>
      <c r="M129" s="81"/>
      <c r="N129" s="81"/>
      <c r="O129" s="81"/>
      <c r="P129" s="81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</row>
    <row r="130" spans="1:39" ht="31.5" customHeight="1" x14ac:dyDescent="0.3">
      <c r="A130" s="18"/>
      <c r="B130" s="18"/>
      <c r="C130" s="18"/>
      <c r="D130" s="18"/>
      <c r="E130" s="18"/>
      <c r="F130" s="18"/>
      <c r="G130" s="18"/>
      <c r="H130" s="18"/>
      <c r="I130" s="75"/>
      <c r="J130" s="18"/>
      <c r="K130" s="81"/>
      <c r="L130" s="84"/>
      <c r="M130" s="81"/>
      <c r="N130" s="81"/>
      <c r="O130" s="81"/>
      <c r="P130" s="81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</row>
    <row r="131" spans="1:39" ht="34.5" customHeight="1" x14ac:dyDescent="0.3">
      <c r="A131" s="18"/>
      <c r="B131" s="18"/>
      <c r="C131" s="18"/>
      <c r="D131" s="18"/>
      <c r="E131" s="18"/>
      <c r="F131" s="18"/>
      <c r="G131" s="18"/>
      <c r="H131" s="18"/>
      <c r="I131" s="75"/>
      <c r="J131" s="18"/>
      <c r="K131" s="81"/>
      <c r="L131" s="83"/>
      <c r="M131" s="83"/>
      <c r="N131" s="83"/>
      <c r="O131" s="83"/>
      <c r="P131" s="83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</row>
    <row r="132" spans="1:39" x14ac:dyDescent="0.3">
      <c r="A132" s="18"/>
      <c r="B132" s="18"/>
      <c r="C132" s="18"/>
      <c r="D132" s="18"/>
      <c r="E132" s="18"/>
      <c r="F132" s="18"/>
      <c r="G132" s="18"/>
      <c r="H132" s="18"/>
      <c r="I132" s="75"/>
      <c r="J132" s="18"/>
      <c r="K132" s="18"/>
      <c r="L132" s="85"/>
      <c r="M132" s="85"/>
      <c r="N132" s="85"/>
      <c r="O132" s="85"/>
      <c r="P132" s="85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</row>
    <row r="133" spans="1:39" x14ac:dyDescent="0.3">
      <c r="A133" s="18"/>
      <c r="B133" s="18"/>
      <c r="C133" s="18"/>
      <c r="D133" s="18"/>
      <c r="E133" s="18"/>
      <c r="F133" s="18"/>
      <c r="G133" s="18"/>
      <c r="H133" s="18"/>
      <c r="I133" s="75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</row>
    <row r="134" spans="1:39" x14ac:dyDescent="0.3">
      <c r="A134" s="18"/>
      <c r="B134" s="18"/>
      <c r="C134" s="18"/>
      <c r="D134" s="18"/>
      <c r="E134" s="18"/>
      <c r="F134" s="18"/>
      <c r="G134" s="18"/>
      <c r="H134" s="18"/>
      <c r="I134" s="75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</row>
    <row r="135" spans="1:39" x14ac:dyDescent="0.3">
      <c r="A135" s="18"/>
      <c r="B135" s="18"/>
      <c r="C135" s="18"/>
      <c r="D135" s="18"/>
      <c r="E135" s="18"/>
      <c r="F135" s="18"/>
      <c r="G135" s="18"/>
      <c r="H135" s="18"/>
      <c r="I135" s="75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</row>
    <row r="136" spans="1:39" x14ac:dyDescent="0.3">
      <c r="A136" s="18"/>
      <c r="B136" s="18"/>
      <c r="C136" s="18"/>
      <c r="D136" s="18"/>
      <c r="E136" s="18"/>
      <c r="F136" s="18"/>
      <c r="G136" s="18"/>
      <c r="H136" s="18"/>
      <c r="I136" s="75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</row>
    <row r="137" spans="1:39" x14ac:dyDescent="0.3">
      <c r="A137" s="18"/>
      <c r="B137" s="18"/>
      <c r="C137" s="18"/>
      <c r="D137" s="18"/>
      <c r="E137" s="18"/>
      <c r="F137" s="18"/>
      <c r="G137" s="18"/>
      <c r="H137" s="18"/>
      <c r="I137" s="75"/>
      <c r="J137" s="18"/>
      <c r="K137" s="81"/>
      <c r="L137" s="84"/>
      <c r="M137" s="81"/>
      <c r="N137" s="81"/>
      <c r="O137" s="81"/>
      <c r="P137" s="81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</row>
    <row r="138" spans="1:39" x14ac:dyDescent="0.3">
      <c r="A138" s="18"/>
      <c r="B138" s="18"/>
      <c r="C138" s="18"/>
      <c r="D138" s="18"/>
      <c r="E138" s="18"/>
      <c r="F138" s="18"/>
      <c r="G138" s="18"/>
      <c r="H138" s="18"/>
      <c r="I138" s="75"/>
      <c r="J138" s="18"/>
      <c r="K138" s="81"/>
      <c r="L138" s="84"/>
      <c r="M138" s="81"/>
      <c r="N138" s="81"/>
      <c r="O138" s="81"/>
      <c r="P138" s="81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</row>
    <row r="139" spans="1:39" x14ac:dyDescent="0.3">
      <c r="A139" s="18"/>
      <c r="B139" s="18"/>
      <c r="C139" s="18"/>
      <c r="D139" s="18"/>
      <c r="E139" s="18"/>
      <c r="F139" s="18"/>
      <c r="G139" s="18"/>
      <c r="H139" s="18"/>
      <c r="I139" s="75"/>
      <c r="J139" s="18"/>
      <c r="K139" s="81"/>
      <c r="L139" s="84"/>
      <c r="M139" s="81"/>
      <c r="N139" s="81"/>
      <c r="O139" s="81"/>
      <c r="P139" s="81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</row>
    <row r="140" spans="1:39" x14ac:dyDescent="0.3">
      <c r="A140" s="18"/>
      <c r="B140" s="18"/>
      <c r="C140" s="18"/>
      <c r="D140" s="18"/>
      <c r="E140" s="18"/>
      <c r="F140" s="18"/>
      <c r="G140" s="18"/>
      <c r="H140" s="18"/>
      <c r="I140" s="75"/>
      <c r="J140" s="18"/>
      <c r="K140" s="81"/>
      <c r="L140" s="84"/>
      <c r="M140" s="81"/>
      <c r="N140" s="81"/>
      <c r="O140" s="81"/>
      <c r="P140" s="81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</row>
    <row r="141" spans="1:39" x14ac:dyDescent="0.3">
      <c r="A141" s="18"/>
      <c r="B141" s="18"/>
      <c r="C141" s="18"/>
      <c r="D141" s="18"/>
      <c r="E141" s="18"/>
      <c r="F141" s="18"/>
      <c r="G141" s="18"/>
      <c r="H141" s="18"/>
      <c r="I141" s="75"/>
      <c r="J141" s="18"/>
      <c r="K141" s="81"/>
      <c r="L141" s="84"/>
      <c r="M141" s="81"/>
      <c r="N141" s="81"/>
      <c r="O141" s="81"/>
      <c r="P141" s="81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</row>
    <row r="142" spans="1:39" x14ac:dyDescent="0.3">
      <c r="A142" s="18"/>
      <c r="B142" s="18"/>
      <c r="C142" s="18"/>
      <c r="D142" s="18"/>
      <c r="E142" s="18"/>
      <c r="F142" s="18"/>
      <c r="G142" s="18"/>
      <c r="H142" s="18"/>
      <c r="I142" s="75"/>
      <c r="J142" s="18"/>
      <c r="K142" s="81"/>
      <c r="L142" s="84"/>
      <c r="M142" s="81"/>
      <c r="N142" s="81"/>
      <c r="O142" s="81"/>
      <c r="P142" s="81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</row>
    <row r="143" spans="1:39" x14ac:dyDescent="0.3">
      <c r="A143" s="18"/>
      <c r="B143" s="18"/>
      <c r="C143" s="18"/>
      <c r="D143" s="18"/>
      <c r="E143" s="18"/>
      <c r="F143" s="18"/>
      <c r="G143" s="18"/>
      <c r="H143" s="18"/>
      <c r="I143" s="75"/>
      <c r="J143" s="18"/>
      <c r="K143" s="81"/>
      <c r="L143" s="84"/>
      <c r="M143" s="81"/>
      <c r="N143" s="81"/>
      <c r="O143" s="81"/>
      <c r="P143" s="81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</row>
    <row r="144" spans="1:39" x14ac:dyDescent="0.3">
      <c r="A144" s="18"/>
      <c r="B144" s="18"/>
      <c r="C144" s="18"/>
      <c r="D144" s="18"/>
      <c r="E144" s="18"/>
      <c r="F144" s="18"/>
      <c r="G144" s="18"/>
      <c r="H144" s="18"/>
      <c r="I144" s="75"/>
      <c r="J144" s="18"/>
      <c r="K144" s="81"/>
      <c r="L144" s="84"/>
      <c r="M144" s="81"/>
      <c r="N144" s="81"/>
      <c r="O144" s="81"/>
      <c r="P144" s="81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</row>
    <row r="145" spans="1:39" x14ac:dyDescent="0.3">
      <c r="A145" s="18"/>
      <c r="B145" s="18"/>
      <c r="C145" s="18"/>
      <c r="D145" s="18"/>
      <c r="E145" s="18"/>
      <c r="F145" s="18"/>
      <c r="G145" s="18"/>
      <c r="H145" s="18"/>
      <c r="I145" s="75"/>
      <c r="J145" s="18"/>
      <c r="K145" s="81"/>
      <c r="L145" s="84"/>
      <c r="M145" s="81"/>
      <c r="N145" s="81"/>
      <c r="O145" s="81"/>
      <c r="P145" s="81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</row>
    <row r="146" spans="1:39" ht="15.5" x14ac:dyDescent="0.35">
      <c r="A146" s="18"/>
      <c r="B146" s="18"/>
      <c r="C146" s="18"/>
      <c r="D146" s="18"/>
      <c r="E146" s="18"/>
      <c r="F146" s="18"/>
      <c r="G146" s="18"/>
      <c r="H146" s="18"/>
      <c r="I146" s="75"/>
      <c r="J146" s="18"/>
      <c r="K146" s="86"/>
      <c r="L146" s="86"/>
      <c r="M146" s="87"/>
      <c r="N146" s="87"/>
      <c r="O146" s="87"/>
      <c r="P146" s="87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</row>
    <row r="147" spans="1:39" ht="15.5" x14ac:dyDescent="0.35">
      <c r="A147" s="18"/>
      <c r="B147" s="18"/>
      <c r="C147" s="18"/>
      <c r="D147" s="18"/>
      <c r="E147" s="18"/>
      <c r="F147" s="18"/>
      <c r="G147" s="18"/>
      <c r="H147" s="18"/>
      <c r="I147" s="75"/>
      <c r="J147" s="18"/>
      <c r="K147" s="86"/>
      <c r="L147" s="86"/>
      <c r="M147" s="87"/>
      <c r="N147" s="87"/>
      <c r="O147" s="87"/>
      <c r="P147" s="87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</row>
    <row r="148" spans="1:39" x14ac:dyDescent="0.3">
      <c r="A148" s="18"/>
      <c r="B148" s="18"/>
      <c r="C148" s="18"/>
      <c r="D148" s="18"/>
      <c r="E148" s="18"/>
      <c r="F148" s="18"/>
      <c r="G148" s="18"/>
      <c r="H148" s="18"/>
      <c r="I148" s="75"/>
      <c r="J148" s="18"/>
      <c r="K148" s="18"/>
      <c r="L148" s="85"/>
      <c r="M148" s="85"/>
      <c r="N148" s="85"/>
      <c r="O148" s="85"/>
      <c r="P148" s="85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</row>
    <row r="149" spans="1:39" x14ac:dyDescent="0.3">
      <c r="A149" s="18"/>
      <c r="B149" s="18"/>
      <c r="C149" s="18"/>
      <c r="D149" s="18"/>
      <c r="E149" s="18"/>
      <c r="F149" s="18"/>
      <c r="G149" s="18"/>
      <c r="H149" s="18"/>
      <c r="I149" s="75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</row>
    <row r="150" spans="1:39" x14ac:dyDescent="0.3">
      <c r="A150" s="18"/>
      <c r="B150" s="18"/>
      <c r="C150" s="18"/>
      <c r="D150" s="18"/>
      <c r="E150" s="18"/>
      <c r="F150" s="18"/>
      <c r="G150" s="18"/>
      <c r="H150" s="18"/>
      <c r="I150" s="75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</row>
    <row r="151" spans="1:39" ht="15.5" x14ac:dyDescent="0.35">
      <c r="A151" s="18"/>
      <c r="B151" s="18"/>
      <c r="C151" s="18"/>
      <c r="D151" s="18"/>
      <c r="E151" s="18"/>
      <c r="F151" s="18"/>
      <c r="G151" s="18"/>
      <c r="H151" s="18"/>
      <c r="I151" s="75"/>
      <c r="J151" s="18"/>
      <c r="K151" s="88"/>
      <c r="L151" s="88"/>
      <c r="M151" s="89"/>
      <c r="N151" s="89"/>
      <c r="O151" s="89"/>
      <c r="P151" s="89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</row>
    <row r="152" spans="1:39" ht="15.5" x14ac:dyDescent="0.35">
      <c r="A152" s="18"/>
      <c r="B152" s="18"/>
      <c r="C152" s="18"/>
      <c r="D152" s="18"/>
      <c r="E152" s="18"/>
      <c r="F152" s="18"/>
      <c r="G152" s="18"/>
      <c r="H152" s="18"/>
      <c r="I152" s="75"/>
      <c r="J152" s="18"/>
      <c r="K152" s="88"/>
      <c r="L152" s="88"/>
      <c r="M152" s="89"/>
      <c r="N152" s="89"/>
      <c r="O152" s="89"/>
      <c r="P152" s="89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</row>
    <row r="153" spans="1:39" ht="15.5" x14ac:dyDescent="0.35">
      <c r="A153" s="18"/>
      <c r="B153" s="18"/>
      <c r="C153" s="18"/>
      <c r="D153" s="18"/>
      <c r="E153" s="18"/>
      <c r="F153" s="18"/>
      <c r="G153" s="18"/>
      <c r="H153" s="18"/>
      <c r="I153" s="75"/>
      <c r="J153" s="18"/>
      <c r="K153" s="88"/>
      <c r="L153" s="88"/>
      <c r="M153" s="89"/>
      <c r="N153" s="89"/>
      <c r="O153" s="89"/>
      <c r="P153" s="89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</row>
    <row r="154" spans="1:39" ht="15.5" x14ac:dyDescent="0.35">
      <c r="A154" s="18"/>
      <c r="B154" s="18"/>
      <c r="C154" s="18"/>
      <c r="D154" s="18"/>
      <c r="E154" s="18"/>
      <c r="F154" s="18"/>
      <c r="G154" s="18"/>
      <c r="H154" s="18"/>
      <c r="I154" s="75"/>
      <c r="J154" s="18"/>
      <c r="K154" s="88"/>
      <c r="L154" s="88"/>
      <c r="M154" s="89"/>
      <c r="N154" s="89"/>
      <c r="O154" s="89"/>
      <c r="P154" s="89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</row>
    <row r="155" spans="1:39" ht="15.5" x14ac:dyDescent="0.35">
      <c r="A155" s="18"/>
      <c r="B155" s="18"/>
      <c r="C155" s="18"/>
      <c r="D155" s="18"/>
      <c r="E155" s="18"/>
      <c r="F155" s="18"/>
      <c r="G155" s="18"/>
      <c r="H155" s="18"/>
      <c r="I155" s="75"/>
      <c r="J155" s="18"/>
      <c r="K155" s="88"/>
      <c r="L155" s="88"/>
      <c r="M155" s="89"/>
      <c r="N155" s="89"/>
      <c r="O155" s="89"/>
      <c r="P155" s="89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</row>
    <row r="156" spans="1:39" ht="15.5" x14ac:dyDescent="0.35">
      <c r="A156" s="18"/>
      <c r="B156" s="18"/>
      <c r="C156" s="18"/>
      <c r="D156" s="18"/>
      <c r="E156" s="18"/>
      <c r="F156" s="18"/>
      <c r="G156" s="18"/>
      <c r="H156" s="18"/>
      <c r="I156" s="75"/>
      <c r="J156" s="18"/>
      <c r="K156" s="88"/>
      <c r="L156" s="88"/>
      <c r="M156" s="89"/>
      <c r="N156" s="89"/>
      <c r="O156" s="89"/>
      <c r="P156" s="89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</row>
    <row r="157" spans="1:39" ht="15.5" x14ac:dyDescent="0.35">
      <c r="A157" s="18"/>
      <c r="B157" s="18"/>
      <c r="C157" s="18"/>
      <c r="D157" s="18"/>
      <c r="E157" s="18"/>
      <c r="F157" s="18"/>
      <c r="G157" s="18"/>
      <c r="H157" s="18"/>
      <c r="I157" s="75"/>
      <c r="J157" s="18"/>
      <c r="K157" s="88"/>
      <c r="L157" s="88"/>
      <c r="M157" s="89"/>
      <c r="N157" s="89"/>
      <c r="O157" s="89"/>
      <c r="P157" s="89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</row>
    <row r="158" spans="1:39" ht="15.5" x14ac:dyDescent="0.35">
      <c r="A158" s="18"/>
      <c r="B158" s="18"/>
      <c r="C158" s="18"/>
      <c r="D158" s="18"/>
      <c r="E158" s="18"/>
      <c r="F158" s="18"/>
      <c r="G158" s="18"/>
      <c r="H158" s="18"/>
      <c r="I158" s="75"/>
      <c r="J158" s="18"/>
      <c r="K158" s="88"/>
      <c r="L158" s="88"/>
      <c r="M158" s="89"/>
      <c r="N158" s="89"/>
      <c r="O158" s="89"/>
      <c r="P158" s="89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</row>
    <row r="159" spans="1:39" ht="15.5" x14ac:dyDescent="0.35">
      <c r="A159" s="18"/>
      <c r="B159" s="18"/>
      <c r="C159" s="18"/>
      <c r="D159" s="18"/>
      <c r="E159" s="18"/>
      <c r="F159" s="18"/>
      <c r="G159" s="18"/>
      <c r="H159" s="18"/>
      <c r="I159" s="75"/>
      <c r="J159" s="18"/>
      <c r="K159" s="88"/>
      <c r="L159" s="88"/>
      <c r="M159" s="89"/>
      <c r="N159" s="89"/>
      <c r="O159" s="89"/>
      <c r="P159" s="89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</row>
    <row r="160" spans="1:39" x14ac:dyDescent="0.3">
      <c r="A160" s="18"/>
      <c r="B160" s="18"/>
      <c r="C160" s="18"/>
      <c r="D160" s="18"/>
      <c r="E160" s="18"/>
      <c r="F160" s="18"/>
      <c r="G160" s="18"/>
      <c r="H160" s="18"/>
      <c r="I160" s="75"/>
      <c r="J160" s="18"/>
      <c r="K160" s="18"/>
      <c r="L160" s="85"/>
      <c r="M160" s="85"/>
      <c r="N160" s="85"/>
      <c r="O160" s="85"/>
      <c r="P160" s="85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</row>
    <row r="161" spans="1:39" x14ac:dyDescent="0.3">
      <c r="A161" s="18"/>
      <c r="B161" s="18"/>
      <c r="C161" s="18"/>
      <c r="D161" s="18"/>
      <c r="E161" s="18"/>
      <c r="F161" s="18"/>
      <c r="G161" s="18"/>
      <c r="H161" s="18"/>
      <c r="I161" s="75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</row>
    <row r="162" spans="1:39" x14ac:dyDescent="0.3">
      <c r="A162" s="18"/>
      <c r="B162" s="18"/>
      <c r="C162" s="18"/>
      <c r="D162" s="18"/>
      <c r="E162" s="18"/>
      <c r="F162" s="18"/>
      <c r="G162" s="18"/>
      <c r="H162" s="18"/>
      <c r="I162" s="75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</row>
    <row r="163" spans="1:39" x14ac:dyDescent="0.3">
      <c r="A163" s="18"/>
      <c r="B163" s="18"/>
      <c r="C163" s="18"/>
      <c r="D163" s="18"/>
      <c r="E163" s="18"/>
      <c r="F163" s="18"/>
      <c r="G163" s="18"/>
      <c r="H163" s="18"/>
      <c r="I163" s="75"/>
      <c r="J163" s="18"/>
      <c r="K163" s="90"/>
      <c r="L163" s="90"/>
      <c r="M163" s="90"/>
      <c r="N163" s="90"/>
      <c r="O163" s="90"/>
      <c r="P163" s="90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</row>
    <row r="164" spans="1:39" x14ac:dyDescent="0.3">
      <c r="A164" s="18"/>
      <c r="B164" s="18"/>
      <c r="C164" s="18"/>
      <c r="D164" s="18"/>
      <c r="E164" s="18"/>
      <c r="F164" s="18"/>
      <c r="G164" s="18"/>
      <c r="H164" s="18"/>
      <c r="I164" s="75"/>
      <c r="J164" s="18"/>
      <c r="K164" s="90"/>
      <c r="L164" s="90"/>
      <c r="M164" s="90"/>
      <c r="N164" s="90"/>
      <c r="O164" s="81"/>
      <c r="P164" s="81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</row>
    <row r="165" spans="1:39" x14ac:dyDescent="0.3">
      <c r="A165" s="18"/>
      <c r="B165" s="18"/>
      <c r="C165" s="18"/>
      <c r="D165" s="18"/>
      <c r="E165" s="18"/>
      <c r="F165" s="18"/>
      <c r="G165" s="18"/>
      <c r="H165" s="18"/>
      <c r="I165" s="75"/>
      <c r="J165" s="18"/>
      <c r="K165" s="81"/>
      <c r="L165" s="82"/>
      <c r="M165" s="81"/>
      <c r="N165" s="81"/>
      <c r="O165" s="81"/>
      <c r="P165" s="81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</row>
    <row r="166" spans="1:39" x14ac:dyDescent="0.3">
      <c r="A166" s="18"/>
      <c r="B166" s="18"/>
      <c r="C166" s="18"/>
      <c r="D166" s="18"/>
      <c r="E166" s="18"/>
      <c r="F166" s="18"/>
      <c r="G166" s="18"/>
      <c r="H166" s="18"/>
      <c r="I166" s="75"/>
      <c r="J166" s="18"/>
      <c r="K166" s="81"/>
      <c r="L166" s="82"/>
      <c r="M166" s="81"/>
      <c r="N166" s="81"/>
      <c r="O166" s="81"/>
      <c r="P166" s="81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</row>
    <row r="167" spans="1:39" x14ac:dyDescent="0.3">
      <c r="A167" s="18"/>
      <c r="B167" s="18"/>
      <c r="C167" s="18"/>
      <c r="D167" s="18"/>
      <c r="E167" s="18"/>
      <c r="F167" s="18"/>
      <c r="G167" s="18"/>
      <c r="H167" s="18"/>
      <c r="I167" s="75"/>
      <c r="J167" s="18"/>
      <c r="K167" s="81"/>
      <c r="L167" s="82"/>
      <c r="M167" s="81"/>
      <c r="N167" s="81"/>
      <c r="O167" s="81"/>
      <c r="P167" s="81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</row>
    <row r="168" spans="1:39" x14ac:dyDescent="0.3">
      <c r="A168" s="18"/>
      <c r="B168" s="18"/>
      <c r="C168" s="18"/>
      <c r="D168" s="18"/>
      <c r="E168" s="18"/>
      <c r="F168" s="18"/>
      <c r="G168" s="18"/>
      <c r="H168" s="18"/>
      <c r="I168" s="75"/>
      <c r="J168" s="18"/>
      <c r="K168" s="81"/>
      <c r="L168" s="82"/>
      <c r="M168" s="81"/>
      <c r="N168" s="81"/>
      <c r="O168" s="81"/>
      <c r="P168" s="81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</row>
    <row r="169" spans="1:39" x14ac:dyDescent="0.3">
      <c r="A169" s="18"/>
      <c r="B169" s="18"/>
      <c r="C169" s="18"/>
      <c r="D169" s="18"/>
      <c r="E169" s="18"/>
      <c r="F169" s="18"/>
      <c r="G169" s="18"/>
      <c r="H169" s="18"/>
      <c r="I169" s="75"/>
      <c r="J169" s="18"/>
      <c r="K169" s="81"/>
      <c r="L169" s="82"/>
      <c r="M169" s="81"/>
      <c r="N169" s="81"/>
      <c r="O169" s="81"/>
      <c r="P169" s="81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</row>
    <row r="170" spans="1:39" x14ac:dyDescent="0.3">
      <c r="A170" s="18"/>
      <c r="B170" s="18"/>
      <c r="C170" s="18"/>
      <c r="D170" s="18"/>
      <c r="E170" s="18"/>
      <c r="F170" s="18"/>
      <c r="G170" s="18"/>
      <c r="H170" s="18"/>
      <c r="I170" s="75"/>
      <c r="J170" s="18"/>
      <c r="K170" s="81"/>
      <c r="L170" s="82"/>
      <c r="M170" s="81"/>
      <c r="N170" s="81"/>
      <c r="O170" s="81"/>
      <c r="P170" s="81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</row>
    <row r="171" spans="1:39" x14ac:dyDescent="0.3">
      <c r="A171" s="18"/>
      <c r="B171" s="18"/>
      <c r="C171" s="18"/>
      <c r="D171" s="18"/>
      <c r="E171" s="18"/>
      <c r="F171" s="18"/>
      <c r="G171" s="18"/>
      <c r="H171" s="18"/>
      <c r="I171" s="75"/>
      <c r="J171" s="18"/>
      <c r="K171" s="81"/>
      <c r="L171" s="82"/>
      <c r="M171" s="81"/>
      <c r="N171" s="81"/>
      <c r="O171" s="81"/>
      <c r="P171" s="81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</row>
    <row r="172" spans="1:39" x14ac:dyDescent="0.3">
      <c r="A172" s="18"/>
      <c r="B172" s="18"/>
      <c r="C172" s="18"/>
      <c r="D172" s="18"/>
      <c r="E172" s="18"/>
      <c r="F172" s="18"/>
      <c r="G172" s="18"/>
      <c r="H172" s="18"/>
      <c r="I172" s="75"/>
      <c r="J172" s="18"/>
      <c r="K172" s="81"/>
      <c r="L172" s="82"/>
      <c r="M172" s="81"/>
      <c r="N172" s="81"/>
      <c r="O172" s="81"/>
      <c r="P172" s="81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</row>
    <row r="173" spans="1:39" x14ac:dyDescent="0.3">
      <c r="A173" s="18"/>
      <c r="B173" s="18"/>
      <c r="C173" s="18"/>
      <c r="D173" s="18"/>
      <c r="E173" s="18"/>
      <c r="F173" s="18"/>
      <c r="G173" s="18"/>
      <c r="H173" s="18"/>
      <c r="I173" s="75"/>
      <c r="J173" s="18"/>
      <c r="K173" s="18"/>
      <c r="L173" s="91"/>
      <c r="M173" s="91"/>
      <c r="N173" s="91"/>
      <c r="O173" s="91"/>
      <c r="P173" s="91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</row>
    <row r="174" spans="1:39" x14ac:dyDescent="0.3">
      <c r="A174" s="18"/>
      <c r="B174" s="18"/>
      <c r="C174" s="18"/>
      <c r="D174" s="18"/>
      <c r="E174" s="18"/>
      <c r="F174" s="18"/>
      <c r="G174" s="18"/>
      <c r="H174" s="18"/>
      <c r="I174" s="75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</row>
    <row r="175" spans="1:39" x14ac:dyDescent="0.3">
      <c r="A175" s="18"/>
      <c r="B175" s="18"/>
      <c r="C175" s="18"/>
      <c r="D175" s="18"/>
      <c r="E175" s="18"/>
      <c r="F175" s="18"/>
      <c r="G175" s="18"/>
      <c r="H175" s="18"/>
      <c r="I175" s="75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</row>
    <row r="176" spans="1:39" x14ac:dyDescent="0.3">
      <c r="A176" s="18"/>
      <c r="B176" s="18"/>
      <c r="C176" s="18"/>
      <c r="D176" s="18"/>
      <c r="E176" s="18"/>
      <c r="F176" s="18"/>
      <c r="G176" s="18"/>
      <c r="H176" s="18"/>
      <c r="I176" s="75"/>
      <c r="J176" s="81"/>
      <c r="K176" s="82"/>
      <c r="L176" s="81"/>
      <c r="M176" s="81"/>
      <c r="N176" s="81"/>
      <c r="O176" s="81"/>
      <c r="P176" s="81"/>
      <c r="Q176" s="82"/>
      <c r="R176" s="81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</row>
    <row r="177" spans="1:39" x14ac:dyDescent="0.3">
      <c r="A177" s="18"/>
      <c r="B177" s="18"/>
      <c r="C177" s="18"/>
      <c r="D177" s="18"/>
      <c r="E177" s="18"/>
      <c r="F177" s="18"/>
      <c r="G177" s="18"/>
      <c r="H177" s="18"/>
      <c r="I177" s="75"/>
      <c r="J177" s="90"/>
      <c r="K177" s="81"/>
      <c r="L177" s="82"/>
      <c r="M177" s="81"/>
      <c r="N177" s="81"/>
      <c r="O177" s="81"/>
      <c r="P177" s="81"/>
      <c r="Q177" s="81"/>
      <c r="R177" s="82"/>
      <c r="S177" s="81"/>
      <c r="T177" s="18"/>
      <c r="U177" s="18"/>
      <c r="V177" s="18"/>
      <c r="W177" s="18"/>
      <c r="X177" s="18"/>
      <c r="Y177" s="18"/>
      <c r="Z177" s="18"/>
      <c r="AA177" s="18"/>
      <c r="AB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</row>
    <row r="178" spans="1:39" x14ac:dyDescent="0.3">
      <c r="A178" s="18"/>
      <c r="B178" s="18"/>
      <c r="C178" s="18"/>
      <c r="D178" s="18"/>
      <c r="E178" s="18"/>
      <c r="F178" s="18"/>
      <c r="G178" s="18"/>
      <c r="H178" s="18"/>
      <c r="I178" s="75"/>
      <c r="J178" s="81"/>
      <c r="K178" s="81"/>
      <c r="L178" s="82"/>
      <c r="M178" s="81"/>
      <c r="N178" s="81"/>
      <c r="O178" s="81"/>
      <c r="P178" s="81"/>
      <c r="Q178" s="81"/>
      <c r="R178" s="82"/>
      <c r="S178" s="81"/>
      <c r="T178" s="18"/>
      <c r="U178" s="18"/>
      <c r="V178" s="18"/>
      <c r="W178" s="18"/>
      <c r="X178" s="18"/>
      <c r="Y178" s="18"/>
      <c r="Z178" s="18"/>
      <c r="AA178" s="18"/>
      <c r="AB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</row>
    <row r="179" spans="1:39" x14ac:dyDescent="0.3">
      <c r="A179" s="18"/>
      <c r="B179" s="18"/>
      <c r="C179" s="18"/>
      <c r="D179" s="18"/>
      <c r="E179" s="18"/>
      <c r="F179" s="18"/>
      <c r="G179" s="18"/>
      <c r="H179" s="18"/>
      <c r="I179" s="75"/>
      <c r="J179" s="81"/>
      <c r="K179" s="81"/>
      <c r="L179" s="82"/>
      <c r="M179" s="81"/>
      <c r="N179" s="81"/>
      <c r="O179" s="81"/>
      <c r="P179" s="81"/>
      <c r="Q179" s="81"/>
      <c r="R179" s="82"/>
      <c r="S179" s="81"/>
      <c r="T179" s="18"/>
      <c r="U179" s="18"/>
      <c r="V179" s="18"/>
      <c r="W179" s="18"/>
      <c r="X179" s="18"/>
      <c r="Y179" s="18"/>
      <c r="Z179" s="18"/>
      <c r="AA179" s="18"/>
      <c r="AB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</row>
    <row r="180" spans="1:39" x14ac:dyDescent="0.3">
      <c r="A180" s="18"/>
      <c r="B180" s="18"/>
      <c r="C180" s="18"/>
      <c r="D180" s="18"/>
      <c r="E180" s="18"/>
      <c r="F180" s="18"/>
      <c r="G180" s="18"/>
      <c r="H180" s="18"/>
      <c r="I180" s="75"/>
      <c r="J180" s="81"/>
      <c r="K180" s="81"/>
      <c r="L180" s="82"/>
      <c r="M180" s="81"/>
      <c r="N180" s="81"/>
      <c r="O180" s="81"/>
      <c r="P180" s="81"/>
      <c r="Q180" s="81"/>
      <c r="R180" s="82"/>
      <c r="S180" s="81"/>
      <c r="T180" s="18"/>
      <c r="U180" s="18"/>
      <c r="V180" s="18"/>
      <c r="W180" s="18"/>
      <c r="X180" s="18"/>
      <c r="Y180" s="18"/>
      <c r="Z180" s="18"/>
      <c r="AA180" s="18"/>
      <c r="AB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</row>
    <row r="181" spans="1:39" x14ac:dyDescent="0.3">
      <c r="A181" s="18"/>
      <c r="B181" s="18"/>
      <c r="C181" s="18"/>
      <c r="D181" s="18"/>
      <c r="E181" s="18"/>
      <c r="F181" s="18"/>
      <c r="G181" s="18"/>
      <c r="H181" s="18"/>
      <c r="I181" s="75"/>
      <c r="J181" s="81"/>
      <c r="K181" s="81"/>
      <c r="L181" s="82"/>
      <c r="M181" s="81"/>
      <c r="N181" s="81"/>
      <c r="O181" s="81"/>
      <c r="P181" s="81"/>
      <c r="Q181" s="81"/>
      <c r="R181" s="82"/>
      <c r="S181" s="81"/>
      <c r="T181" s="18"/>
      <c r="U181" s="18"/>
      <c r="V181" s="18"/>
      <c r="W181" s="18"/>
      <c r="X181" s="18"/>
      <c r="Y181" s="18"/>
      <c r="Z181" s="18"/>
      <c r="AA181" s="18"/>
      <c r="AB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</row>
    <row r="182" spans="1:39" x14ac:dyDescent="0.3">
      <c r="A182" s="18"/>
      <c r="B182" s="18"/>
      <c r="C182" s="18"/>
      <c r="D182" s="18"/>
      <c r="E182" s="18"/>
      <c r="F182" s="18"/>
      <c r="G182" s="18"/>
      <c r="H182" s="18"/>
      <c r="I182" s="75"/>
      <c r="J182" s="81"/>
      <c r="K182" s="81"/>
      <c r="L182" s="82"/>
      <c r="M182" s="81"/>
      <c r="N182" s="81"/>
      <c r="O182" s="81"/>
      <c r="P182" s="81"/>
      <c r="Q182" s="81"/>
      <c r="R182" s="82"/>
      <c r="S182" s="81"/>
      <c r="T182" s="18"/>
      <c r="U182" s="18"/>
      <c r="V182" s="18"/>
      <c r="W182" s="18"/>
      <c r="X182" s="18"/>
      <c r="Y182" s="18"/>
      <c r="Z182" s="18"/>
      <c r="AA182" s="18"/>
      <c r="AB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</row>
    <row r="183" spans="1:39" x14ac:dyDescent="0.3">
      <c r="A183" s="18"/>
      <c r="B183" s="18"/>
      <c r="C183" s="18"/>
      <c r="D183" s="18"/>
      <c r="E183" s="18"/>
      <c r="F183" s="18"/>
      <c r="G183" s="18"/>
      <c r="H183" s="18"/>
      <c r="I183" s="75"/>
      <c r="J183" s="81"/>
      <c r="K183" s="81"/>
      <c r="L183" s="82"/>
      <c r="M183" s="81"/>
      <c r="N183" s="81"/>
      <c r="O183" s="81"/>
      <c r="P183" s="81"/>
      <c r="Q183" s="81"/>
      <c r="R183" s="82"/>
      <c r="S183" s="81"/>
      <c r="T183" s="18"/>
      <c r="U183" s="18"/>
      <c r="V183" s="18"/>
      <c r="W183" s="18"/>
      <c r="X183" s="18"/>
      <c r="Y183" s="18"/>
      <c r="Z183" s="18"/>
      <c r="AA183" s="18"/>
      <c r="AB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</row>
    <row r="184" spans="1:39" x14ac:dyDescent="0.3">
      <c r="A184" s="18"/>
      <c r="B184" s="18"/>
      <c r="C184" s="18"/>
      <c r="D184" s="18"/>
      <c r="E184" s="18"/>
      <c r="F184" s="18"/>
      <c r="G184" s="18"/>
      <c r="H184" s="18"/>
      <c r="I184" s="75"/>
      <c r="J184" s="18"/>
      <c r="K184" s="81"/>
      <c r="L184" s="82"/>
      <c r="M184" s="81"/>
      <c r="N184" s="81"/>
      <c r="O184" s="81"/>
      <c r="P184" s="81"/>
      <c r="Q184" s="81"/>
      <c r="R184" s="82"/>
      <c r="S184" s="81"/>
      <c r="T184" s="18"/>
      <c r="U184" s="18"/>
      <c r="V184" s="18"/>
      <c r="W184" s="18"/>
      <c r="X184" s="18"/>
      <c r="Y184" s="18"/>
      <c r="Z184" s="18"/>
      <c r="AA184" s="18"/>
      <c r="AB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</row>
    <row r="185" spans="1:39" x14ac:dyDescent="0.3">
      <c r="A185" s="18"/>
      <c r="B185" s="18"/>
      <c r="C185" s="18"/>
      <c r="D185" s="18"/>
      <c r="E185" s="18"/>
      <c r="F185" s="18"/>
      <c r="G185" s="18"/>
      <c r="H185" s="18"/>
      <c r="I185" s="75"/>
      <c r="J185" s="18"/>
      <c r="K185" s="81"/>
      <c r="L185" s="82"/>
      <c r="M185" s="81"/>
      <c r="N185" s="81"/>
      <c r="O185" s="81"/>
      <c r="P185" s="81"/>
      <c r="Q185" s="81"/>
      <c r="R185" s="82"/>
      <c r="S185" s="81"/>
      <c r="T185" s="18"/>
      <c r="U185" s="18"/>
      <c r="V185" s="18"/>
      <c r="W185" s="18"/>
      <c r="X185" s="18"/>
      <c r="Y185" s="18"/>
      <c r="Z185" s="18"/>
      <c r="AA185" s="18"/>
      <c r="AB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</row>
    <row r="186" spans="1:39" x14ac:dyDescent="0.3">
      <c r="A186" s="18"/>
      <c r="B186" s="18"/>
      <c r="C186" s="18"/>
      <c r="D186" s="18"/>
      <c r="E186" s="18"/>
      <c r="F186" s="18"/>
      <c r="G186" s="18"/>
      <c r="H186" s="18"/>
      <c r="I186" s="75"/>
      <c r="J186" s="18"/>
      <c r="K186" s="81"/>
      <c r="L186" s="82"/>
      <c r="M186" s="81"/>
      <c r="N186" s="81"/>
      <c r="O186" s="81"/>
      <c r="P186" s="81"/>
      <c r="Q186" s="81"/>
      <c r="R186" s="82"/>
      <c r="S186" s="81"/>
      <c r="T186" s="18"/>
      <c r="U186" s="18"/>
      <c r="V186" s="18"/>
      <c r="W186" s="18"/>
      <c r="X186" s="18"/>
      <c r="Y186" s="18"/>
      <c r="Z186" s="18"/>
      <c r="AA186" s="18"/>
      <c r="AB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</row>
    <row r="187" spans="1:39" x14ac:dyDescent="0.3">
      <c r="A187" s="18"/>
      <c r="B187" s="18"/>
      <c r="C187" s="18"/>
      <c r="D187" s="18"/>
      <c r="E187" s="18"/>
      <c r="F187" s="18"/>
      <c r="G187" s="18"/>
      <c r="H187" s="18"/>
      <c r="I187" s="75"/>
      <c r="J187" s="18"/>
      <c r="K187" s="81"/>
      <c r="L187" s="82"/>
      <c r="M187" s="81"/>
      <c r="N187" s="81"/>
      <c r="O187" s="81"/>
      <c r="P187" s="81"/>
      <c r="Q187" s="81"/>
      <c r="R187" s="82"/>
      <c r="S187" s="81"/>
      <c r="T187" s="18"/>
      <c r="U187" s="18"/>
      <c r="V187" s="18"/>
      <c r="W187" s="18"/>
      <c r="X187" s="18"/>
      <c r="Y187" s="18"/>
      <c r="Z187" s="18"/>
      <c r="AA187" s="18"/>
      <c r="AB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</row>
    <row r="188" spans="1:39" x14ac:dyDescent="0.3">
      <c r="A188" s="18"/>
      <c r="B188" s="18"/>
      <c r="C188" s="18"/>
      <c r="D188" s="18"/>
      <c r="E188" s="18"/>
      <c r="F188" s="18"/>
      <c r="G188" s="18"/>
      <c r="H188" s="18"/>
      <c r="I188" s="75"/>
      <c r="J188" s="18"/>
      <c r="K188" s="18"/>
      <c r="L188" s="18"/>
      <c r="M188" s="91"/>
      <c r="N188" s="91"/>
      <c r="O188" s="91"/>
      <c r="P188" s="91"/>
      <c r="Q188" s="91"/>
      <c r="R188" s="91"/>
      <c r="S188" s="91"/>
      <c r="T188" s="18"/>
      <c r="U188" s="18"/>
      <c r="V188" s="18"/>
      <c r="W188" s="18"/>
      <c r="X188" s="18"/>
      <c r="Y188" s="18"/>
      <c r="Z188" s="18"/>
      <c r="AA188" s="18"/>
      <c r="AB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</row>
    <row r="189" spans="1:39" x14ac:dyDescent="0.3">
      <c r="A189" s="18"/>
      <c r="B189" s="18"/>
      <c r="C189" s="18"/>
      <c r="D189" s="18"/>
      <c r="E189" s="18"/>
      <c r="F189" s="18"/>
      <c r="G189" s="18"/>
      <c r="H189" s="18"/>
      <c r="I189" s="75"/>
      <c r="J189" s="18"/>
      <c r="K189" s="90"/>
      <c r="L189" s="90"/>
      <c r="M189" s="90"/>
      <c r="N189" s="90"/>
      <c r="O189" s="90"/>
      <c r="P189" s="90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</row>
    <row r="190" spans="1:39" x14ac:dyDescent="0.3">
      <c r="A190" s="18"/>
      <c r="B190" s="18"/>
      <c r="C190" s="18"/>
      <c r="D190" s="18"/>
      <c r="E190" s="18"/>
      <c r="F190" s="18"/>
      <c r="G190" s="18"/>
      <c r="H190" s="18"/>
      <c r="I190" s="75"/>
      <c r="J190" s="18"/>
      <c r="K190" s="90"/>
      <c r="L190" s="90"/>
      <c r="M190" s="90"/>
      <c r="N190" s="90"/>
      <c r="O190" s="81"/>
      <c r="P190" s="81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</row>
    <row r="191" spans="1:39" x14ac:dyDescent="0.3">
      <c r="A191" s="18"/>
      <c r="B191" s="18"/>
      <c r="C191" s="18"/>
      <c r="D191" s="18"/>
      <c r="E191" s="18"/>
      <c r="F191" s="18"/>
      <c r="G191" s="18"/>
      <c r="H191" s="18"/>
      <c r="I191" s="75"/>
      <c r="J191" s="18"/>
      <c r="K191" s="81"/>
      <c r="L191" s="82"/>
      <c r="M191" s="81"/>
      <c r="N191" s="81"/>
      <c r="O191" s="81"/>
      <c r="P191" s="81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</row>
    <row r="192" spans="1:39" x14ac:dyDescent="0.3">
      <c r="A192" s="18"/>
      <c r="B192" s="18"/>
      <c r="C192" s="18"/>
      <c r="D192" s="18"/>
      <c r="E192" s="18"/>
      <c r="F192" s="18"/>
      <c r="G192" s="18"/>
      <c r="H192" s="18"/>
      <c r="I192" s="75"/>
      <c r="J192" s="18"/>
      <c r="K192" s="81"/>
      <c r="L192" s="82"/>
      <c r="M192" s="81"/>
      <c r="N192" s="81"/>
      <c r="O192" s="81"/>
      <c r="P192" s="81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</row>
    <row r="193" spans="1:39" x14ac:dyDescent="0.3">
      <c r="A193" s="18"/>
      <c r="B193" s="18"/>
      <c r="C193" s="18"/>
      <c r="D193" s="18"/>
      <c r="E193" s="18"/>
      <c r="F193" s="18"/>
      <c r="G193" s="18"/>
      <c r="H193" s="18"/>
      <c r="I193" s="75"/>
      <c r="J193" s="18"/>
      <c r="K193" s="81"/>
      <c r="L193" s="82"/>
      <c r="M193" s="81"/>
      <c r="N193" s="81"/>
      <c r="O193" s="81"/>
      <c r="P193" s="81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</row>
    <row r="194" spans="1:39" x14ac:dyDescent="0.3">
      <c r="A194" s="18"/>
      <c r="B194" s="18"/>
      <c r="C194" s="18"/>
      <c r="D194" s="18"/>
      <c r="E194" s="18"/>
      <c r="F194" s="18"/>
      <c r="G194" s="18"/>
      <c r="H194" s="18"/>
      <c r="I194" s="75"/>
      <c r="J194" s="18"/>
      <c r="K194" s="81"/>
      <c r="L194" s="82"/>
      <c r="M194" s="81"/>
      <c r="N194" s="81"/>
      <c r="O194" s="81"/>
      <c r="P194" s="81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</row>
    <row r="195" spans="1:39" x14ac:dyDescent="0.3">
      <c r="A195" s="18"/>
      <c r="B195" s="18"/>
      <c r="C195" s="18"/>
      <c r="D195" s="18"/>
      <c r="E195" s="18"/>
      <c r="F195" s="18"/>
      <c r="G195" s="18"/>
      <c r="H195" s="18"/>
      <c r="I195" s="75"/>
      <c r="J195" s="18"/>
      <c r="K195" s="81"/>
      <c r="L195" s="82"/>
      <c r="M195" s="81"/>
      <c r="N195" s="81"/>
      <c r="O195" s="81"/>
      <c r="P195" s="81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</row>
    <row r="196" spans="1:39" x14ac:dyDescent="0.3">
      <c r="A196" s="18"/>
      <c r="B196" s="18"/>
      <c r="C196" s="18"/>
      <c r="D196" s="18"/>
      <c r="E196" s="18"/>
      <c r="F196" s="18"/>
      <c r="G196" s="18"/>
      <c r="H196" s="18"/>
      <c r="I196" s="75"/>
      <c r="J196" s="18"/>
      <c r="K196" s="81"/>
      <c r="L196" s="82"/>
      <c r="M196" s="81"/>
      <c r="N196" s="81"/>
      <c r="O196" s="81"/>
      <c r="P196" s="81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</row>
    <row r="197" spans="1:39" x14ac:dyDescent="0.3">
      <c r="A197" s="18"/>
      <c r="B197" s="18"/>
      <c r="C197" s="18"/>
      <c r="D197" s="18"/>
      <c r="E197" s="18"/>
      <c r="F197" s="18"/>
      <c r="G197" s="18"/>
      <c r="H197" s="18"/>
      <c r="I197" s="75"/>
      <c r="J197" s="18"/>
      <c r="K197" s="81"/>
      <c r="L197" s="82"/>
      <c r="M197" s="81"/>
      <c r="N197" s="81"/>
      <c r="O197" s="81"/>
      <c r="P197" s="81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</row>
    <row r="198" spans="1:39" x14ac:dyDescent="0.3">
      <c r="A198" s="18"/>
      <c r="B198" s="18"/>
      <c r="C198" s="18"/>
      <c r="D198" s="18"/>
      <c r="E198" s="18"/>
      <c r="F198" s="18"/>
      <c r="G198" s="18"/>
      <c r="H198" s="18"/>
      <c r="I198" s="75"/>
      <c r="J198" s="18"/>
      <c r="K198" s="81"/>
      <c r="L198" s="82"/>
      <c r="M198" s="81"/>
      <c r="N198" s="81"/>
      <c r="O198" s="81"/>
      <c r="P198" s="81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</row>
    <row r="199" spans="1:39" x14ac:dyDescent="0.3">
      <c r="A199" s="18"/>
      <c r="B199" s="18"/>
      <c r="C199" s="18"/>
      <c r="D199" s="18"/>
      <c r="E199" s="18"/>
      <c r="F199" s="18"/>
      <c r="G199" s="18"/>
      <c r="H199" s="18"/>
      <c r="I199" s="75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</row>
    <row r="200" spans="1:39" x14ac:dyDescent="0.3">
      <c r="A200" s="18"/>
      <c r="B200" s="18"/>
      <c r="C200" s="18"/>
      <c r="D200" s="18"/>
      <c r="E200" s="18"/>
      <c r="F200" s="18"/>
      <c r="G200" s="18"/>
      <c r="H200" s="18"/>
      <c r="I200" s="75"/>
      <c r="J200" s="18"/>
      <c r="K200" s="18"/>
      <c r="L200" s="91"/>
      <c r="M200" s="91"/>
      <c r="N200" s="91"/>
      <c r="O200" s="91"/>
      <c r="P200" s="91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</row>
    <row r="201" spans="1:39" x14ac:dyDescent="0.3">
      <c r="A201" s="18"/>
      <c r="B201" s="18"/>
      <c r="C201" s="18"/>
      <c r="D201" s="18"/>
      <c r="E201" s="18"/>
      <c r="F201" s="18"/>
      <c r="G201" s="18"/>
      <c r="H201" s="18"/>
      <c r="I201" s="75"/>
      <c r="J201" s="18"/>
      <c r="K201" s="18"/>
      <c r="L201" s="91"/>
      <c r="M201" s="91"/>
      <c r="N201" s="91"/>
      <c r="O201" s="91"/>
      <c r="P201" s="91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</row>
    <row r="202" spans="1:39" x14ac:dyDescent="0.3">
      <c r="A202" s="18"/>
      <c r="B202" s="18"/>
      <c r="C202" s="18"/>
      <c r="D202" s="18"/>
      <c r="E202" s="18"/>
      <c r="F202" s="18"/>
      <c r="G202" s="18"/>
      <c r="H202" s="18"/>
      <c r="I202" s="75"/>
      <c r="J202" s="18"/>
      <c r="K202" s="90"/>
      <c r="L202" s="90"/>
      <c r="M202" s="90"/>
      <c r="N202" s="90"/>
      <c r="O202" s="81"/>
      <c r="P202" s="81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</row>
    <row r="203" spans="1:39" x14ac:dyDescent="0.3">
      <c r="A203" s="18"/>
      <c r="B203" s="18"/>
      <c r="C203" s="18"/>
      <c r="D203" s="18"/>
      <c r="E203" s="18"/>
      <c r="F203" s="18"/>
      <c r="G203" s="18"/>
      <c r="H203" s="18"/>
      <c r="I203" s="75"/>
      <c r="J203" s="18"/>
      <c r="K203" s="81"/>
      <c r="L203" s="82"/>
      <c r="M203" s="81"/>
      <c r="N203" s="81"/>
      <c r="O203" s="81"/>
      <c r="P203" s="81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</row>
    <row r="204" spans="1:39" x14ac:dyDescent="0.3">
      <c r="A204" s="18"/>
      <c r="B204" s="18"/>
      <c r="C204" s="18"/>
      <c r="D204" s="18"/>
      <c r="E204" s="18"/>
      <c r="F204" s="18"/>
      <c r="G204" s="18"/>
      <c r="H204" s="18"/>
      <c r="I204" s="75"/>
      <c r="J204" s="18"/>
      <c r="K204" s="81"/>
      <c r="L204" s="82"/>
      <c r="M204" s="81"/>
      <c r="N204" s="81"/>
      <c r="O204" s="81"/>
      <c r="P204" s="81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</row>
    <row r="205" spans="1:39" x14ac:dyDescent="0.3">
      <c r="A205" s="18"/>
      <c r="B205" s="18"/>
      <c r="C205" s="18"/>
      <c r="D205" s="18"/>
      <c r="E205" s="18"/>
      <c r="F205" s="18"/>
      <c r="G205" s="18"/>
      <c r="H205" s="18"/>
      <c r="I205" s="75"/>
      <c r="J205" s="18"/>
      <c r="K205" s="81"/>
      <c r="L205" s="82"/>
      <c r="M205" s="81"/>
      <c r="N205" s="81"/>
      <c r="O205" s="81"/>
      <c r="P205" s="81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</row>
    <row r="206" spans="1:39" x14ac:dyDescent="0.3">
      <c r="A206" s="18"/>
      <c r="B206" s="18"/>
      <c r="C206" s="18"/>
      <c r="D206" s="18"/>
      <c r="E206" s="18"/>
      <c r="F206" s="18"/>
      <c r="G206" s="18"/>
      <c r="H206" s="18"/>
      <c r="I206" s="75"/>
      <c r="J206" s="18"/>
      <c r="K206" s="81"/>
      <c r="L206" s="82"/>
      <c r="M206" s="81"/>
      <c r="N206" s="81"/>
      <c r="O206" s="81"/>
      <c r="P206" s="81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</row>
    <row r="207" spans="1:39" x14ac:dyDescent="0.3">
      <c r="A207" s="18"/>
      <c r="B207" s="18"/>
      <c r="C207" s="18"/>
      <c r="D207" s="18"/>
      <c r="E207" s="18"/>
      <c r="F207" s="18"/>
      <c r="G207" s="18"/>
      <c r="H207" s="18"/>
      <c r="I207" s="75"/>
      <c r="J207" s="18"/>
      <c r="K207" s="81"/>
      <c r="L207" s="82"/>
      <c r="M207" s="81"/>
      <c r="N207" s="81"/>
      <c r="O207" s="81"/>
      <c r="P207" s="81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</row>
    <row r="208" spans="1:39" x14ac:dyDescent="0.3">
      <c r="A208" s="18"/>
      <c r="B208" s="18"/>
      <c r="C208" s="18"/>
      <c r="D208" s="18"/>
      <c r="E208" s="18"/>
      <c r="F208" s="18"/>
      <c r="G208" s="18"/>
      <c r="H208" s="18"/>
      <c r="I208" s="75"/>
      <c r="J208" s="18"/>
      <c r="K208" s="81"/>
      <c r="L208" s="82"/>
      <c r="M208" s="81"/>
      <c r="N208" s="81"/>
      <c r="O208" s="81"/>
      <c r="P208" s="81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</row>
    <row r="209" spans="1:39" x14ac:dyDescent="0.3">
      <c r="A209" s="18"/>
      <c r="B209" s="18"/>
      <c r="C209" s="18"/>
      <c r="D209" s="18"/>
      <c r="E209" s="18"/>
      <c r="F209" s="18"/>
      <c r="G209" s="18"/>
      <c r="H209" s="18"/>
      <c r="I209" s="75"/>
      <c r="J209" s="18"/>
      <c r="K209" s="81"/>
      <c r="L209" s="82"/>
      <c r="M209" s="81"/>
      <c r="N209" s="81"/>
      <c r="O209" s="81"/>
      <c r="P209" s="81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</row>
    <row r="210" spans="1:39" x14ac:dyDescent="0.3">
      <c r="A210" s="18"/>
      <c r="B210" s="18"/>
      <c r="C210" s="18"/>
      <c r="D210" s="18"/>
      <c r="E210" s="18"/>
      <c r="F210" s="18"/>
      <c r="G210" s="18"/>
      <c r="H210" s="18"/>
      <c r="I210" s="75"/>
      <c r="J210" s="18"/>
      <c r="K210" s="81"/>
      <c r="L210" s="82"/>
      <c r="M210" s="81"/>
      <c r="N210" s="81"/>
      <c r="O210" s="81"/>
      <c r="P210" s="81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</row>
    <row r="211" spans="1:39" x14ac:dyDescent="0.3">
      <c r="A211" s="18"/>
      <c r="B211" s="18"/>
      <c r="C211" s="18"/>
      <c r="D211" s="18"/>
      <c r="E211" s="18"/>
      <c r="F211" s="18"/>
      <c r="G211" s="18"/>
      <c r="H211" s="18"/>
      <c r="I211" s="75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</row>
    <row r="212" spans="1:39" x14ac:dyDescent="0.3">
      <c r="A212" s="18"/>
      <c r="B212" s="18"/>
      <c r="C212" s="18"/>
      <c r="D212" s="18"/>
      <c r="E212" s="18"/>
      <c r="F212" s="18"/>
      <c r="G212" s="18"/>
      <c r="H212" s="18"/>
      <c r="I212" s="75"/>
      <c r="J212" s="18"/>
      <c r="K212" s="18"/>
      <c r="L212" s="91"/>
      <c r="M212" s="91"/>
      <c r="N212" s="91"/>
      <c r="O212" s="91"/>
      <c r="P212" s="91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</row>
    <row r="213" spans="1:39" x14ac:dyDescent="0.3">
      <c r="A213" s="18"/>
      <c r="B213" s="18"/>
      <c r="C213" s="18"/>
      <c r="D213" s="18"/>
      <c r="E213" s="18"/>
      <c r="F213" s="18"/>
      <c r="G213" s="18"/>
      <c r="H213" s="18"/>
      <c r="I213" s="75"/>
      <c r="J213" s="18"/>
      <c r="K213" s="18"/>
      <c r="L213" s="91"/>
      <c r="M213" s="91"/>
      <c r="N213" s="91"/>
      <c r="O213" s="91"/>
      <c r="P213" s="91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</row>
    <row r="214" spans="1:39" x14ac:dyDescent="0.3">
      <c r="A214" s="18"/>
      <c r="B214" s="18"/>
      <c r="C214" s="18"/>
      <c r="D214" s="18"/>
      <c r="E214" s="18"/>
      <c r="F214" s="18"/>
      <c r="G214" s="18"/>
      <c r="H214" s="18"/>
      <c r="I214" s="75"/>
      <c r="J214" s="18"/>
      <c r="K214" s="92"/>
      <c r="L214" s="92"/>
      <c r="M214" s="92"/>
      <c r="N214" s="92"/>
      <c r="O214" s="92"/>
      <c r="P214" s="92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</row>
    <row r="215" spans="1:39" ht="15.5" x14ac:dyDescent="0.35">
      <c r="A215" s="18"/>
      <c r="B215" s="18"/>
      <c r="C215" s="18"/>
      <c r="D215" s="18"/>
      <c r="E215" s="18"/>
      <c r="F215" s="18"/>
      <c r="G215" s="18"/>
      <c r="H215" s="18"/>
      <c r="I215" s="75"/>
      <c r="J215" s="18"/>
      <c r="K215" s="92"/>
      <c r="L215" s="93"/>
      <c r="M215" s="93"/>
      <c r="N215" s="93"/>
      <c r="O215" s="94"/>
      <c r="P215" s="8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</row>
    <row r="216" spans="1:39" ht="15.5" x14ac:dyDescent="0.35">
      <c r="A216" s="18"/>
      <c r="B216" s="18"/>
      <c r="C216" s="18"/>
      <c r="D216" s="18"/>
      <c r="E216" s="18"/>
      <c r="F216" s="18"/>
      <c r="G216" s="18"/>
      <c r="H216" s="18"/>
      <c r="I216" s="75"/>
      <c r="J216" s="18"/>
      <c r="K216" s="95"/>
      <c r="L216" s="95"/>
      <c r="M216" s="95"/>
      <c r="N216" s="95"/>
      <c r="O216" s="95"/>
      <c r="P216" s="95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</row>
    <row r="217" spans="1:39" ht="15.5" x14ac:dyDescent="0.35">
      <c r="A217" s="18"/>
      <c r="B217" s="18"/>
      <c r="C217" s="18"/>
      <c r="D217" s="18"/>
      <c r="E217" s="18"/>
      <c r="F217" s="18"/>
      <c r="G217" s="18"/>
      <c r="H217" s="18"/>
      <c r="I217" s="75"/>
      <c r="J217" s="18"/>
      <c r="K217" s="95"/>
      <c r="L217" s="95"/>
      <c r="M217" s="95"/>
      <c r="N217" s="95"/>
      <c r="O217" s="95"/>
      <c r="P217" s="95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</row>
    <row r="218" spans="1:39" ht="15.5" x14ac:dyDescent="0.35">
      <c r="A218" s="18"/>
      <c r="B218" s="18"/>
      <c r="C218" s="18"/>
      <c r="D218" s="18"/>
      <c r="E218" s="18"/>
      <c r="F218" s="18"/>
      <c r="G218" s="18"/>
      <c r="H218" s="18"/>
      <c r="I218" s="75"/>
      <c r="J218" s="18"/>
      <c r="K218" s="95"/>
      <c r="L218" s="95"/>
      <c r="M218" s="95"/>
      <c r="N218" s="95"/>
      <c r="O218" s="95"/>
      <c r="P218" s="95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</row>
    <row r="219" spans="1:39" ht="15.5" x14ac:dyDescent="0.35">
      <c r="A219" s="18"/>
      <c r="B219" s="18"/>
      <c r="C219" s="18"/>
      <c r="D219" s="18"/>
      <c r="E219" s="18"/>
      <c r="F219" s="18"/>
      <c r="G219" s="18"/>
      <c r="H219" s="18"/>
      <c r="I219" s="75"/>
      <c r="J219" s="18"/>
      <c r="K219" s="95"/>
      <c r="L219" s="95"/>
      <c r="M219" s="95"/>
      <c r="N219" s="95"/>
      <c r="O219" s="95"/>
      <c r="P219" s="95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</row>
    <row r="220" spans="1:39" ht="15.5" x14ac:dyDescent="0.35">
      <c r="A220" s="18"/>
      <c r="B220" s="18"/>
      <c r="C220" s="18"/>
      <c r="D220" s="18"/>
      <c r="E220" s="18"/>
      <c r="F220" s="18"/>
      <c r="G220" s="18"/>
      <c r="H220" s="18"/>
      <c r="I220" s="75"/>
      <c r="J220" s="18"/>
      <c r="K220" s="95"/>
      <c r="L220" s="95"/>
      <c r="M220" s="95"/>
      <c r="N220" s="95"/>
      <c r="O220" s="95"/>
      <c r="P220" s="95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</row>
    <row r="221" spans="1:39" ht="15.5" x14ac:dyDescent="0.35">
      <c r="A221" s="18"/>
      <c r="B221" s="18"/>
      <c r="C221" s="18"/>
      <c r="D221" s="18"/>
      <c r="E221" s="18"/>
      <c r="F221" s="18"/>
      <c r="G221" s="18"/>
      <c r="H221" s="18"/>
      <c r="I221" s="75"/>
      <c r="J221" s="18"/>
      <c r="K221" s="95"/>
      <c r="L221" s="95"/>
      <c r="M221" s="95"/>
      <c r="N221" s="95"/>
      <c r="O221" s="95"/>
      <c r="P221" s="95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</row>
    <row r="222" spans="1:39" ht="15.5" x14ac:dyDescent="0.35">
      <c r="A222" s="18"/>
      <c r="B222" s="18"/>
      <c r="C222" s="18"/>
      <c r="D222" s="18"/>
      <c r="E222" s="18"/>
      <c r="F222" s="18"/>
      <c r="G222" s="18"/>
      <c r="H222" s="18"/>
      <c r="I222" s="75"/>
      <c r="J222" s="18"/>
      <c r="K222" s="95"/>
      <c r="L222" s="95"/>
      <c r="M222" s="95"/>
      <c r="N222" s="95"/>
      <c r="O222" s="95"/>
      <c r="P222" s="95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</row>
    <row r="223" spans="1:39" ht="15.5" x14ac:dyDescent="0.35">
      <c r="A223" s="18"/>
      <c r="B223" s="18"/>
      <c r="C223" s="18"/>
      <c r="D223" s="18"/>
      <c r="E223" s="18"/>
      <c r="F223" s="18"/>
      <c r="G223" s="18"/>
      <c r="H223" s="18"/>
      <c r="I223" s="75"/>
      <c r="J223" s="18"/>
      <c r="K223" s="95"/>
      <c r="L223" s="95"/>
      <c r="M223" s="95"/>
      <c r="N223" s="95"/>
      <c r="O223" s="95"/>
      <c r="P223" s="95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</row>
    <row r="224" spans="1:39" x14ac:dyDescent="0.3">
      <c r="A224" s="18"/>
      <c r="B224" s="18"/>
      <c r="C224" s="18"/>
      <c r="D224" s="18"/>
      <c r="E224" s="18"/>
      <c r="F224" s="18"/>
      <c r="G224" s="18"/>
      <c r="H224" s="18"/>
      <c r="I224" s="75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</row>
    <row r="225" spans="1:39" x14ac:dyDescent="0.3">
      <c r="A225" s="18"/>
      <c r="B225" s="18"/>
      <c r="C225" s="18"/>
      <c r="D225" s="18"/>
      <c r="E225" s="18"/>
      <c r="F225" s="18"/>
      <c r="G225" s="18"/>
      <c r="H225" s="18"/>
      <c r="I225" s="75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</row>
    <row r="226" spans="1:39" x14ac:dyDescent="0.3">
      <c r="A226" s="18"/>
      <c r="B226" s="18"/>
      <c r="C226" s="18"/>
      <c r="D226" s="18"/>
      <c r="E226" s="18"/>
      <c r="F226" s="18"/>
      <c r="G226" s="18"/>
      <c r="H226" s="18"/>
      <c r="I226" s="75"/>
      <c r="J226" s="18"/>
      <c r="K226" s="90"/>
      <c r="L226" s="90"/>
      <c r="M226" s="90"/>
      <c r="N226" s="90"/>
      <c r="O226" s="90"/>
      <c r="P226" s="90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</row>
    <row r="227" spans="1:39" x14ac:dyDescent="0.3">
      <c r="A227" s="18"/>
      <c r="B227" s="18"/>
      <c r="C227" s="18"/>
      <c r="D227" s="18"/>
      <c r="E227" s="18"/>
      <c r="F227" s="18"/>
      <c r="G227" s="18"/>
      <c r="H227" s="18"/>
      <c r="I227" s="75"/>
      <c r="J227" s="18"/>
      <c r="K227" s="90"/>
      <c r="L227" s="90"/>
      <c r="M227" s="90"/>
      <c r="N227" s="90"/>
      <c r="O227" s="81"/>
      <c r="P227" s="81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</row>
    <row r="228" spans="1:39" x14ac:dyDescent="0.3">
      <c r="A228" s="18"/>
      <c r="B228" s="18"/>
      <c r="C228" s="18"/>
      <c r="D228" s="18"/>
      <c r="E228" s="18"/>
      <c r="F228" s="18"/>
      <c r="G228" s="18"/>
      <c r="H228" s="18"/>
      <c r="I228" s="75"/>
      <c r="J228" s="18"/>
      <c r="K228" s="81"/>
      <c r="L228" s="82"/>
      <c r="M228" s="81"/>
      <c r="N228" s="81"/>
      <c r="O228" s="81"/>
      <c r="P228" s="81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</row>
    <row r="229" spans="1:39" x14ac:dyDescent="0.3">
      <c r="A229" s="18"/>
      <c r="B229" s="18"/>
      <c r="C229" s="18"/>
      <c r="D229" s="18"/>
      <c r="E229" s="18"/>
      <c r="F229" s="18"/>
      <c r="G229" s="18"/>
      <c r="H229" s="18"/>
      <c r="I229" s="75"/>
      <c r="J229" s="18"/>
      <c r="K229" s="81"/>
      <c r="L229" s="82"/>
      <c r="M229" s="81"/>
      <c r="N229" s="81"/>
      <c r="O229" s="81"/>
      <c r="P229" s="81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</row>
    <row r="230" spans="1:39" x14ac:dyDescent="0.3">
      <c r="A230" s="18"/>
      <c r="B230" s="18"/>
      <c r="C230" s="18"/>
      <c r="D230" s="18"/>
      <c r="E230" s="18"/>
      <c r="F230" s="18"/>
      <c r="G230" s="18"/>
      <c r="H230" s="18"/>
      <c r="I230" s="75"/>
      <c r="J230" s="18"/>
      <c r="K230" s="81"/>
      <c r="L230" s="82"/>
      <c r="M230" s="81"/>
      <c r="N230" s="81"/>
      <c r="O230" s="81"/>
      <c r="P230" s="81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</row>
    <row r="231" spans="1:39" x14ac:dyDescent="0.3">
      <c r="A231" s="18"/>
      <c r="B231" s="18"/>
      <c r="C231" s="18"/>
      <c r="D231" s="18"/>
      <c r="E231" s="18"/>
      <c r="F231" s="18"/>
      <c r="G231" s="18"/>
      <c r="H231" s="18"/>
      <c r="I231" s="75"/>
      <c r="J231" s="18"/>
      <c r="K231" s="81"/>
      <c r="L231" s="82"/>
      <c r="M231" s="81"/>
      <c r="N231" s="81"/>
      <c r="O231" s="81"/>
      <c r="P231" s="81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</row>
    <row r="232" spans="1:39" x14ac:dyDescent="0.3">
      <c r="A232" s="18"/>
      <c r="B232" s="18"/>
      <c r="C232" s="18"/>
      <c r="D232" s="18"/>
      <c r="E232" s="18"/>
      <c r="F232" s="18"/>
      <c r="G232" s="18"/>
      <c r="H232" s="18"/>
      <c r="I232" s="75"/>
      <c r="J232" s="18"/>
      <c r="K232" s="81"/>
      <c r="L232" s="82"/>
      <c r="M232" s="81"/>
      <c r="N232" s="81"/>
      <c r="O232" s="81"/>
      <c r="P232" s="81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</row>
    <row r="233" spans="1:39" x14ac:dyDescent="0.3">
      <c r="A233" s="18"/>
      <c r="B233" s="18"/>
      <c r="C233" s="18"/>
      <c r="D233" s="18"/>
      <c r="E233" s="18"/>
      <c r="F233" s="18"/>
      <c r="G233" s="18"/>
      <c r="H233" s="18"/>
      <c r="I233" s="75"/>
      <c r="J233" s="18"/>
      <c r="K233" s="81"/>
      <c r="L233" s="82"/>
      <c r="M233" s="81"/>
      <c r="N233" s="81"/>
      <c r="O233" s="81"/>
      <c r="P233" s="81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</row>
    <row r="234" spans="1:39" x14ac:dyDescent="0.3">
      <c r="A234" s="18"/>
      <c r="B234" s="18"/>
      <c r="C234" s="18"/>
      <c r="D234" s="18"/>
      <c r="E234" s="18"/>
      <c r="F234" s="18"/>
      <c r="G234" s="18"/>
      <c r="H234" s="18"/>
      <c r="I234" s="75"/>
      <c r="J234" s="18"/>
      <c r="K234" s="81"/>
      <c r="L234" s="82"/>
      <c r="M234" s="81"/>
      <c r="N234" s="81"/>
      <c r="O234" s="81"/>
      <c r="P234" s="81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</row>
    <row r="235" spans="1:39" x14ac:dyDescent="0.3">
      <c r="A235" s="18"/>
      <c r="B235" s="18"/>
      <c r="C235" s="18"/>
      <c r="D235" s="18"/>
      <c r="E235" s="18"/>
      <c r="F235" s="18"/>
      <c r="G235" s="18"/>
      <c r="H235" s="18"/>
      <c r="I235" s="75"/>
      <c r="J235" s="18"/>
      <c r="K235" s="81"/>
      <c r="L235" s="82"/>
      <c r="M235" s="81"/>
      <c r="N235" s="81"/>
      <c r="O235" s="81"/>
      <c r="P235" s="81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</row>
    <row r="236" spans="1:39" x14ac:dyDescent="0.3">
      <c r="A236" s="18"/>
      <c r="B236" s="18"/>
      <c r="C236" s="18"/>
      <c r="D236" s="18"/>
      <c r="E236" s="18"/>
      <c r="F236" s="18"/>
      <c r="G236" s="18"/>
      <c r="H236" s="18"/>
      <c r="I236" s="75"/>
      <c r="J236" s="18"/>
      <c r="K236" s="81"/>
      <c r="L236" s="82"/>
      <c r="M236" s="81"/>
      <c r="N236" s="81"/>
      <c r="O236" s="81"/>
      <c r="P236" s="81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</row>
    <row r="237" spans="1:39" x14ac:dyDescent="0.3">
      <c r="A237" s="18"/>
      <c r="B237" s="18"/>
      <c r="C237" s="18"/>
      <c r="D237" s="18"/>
      <c r="E237" s="18"/>
      <c r="F237" s="18"/>
      <c r="G237" s="18"/>
      <c r="H237" s="18"/>
      <c r="I237" s="75"/>
      <c r="J237" s="18"/>
      <c r="K237" s="81"/>
      <c r="L237" s="82"/>
      <c r="M237" s="81"/>
      <c r="N237" s="81"/>
      <c r="O237" s="81"/>
      <c r="P237" s="81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</row>
    <row r="238" spans="1:39" x14ac:dyDescent="0.3">
      <c r="A238" s="18"/>
      <c r="B238" s="18"/>
      <c r="C238" s="18"/>
      <c r="D238" s="18"/>
      <c r="E238" s="18"/>
      <c r="F238" s="18"/>
      <c r="G238" s="18"/>
      <c r="H238" s="18"/>
      <c r="I238" s="75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</row>
    <row r="239" spans="1:39" x14ac:dyDescent="0.3">
      <c r="A239" s="18"/>
      <c r="B239" s="18"/>
      <c r="C239" s="18"/>
      <c r="D239" s="18"/>
      <c r="E239" s="18"/>
      <c r="F239" s="18"/>
      <c r="G239" s="18"/>
      <c r="H239" s="18"/>
      <c r="I239" s="75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</row>
    <row r="240" spans="1:39" x14ac:dyDescent="0.3">
      <c r="A240" s="18"/>
      <c r="B240" s="18"/>
      <c r="C240" s="18"/>
      <c r="D240" s="18"/>
      <c r="E240" s="18"/>
      <c r="F240" s="18"/>
      <c r="G240" s="18"/>
      <c r="H240" s="18"/>
      <c r="I240" s="75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</row>
    <row r="241" spans="1:39" ht="12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75"/>
      <c r="J241" s="18"/>
      <c r="K241" s="96"/>
      <c r="L241" s="96"/>
      <c r="M241" s="96"/>
      <c r="N241" s="96"/>
      <c r="O241" s="96"/>
      <c r="P241" s="96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</row>
    <row r="242" spans="1:39" x14ac:dyDescent="0.3">
      <c r="A242" s="18"/>
      <c r="B242" s="18"/>
      <c r="C242" s="18"/>
      <c r="D242" s="18"/>
      <c r="E242" s="18"/>
      <c r="F242" s="18"/>
      <c r="G242" s="18"/>
      <c r="H242" s="18"/>
      <c r="I242" s="75"/>
      <c r="J242" s="18"/>
      <c r="K242" s="97"/>
      <c r="L242" s="97"/>
      <c r="M242" s="98"/>
      <c r="N242" s="98"/>
      <c r="O242" s="98"/>
      <c r="P242" s="9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</row>
    <row r="243" spans="1:39" ht="15.5" x14ac:dyDescent="0.35">
      <c r="A243" s="18"/>
      <c r="B243" s="18"/>
      <c r="C243" s="18"/>
      <c r="D243" s="18"/>
      <c r="E243" s="18"/>
      <c r="F243" s="18"/>
      <c r="G243" s="18"/>
      <c r="H243" s="18"/>
      <c r="I243" s="75"/>
      <c r="J243" s="18"/>
      <c r="K243" s="99"/>
      <c r="L243" s="100"/>
      <c r="M243" s="100"/>
      <c r="N243" s="100"/>
      <c r="O243" s="99"/>
      <c r="P243" s="99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</row>
    <row r="244" spans="1:39" ht="15.5" x14ac:dyDescent="0.35">
      <c r="A244" s="18"/>
      <c r="B244" s="18"/>
      <c r="C244" s="18"/>
      <c r="D244" s="18"/>
      <c r="E244" s="18"/>
      <c r="F244" s="18"/>
      <c r="G244" s="18"/>
      <c r="H244" s="18"/>
      <c r="I244" s="75"/>
      <c r="J244" s="18"/>
      <c r="K244" s="100"/>
      <c r="L244" s="99"/>
      <c r="M244" s="99"/>
      <c r="N244" s="99"/>
      <c r="O244" s="98"/>
      <c r="P244" s="9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</row>
    <row r="245" spans="1:39" x14ac:dyDescent="0.3">
      <c r="A245" s="18"/>
      <c r="B245" s="18"/>
      <c r="C245" s="18"/>
      <c r="D245" s="18"/>
      <c r="E245" s="18"/>
      <c r="F245" s="18"/>
      <c r="G245" s="18"/>
      <c r="H245" s="18"/>
      <c r="I245" s="75"/>
      <c r="J245" s="18"/>
      <c r="K245" s="98"/>
      <c r="L245" s="101"/>
      <c r="M245" s="98"/>
      <c r="N245" s="98"/>
      <c r="O245" s="98"/>
      <c r="P245" s="9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</row>
    <row r="246" spans="1:39" x14ac:dyDescent="0.3">
      <c r="A246" s="18"/>
      <c r="B246" s="18"/>
      <c r="C246" s="18"/>
      <c r="D246" s="18"/>
      <c r="E246" s="18"/>
      <c r="F246" s="18"/>
      <c r="G246" s="18"/>
      <c r="H246" s="18"/>
      <c r="I246" s="75"/>
      <c r="J246" s="18"/>
      <c r="K246" s="98"/>
      <c r="L246" s="101"/>
      <c r="M246" s="98"/>
      <c r="N246" s="98"/>
      <c r="O246" s="98"/>
      <c r="P246" s="9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</row>
    <row r="247" spans="1:39" x14ac:dyDescent="0.3">
      <c r="A247" s="18"/>
      <c r="B247" s="18"/>
      <c r="C247" s="18"/>
      <c r="D247" s="18"/>
      <c r="E247" s="18"/>
      <c r="F247" s="18"/>
      <c r="G247" s="18"/>
      <c r="H247" s="18"/>
      <c r="I247" s="75"/>
      <c r="J247" s="18"/>
      <c r="K247" s="98"/>
      <c r="L247" s="101"/>
      <c r="M247" s="98"/>
      <c r="N247" s="98"/>
      <c r="O247" s="98"/>
      <c r="P247" s="9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</row>
    <row r="248" spans="1:39" x14ac:dyDescent="0.3">
      <c r="A248" s="18"/>
      <c r="B248" s="18"/>
      <c r="C248" s="18"/>
      <c r="D248" s="18"/>
      <c r="E248" s="18"/>
      <c r="F248" s="18"/>
      <c r="G248" s="18"/>
      <c r="H248" s="18"/>
      <c r="I248" s="75"/>
      <c r="J248" s="18"/>
      <c r="K248" s="98"/>
      <c r="L248" s="98"/>
      <c r="M248" s="98"/>
      <c r="N248" s="98"/>
      <c r="O248" s="98"/>
      <c r="P248" s="9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</row>
    <row r="249" spans="1:39" x14ac:dyDescent="0.3">
      <c r="A249" s="18"/>
      <c r="B249" s="18"/>
      <c r="C249" s="18"/>
      <c r="D249" s="18"/>
      <c r="E249" s="18"/>
      <c r="F249" s="18"/>
      <c r="G249" s="18"/>
      <c r="H249" s="18"/>
      <c r="I249" s="75"/>
      <c r="J249" s="18"/>
      <c r="K249" s="98"/>
      <c r="L249" s="98"/>
      <c r="M249" s="98"/>
      <c r="N249" s="98"/>
      <c r="O249" s="98"/>
      <c r="P249" s="9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</row>
    <row r="250" spans="1:39" x14ac:dyDescent="0.3">
      <c r="A250" s="18"/>
      <c r="B250" s="18"/>
      <c r="C250" s="18"/>
      <c r="D250" s="18"/>
      <c r="E250" s="18"/>
      <c r="F250" s="18"/>
      <c r="G250" s="18"/>
      <c r="H250" s="18"/>
      <c r="I250" s="75"/>
      <c r="J250" s="18"/>
      <c r="K250" s="98"/>
      <c r="L250" s="98"/>
      <c r="M250" s="98"/>
      <c r="N250" s="98"/>
      <c r="O250" s="98"/>
      <c r="P250" s="9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</row>
    <row r="251" spans="1:39" x14ac:dyDescent="0.3">
      <c r="A251" s="18"/>
      <c r="B251" s="18"/>
      <c r="C251" s="18"/>
      <c r="D251" s="18"/>
      <c r="E251" s="18"/>
      <c r="F251" s="18"/>
      <c r="G251" s="18"/>
      <c r="H251" s="18"/>
      <c r="I251" s="75"/>
      <c r="J251" s="18"/>
      <c r="K251" s="98"/>
      <c r="L251" s="98"/>
      <c r="M251" s="98"/>
      <c r="N251" s="98"/>
      <c r="O251" s="98"/>
      <c r="P251" s="9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</row>
    <row r="252" spans="1:39" x14ac:dyDescent="0.3">
      <c r="A252" s="18"/>
      <c r="B252" s="18"/>
      <c r="C252" s="18"/>
      <c r="D252" s="18"/>
      <c r="E252" s="18"/>
      <c r="F252" s="18"/>
      <c r="G252" s="18"/>
      <c r="H252" s="18"/>
      <c r="I252" s="75"/>
      <c r="J252" s="18"/>
      <c r="K252" s="98"/>
      <c r="L252" s="98"/>
      <c r="M252" s="98"/>
      <c r="N252" s="98"/>
      <c r="O252" s="98"/>
      <c r="P252" s="9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</row>
    <row r="253" spans="1:39" x14ac:dyDescent="0.3">
      <c r="A253" s="18"/>
      <c r="B253" s="18"/>
      <c r="C253" s="18"/>
      <c r="D253" s="18"/>
      <c r="E253" s="18"/>
      <c r="F253" s="18"/>
      <c r="G253" s="18"/>
      <c r="H253" s="18"/>
      <c r="I253" s="75"/>
      <c r="J253" s="18"/>
      <c r="K253" s="18"/>
      <c r="L253" s="91"/>
      <c r="M253" s="91"/>
      <c r="N253" s="91"/>
      <c r="O253" s="91"/>
      <c r="P253" s="91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</row>
    <row r="254" spans="1:39" x14ac:dyDescent="0.3">
      <c r="A254" s="18"/>
      <c r="B254" s="18"/>
      <c r="C254" s="18"/>
      <c r="D254" s="18"/>
      <c r="E254" s="18"/>
      <c r="F254" s="18"/>
      <c r="G254" s="18"/>
      <c r="H254" s="18"/>
      <c r="I254" s="75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</row>
    <row r="255" spans="1:39" x14ac:dyDescent="0.3">
      <c r="A255" s="18"/>
      <c r="B255" s="18"/>
      <c r="C255" s="18"/>
      <c r="D255" s="18"/>
      <c r="E255" s="18"/>
      <c r="F255" s="18"/>
      <c r="G255" s="18"/>
      <c r="H255" s="18"/>
      <c r="I255" s="75"/>
      <c r="J255" s="18"/>
      <c r="K255" s="96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</row>
    <row r="256" spans="1:39" x14ac:dyDescent="0.3">
      <c r="A256" s="18"/>
      <c r="B256" s="18"/>
      <c r="C256" s="18"/>
      <c r="D256" s="18"/>
      <c r="E256" s="18"/>
      <c r="F256" s="18"/>
      <c r="G256" s="18"/>
      <c r="H256" s="18"/>
      <c r="I256" s="75"/>
      <c r="J256" s="18"/>
      <c r="K256" s="97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</row>
    <row r="257" spans="1:39" ht="15.5" x14ac:dyDescent="0.35">
      <c r="A257" s="18"/>
      <c r="B257" s="18"/>
      <c r="C257" s="18"/>
      <c r="D257" s="18"/>
      <c r="E257" s="18"/>
      <c r="F257" s="18"/>
      <c r="G257" s="18"/>
      <c r="H257" s="18"/>
      <c r="I257" s="75"/>
      <c r="J257" s="18"/>
      <c r="K257" s="99"/>
      <c r="L257" s="100"/>
      <c r="M257" s="100"/>
      <c r="N257" s="100"/>
      <c r="O257" s="99"/>
      <c r="P257" s="99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</row>
    <row r="258" spans="1:39" ht="15.5" x14ac:dyDescent="0.35">
      <c r="A258" s="18"/>
      <c r="B258" s="18"/>
      <c r="C258" s="18"/>
      <c r="D258" s="18"/>
      <c r="E258" s="18"/>
      <c r="F258" s="18"/>
      <c r="G258" s="18"/>
      <c r="H258" s="18"/>
      <c r="I258" s="75"/>
      <c r="J258" s="18"/>
      <c r="K258" s="100"/>
      <c r="L258" s="99"/>
      <c r="M258" s="99"/>
      <c r="N258" s="99"/>
      <c r="O258" s="98"/>
      <c r="P258" s="9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</row>
    <row r="259" spans="1:39" x14ac:dyDescent="0.3">
      <c r="A259" s="18"/>
      <c r="B259" s="18"/>
      <c r="C259" s="18"/>
      <c r="D259" s="18"/>
      <c r="E259" s="18"/>
      <c r="F259" s="18"/>
      <c r="G259" s="18"/>
      <c r="H259" s="18"/>
      <c r="I259" s="75"/>
      <c r="J259" s="18"/>
      <c r="K259" s="98"/>
      <c r="L259" s="98"/>
      <c r="M259" s="98"/>
      <c r="N259" s="98"/>
      <c r="O259" s="98"/>
      <c r="P259" s="9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</row>
    <row r="260" spans="1:39" x14ac:dyDescent="0.3">
      <c r="A260" s="18"/>
      <c r="B260" s="18"/>
      <c r="C260" s="18"/>
      <c r="D260" s="18"/>
      <c r="E260" s="18"/>
      <c r="F260" s="18"/>
      <c r="G260" s="18"/>
      <c r="H260" s="18"/>
      <c r="I260" s="75"/>
      <c r="J260" s="18"/>
      <c r="K260" s="98"/>
      <c r="L260" s="98"/>
      <c r="M260" s="98"/>
      <c r="N260" s="98"/>
      <c r="O260" s="98"/>
      <c r="P260" s="9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</row>
    <row r="261" spans="1:39" x14ac:dyDescent="0.3">
      <c r="A261" s="18"/>
      <c r="B261" s="18"/>
      <c r="C261" s="18"/>
      <c r="D261" s="18"/>
      <c r="E261" s="18"/>
      <c r="F261" s="18"/>
      <c r="G261" s="18"/>
      <c r="H261" s="18"/>
      <c r="I261" s="75"/>
      <c r="J261" s="18"/>
      <c r="K261" s="98"/>
      <c r="L261" s="98"/>
      <c r="M261" s="98"/>
      <c r="N261" s="98"/>
      <c r="O261" s="98"/>
      <c r="P261" s="9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</row>
    <row r="262" spans="1:39" x14ac:dyDescent="0.3">
      <c r="A262" s="18"/>
      <c r="B262" s="18"/>
      <c r="C262" s="18"/>
      <c r="D262" s="18"/>
      <c r="E262" s="18"/>
      <c r="F262" s="18"/>
      <c r="G262" s="18"/>
      <c r="H262" s="18"/>
      <c r="I262" s="75"/>
      <c r="J262" s="18"/>
      <c r="K262" s="98"/>
      <c r="L262" s="98"/>
      <c r="M262" s="98"/>
      <c r="N262" s="98"/>
      <c r="O262" s="98"/>
      <c r="P262" s="9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</row>
    <row r="263" spans="1:39" x14ac:dyDescent="0.3">
      <c r="A263" s="18"/>
      <c r="B263" s="18"/>
      <c r="C263" s="18"/>
      <c r="D263" s="18"/>
      <c r="E263" s="18"/>
      <c r="F263" s="18"/>
      <c r="G263" s="18"/>
      <c r="H263" s="18"/>
      <c r="I263" s="75"/>
      <c r="J263" s="18"/>
      <c r="K263" s="98"/>
      <c r="L263" s="98"/>
      <c r="M263" s="98"/>
      <c r="N263" s="98"/>
      <c r="O263" s="98"/>
      <c r="P263" s="9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</row>
    <row r="264" spans="1:39" x14ac:dyDescent="0.3">
      <c r="A264" s="18"/>
      <c r="B264" s="18"/>
      <c r="C264" s="18"/>
      <c r="D264" s="18"/>
      <c r="E264" s="18"/>
      <c r="F264" s="18"/>
      <c r="G264" s="18"/>
      <c r="H264" s="18"/>
      <c r="I264" s="75"/>
      <c r="J264" s="18"/>
      <c r="K264" s="98"/>
      <c r="L264" s="98"/>
      <c r="M264" s="98"/>
      <c r="N264" s="98"/>
      <c r="O264" s="98"/>
      <c r="P264" s="9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</row>
    <row r="265" spans="1:39" x14ac:dyDescent="0.3">
      <c r="A265" s="18"/>
      <c r="B265" s="18"/>
      <c r="C265" s="18"/>
      <c r="D265" s="18"/>
      <c r="E265" s="18"/>
      <c r="F265" s="18"/>
      <c r="G265" s="18"/>
      <c r="H265" s="18"/>
      <c r="I265" s="75"/>
      <c r="J265" s="18"/>
      <c r="K265" s="98"/>
      <c r="L265" s="98"/>
      <c r="M265" s="98"/>
      <c r="N265" s="98"/>
      <c r="O265" s="98"/>
      <c r="P265" s="9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</row>
    <row r="266" spans="1:39" x14ac:dyDescent="0.3">
      <c r="A266" s="18"/>
      <c r="B266" s="18"/>
      <c r="C266" s="18"/>
      <c r="D266" s="18"/>
      <c r="E266" s="18"/>
      <c r="F266" s="18"/>
      <c r="G266" s="18"/>
      <c r="H266" s="18"/>
      <c r="I266" s="75"/>
      <c r="J266" s="18"/>
      <c r="K266" s="98"/>
      <c r="L266" s="98"/>
      <c r="M266" s="98"/>
      <c r="N266" s="98"/>
      <c r="O266" s="98"/>
      <c r="P266" s="9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</row>
    <row r="267" spans="1:39" x14ac:dyDescent="0.3">
      <c r="A267" s="18"/>
      <c r="B267" s="18"/>
      <c r="C267" s="18"/>
      <c r="D267" s="18"/>
      <c r="E267" s="18"/>
      <c r="F267" s="18"/>
      <c r="G267" s="18"/>
      <c r="H267" s="18"/>
      <c r="I267" s="75"/>
      <c r="J267" s="18"/>
      <c r="K267" s="18"/>
      <c r="L267" s="91"/>
      <c r="M267" s="91"/>
      <c r="N267" s="91"/>
      <c r="O267" s="91"/>
      <c r="P267" s="91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</row>
    <row r="268" spans="1:39" x14ac:dyDescent="0.3">
      <c r="A268" s="18"/>
      <c r="B268" s="18"/>
      <c r="C268" s="18"/>
      <c r="D268" s="18"/>
      <c r="E268" s="18"/>
      <c r="F268" s="18"/>
      <c r="G268" s="18"/>
      <c r="H268" s="18"/>
      <c r="I268" s="75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</row>
    <row r="269" spans="1:39" x14ac:dyDescent="0.3">
      <c r="A269" s="18"/>
      <c r="B269" s="18"/>
      <c r="C269" s="18"/>
      <c r="D269" s="18"/>
      <c r="E269" s="18"/>
      <c r="F269" s="18"/>
      <c r="G269" s="18"/>
      <c r="H269" s="18"/>
      <c r="I269" s="75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</row>
    <row r="270" spans="1:39" x14ac:dyDescent="0.3">
      <c r="A270" s="18"/>
      <c r="B270" s="18"/>
      <c r="C270" s="18"/>
      <c r="D270" s="18"/>
      <c r="E270" s="18"/>
      <c r="F270" s="18"/>
      <c r="G270" s="18"/>
      <c r="H270" s="18"/>
      <c r="I270" s="75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</row>
    <row r="271" spans="1:39" x14ac:dyDescent="0.3">
      <c r="A271" s="18"/>
      <c r="B271" s="18"/>
      <c r="C271" s="18"/>
      <c r="D271" s="18"/>
      <c r="E271" s="18"/>
      <c r="F271" s="18"/>
      <c r="G271" s="18"/>
      <c r="H271" s="18"/>
      <c r="I271" s="75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</row>
    <row r="272" spans="1:39" x14ac:dyDescent="0.3">
      <c r="A272" s="18"/>
      <c r="B272" s="18"/>
      <c r="C272" s="18"/>
      <c r="D272" s="18"/>
      <c r="E272" s="18"/>
      <c r="F272" s="18"/>
      <c r="G272" s="18"/>
      <c r="H272" s="18"/>
      <c r="I272" s="75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</row>
    <row r="273" spans="1:28" x14ac:dyDescent="0.3">
      <c r="A273" s="18"/>
      <c r="B273" s="18"/>
      <c r="C273" s="18"/>
      <c r="D273" s="18"/>
      <c r="E273" s="18"/>
      <c r="F273" s="18"/>
      <c r="G273" s="18"/>
      <c r="H273" s="18"/>
      <c r="I273" s="75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</row>
    <row r="274" spans="1:28" x14ac:dyDescent="0.3">
      <c r="A274" s="18"/>
      <c r="B274" s="18"/>
      <c r="C274" s="18"/>
      <c r="D274" s="18"/>
      <c r="E274" s="18"/>
      <c r="F274" s="18"/>
      <c r="G274" s="18"/>
      <c r="H274" s="18"/>
      <c r="I274" s="75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</row>
    <row r="275" spans="1:28" x14ac:dyDescent="0.3">
      <c r="A275" s="18"/>
      <c r="B275" s="18"/>
      <c r="C275" s="18"/>
      <c r="D275" s="18"/>
      <c r="E275" s="18"/>
      <c r="F275" s="18"/>
      <c r="G275" s="18"/>
      <c r="H275" s="18"/>
      <c r="I275" s="75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</row>
    <row r="276" spans="1:28" x14ac:dyDescent="0.3">
      <c r="A276" s="18"/>
      <c r="B276" s="18"/>
      <c r="C276" s="18"/>
      <c r="D276" s="18"/>
      <c r="E276" s="18"/>
      <c r="F276" s="18"/>
      <c r="G276" s="18"/>
      <c r="H276" s="18"/>
      <c r="I276" s="75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</row>
    <row r="277" spans="1:28" x14ac:dyDescent="0.3">
      <c r="A277" s="18"/>
      <c r="B277" s="18"/>
      <c r="C277" s="18"/>
      <c r="D277" s="18"/>
      <c r="E277" s="18"/>
      <c r="F277" s="18"/>
      <c r="G277" s="18"/>
      <c r="H277" s="18"/>
      <c r="I277" s="75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</row>
    <row r="278" spans="1:28" x14ac:dyDescent="0.3">
      <c r="A278" s="18"/>
      <c r="B278" s="18"/>
      <c r="C278" s="18"/>
      <c r="D278" s="18"/>
      <c r="E278" s="18"/>
      <c r="F278" s="18"/>
      <c r="G278" s="18"/>
      <c r="H278" s="18"/>
      <c r="I278" s="75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</row>
    <row r="279" spans="1:28" x14ac:dyDescent="0.3">
      <c r="A279" s="18"/>
      <c r="B279" s="18"/>
      <c r="C279" s="18"/>
      <c r="D279" s="18"/>
      <c r="E279" s="18"/>
      <c r="F279" s="18"/>
      <c r="G279" s="18"/>
      <c r="H279" s="18"/>
      <c r="I279" s="75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</row>
    <row r="280" spans="1:28" x14ac:dyDescent="0.3">
      <c r="A280" s="18"/>
      <c r="B280" s="18"/>
      <c r="C280" s="18"/>
      <c r="D280" s="18"/>
      <c r="E280" s="18"/>
      <c r="F280" s="18"/>
      <c r="G280" s="18"/>
      <c r="H280" s="18"/>
      <c r="I280" s="75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</row>
    <row r="281" spans="1:28" x14ac:dyDescent="0.3">
      <c r="A281" s="18"/>
      <c r="B281" s="18"/>
      <c r="C281" s="18"/>
      <c r="D281" s="18"/>
      <c r="E281" s="18"/>
      <c r="F281" s="18"/>
      <c r="G281" s="18"/>
      <c r="H281" s="18"/>
      <c r="I281" s="75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</row>
    <row r="282" spans="1:28" x14ac:dyDescent="0.3">
      <c r="A282" s="18"/>
      <c r="B282" s="18"/>
      <c r="C282" s="18"/>
      <c r="D282" s="18"/>
      <c r="E282" s="18"/>
      <c r="F282" s="18"/>
      <c r="G282" s="18"/>
      <c r="H282" s="18"/>
      <c r="I282" s="75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</row>
    <row r="283" spans="1:28" x14ac:dyDescent="0.3">
      <c r="A283" s="18"/>
      <c r="B283" s="18"/>
      <c r="C283" s="18"/>
      <c r="D283" s="18"/>
      <c r="E283" s="18"/>
      <c r="F283" s="18"/>
      <c r="G283" s="18"/>
      <c r="H283" s="18"/>
      <c r="I283" s="75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</row>
    <row r="284" spans="1:28" x14ac:dyDescent="0.3">
      <c r="A284" s="18"/>
      <c r="B284" s="18"/>
      <c r="C284" s="18"/>
      <c r="D284" s="18"/>
      <c r="E284" s="18"/>
      <c r="F284" s="18"/>
      <c r="G284" s="18"/>
      <c r="H284" s="18"/>
      <c r="I284" s="75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</row>
    <row r="285" spans="1:28" x14ac:dyDescent="0.3">
      <c r="A285" s="18"/>
      <c r="B285" s="18"/>
      <c r="C285" s="18"/>
      <c r="D285" s="18"/>
      <c r="E285" s="18"/>
      <c r="F285" s="18"/>
      <c r="G285" s="18"/>
      <c r="H285" s="18"/>
      <c r="I285" s="75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</row>
    <row r="286" spans="1:28" x14ac:dyDescent="0.3">
      <c r="A286" s="18"/>
      <c r="B286" s="18"/>
      <c r="C286" s="18"/>
      <c r="D286" s="18"/>
      <c r="E286" s="18"/>
      <c r="F286" s="18"/>
      <c r="G286" s="18"/>
      <c r="H286" s="18"/>
      <c r="I286" s="75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</row>
    <row r="287" spans="1:28" x14ac:dyDescent="0.3">
      <c r="A287" s="18"/>
      <c r="B287" s="18"/>
      <c r="C287" s="18"/>
      <c r="D287" s="18"/>
      <c r="E287" s="18"/>
      <c r="F287" s="18"/>
      <c r="G287" s="18"/>
      <c r="H287" s="18"/>
      <c r="I287" s="75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</row>
    <row r="288" spans="1:28" x14ac:dyDescent="0.3">
      <c r="A288" s="18"/>
      <c r="B288" s="18"/>
      <c r="C288" s="18"/>
      <c r="D288" s="18"/>
      <c r="E288" s="18"/>
      <c r="F288" s="18"/>
      <c r="G288" s="18"/>
      <c r="H288" s="18"/>
      <c r="I288" s="75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</row>
    <row r="289" spans="1:28" x14ac:dyDescent="0.3">
      <c r="A289" s="18"/>
      <c r="B289" s="18"/>
      <c r="C289" s="18"/>
      <c r="D289" s="18"/>
      <c r="E289" s="18"/>
      <c r="F289" s="18"/>
      <c r="G289" s="18"/>
      <c r="H289" s="18"/>
      <c r="I289" s="75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</row>
    <row r="290" spans="1:28" x14ac:dyDescent="0.3">
      <c r="A290" s="18"/>
      <c r="B290" s="18"/>
      <c r="C290" s="18"/>
      <c r="D290" s="18"/>
      <c r="E290" s="18"/>
      <c r="F290" s="18"/>
      <c r="G290" s="18"/>
      <c r="H290" s="18"/>
      <c r="I290" s="75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</row>
    <row r="291" spans="1:28" x14ac:dyDescent="0.3">
      <c r="A291" s="18"/>
      <c r="B291" s="18"/>
      <c r="C291" s="18"/>
      <c r="D291" s="18"/>
      <c r="E291" s="18"/>
      <c r="F291" s="18"/>
      <c r="G291" s="18"/>
      <c r="H291" s="18"/>
      <c r="I291" s="75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</row>
    <row r="292" spans="1:28" x14ac:dyDescent="0.3">
      <c r="A292" s="18"/>
      <c r="B292" s="18"/>
      <c r="C292" s="18"/>
      <c r="D292" s="18"/>
      <c r="E292" s="18"/>
      <c r="F292" s="18"/>
      <c r="G292" s="18"/>
      <c r="H292" s="18"/>
      <c r="I292" s="75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</row>
    <row r="293" spans="1:28" x14ac:dyDescent="0.3">
      <c r="A293" s="18"/>
      <c r="B293" s="18"/>
      <c r="C293" s="18"/>
      <c r="D293" s="18"/>
      <c r="E293" s="18"/>
      <c r="F293" s="18"/>
      <c r="G293" s="18"/>
      <c r="H293" s="18"/>
      <c r="I293" s="75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</row>
    <row r="294" spans="1:28" x14ac:dyDescent="0.3">
      <c r="A294" s="18"/>
      <c r="B294" s="18"/>
      <c r="C294" s="18"/>
      <c r="D294" s="18"/>
      <c r="E294" s="18"/>
      <c r="F294" s="18"/>
      <c r="G294" s="18"/>
      <c r="H294" s="18"/>
      <c r="I294" s="75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</row>
    <row r="295" spans="1:28" x14ac:dyDescent="0.3">
      <c r="A295" s="18"/>
      <c r="B295" s="18"/>
      <c r="C295" s="18"/>
      <c r="D295" s="18"/>
      <c r="E295" s="18"/>
      <c r="F295" s="18"/>
      <c r="G295" s="18"/>
      <c r="H295" s="18"/>
      <c r="I295" s="75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</row>
    <row r="296" spans="1:28" x14ac:dyDescent="0.3">
      <c r="A296" s="18"/>
      <c r="B296" s="18"/>
      <c r="C296" s="18"/>
      <c r="D296" s="18"/>
      <c r="E296" s="18"/>
      <c r="F296" s="18"/>
      <c r="G296" s="18"/>
      <c r="H296" s="18"/>
      <c r="I296" s="75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</row>
    <row r="297" spans="1:28" x14ac:dyDescent="0.3">
      <c r="A297" s="18"/>
      <c r="B297" s="18"/>
      <c r="C297" s="18"/>
      <c r="D297" s="18"/>
      <c r="E297" s="18"/>
      <c r="F297" s="18"/>
      <c r="G297" s="18"/>
      <c r="H297" s="18"/>
      <c r="I297" s="75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</row>
    <row r="298" spans="1:28" x14ac:dyDescent="0.3">
      <c r="A298" s="18"/>
      <c r="B298" s="18"/>
      <c r="C298" s="18"/>
      <c r="D298" s="18"/>
      <c r="E298" s="18"/>
      <c r="F298" s="18"/>
      <c r="G298" s="18"/>
      <c r="H298" s="18"/>
      <c r="I298" s="75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</row>
    <row r="299" spans="1:28" x14ac:dyDescent="0.3">
      <c r="A299" s="18"/>
      <c r="B299" s="18"/>
      <c r="C299" s="18"/>
      <c r="D299" s="18"/>
      <c r="E299" s="18"/>
      <c r="F299" s="18"/>
      <c r="G299" s="18"/>
      <c r="H299" s="18"/>
      <c r="I299" s="75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</row>
    <row r="300" spans="1:28" x14ac:dyDescent="0.3">
      <c r="A300" s="18"/>
      <c r="B300" s="18"/>
      <c r="C300" s="18"/>
      <c r="D300" s="18"/>
      <c r="E300" s="18"/>
      <c r="F300" s="18"/>
      <c r="G300" s="18"/>
      <c r="H300" s="18"/>
      <c r="I300" s="75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</row>
    <row r="301" spans="1:28" x14ac:dyDescent="0.3">
      <c r="A301" s="18"/>
      <c r="B301" s="18"/>
      <c r="C301" s="18"/>
      <c r="D301" s="18"/>
      <c r="E301" s="18"/>
      <c r="F301" s="18"/>
      <c r="G301" s="18"/>
      <c r="H301" s="18"/>
      <c r="I301" s="75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</row>
    <row r="302" spans="1:28" x14ac:dyDescent="0.3">
      <c r="A302" s="18"/>
      <c r="B302" s="18"/>
      <c r="C302" s="18"/>
      <c r="D302" s="18"/>
      <c r="E302" s="18"/>
      <c r="F302" s="18"/>
      <c r="G302" s="18"/>
      <c r="H302" s="18"/>
      <c r="I302" s="75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</row>
    <row r="303" spans="1:28" x14ac:dyDescent="0.3">
      <c r="A303" s="18"/>
      <c r="B303" s="18"/>
      <c r="C303" s="18"/>
      <c r="D303" s="18"/>
      <c r="E303" s="18"/>
      <c r="F303" s="18"/>
      <c r="G303" s="18"/>
      <c r="H303" s="18"/>
      <c r="I303" s="75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</row>
    <row r="304" spans="1:28" x14ac:dyDescent="0.3">
      <c r="A304" s="18"/>
      <c r="B304" s="18"/>
      <c r="C304" s="18"/>
      <c r="D304" s="18"/>
      <c r="E304" s="18"/>
      <c r="F304" s="18"/>
      <c r="G304" s="18"/>
      <c r="H304" s="18"/>
      <c r="I304" s="75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</row>
    <row r="305" spans="1:28" x14ac:dyDescent="0.3">
      <c r="A305" s="18"/>
      <c r="B305" s="18"/>
      <c r="C305" s="18"/>
      <c r="D305" s="18"/>
      <c r="E305" s="18"/>
      <c r="F305" s="18"/>
      <c r="G305" s="18"/>
      <c r="H305" s="18"/>
      <c r="I305" s="75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</row>
    <row r="306" spans="1:28" x14ac:dyDescent="0.3">
      <c r="A306" s="18"/>
      <c r="B306" s="18"/>
      <c r="C306" s="18"/>
      <c r="D306" s="18"/>
      <c r="E306" s="18"/>
      <c r="F306" s="18"/>
      <c r="G306" s="18"/>
      <c r="H306" s="18"/>
      <c r="I306" s="75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</row>
    <row r="307" spans="1:28" x14ac:dyDescent="0.3">
      <c r="A307" s="18"/>
      <c r="B307" s="18"/>
      <c r="C307" s="18"/>
      <c r="D307" s="18"/>
      <c r="E307" s="18"/>
      <c r="F307" s="18"/>
      <c r="G307" s="18"/>
      <c r="H307" s="18"/>
      <c r="I307" s="75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</row>
    <row r="308" spans="1:28" x14ac:dyDescent="0.3">
      <c r="A308" s="18"/>
      <c r="B308" s="18"/>
      <c r="C308" s="18"/>
      <c r="D308" s="18"/>
      <c r="E308" s="18"/>
      <c r="F308" s="18"/>
      <c r="G308" s="18"/>
      <c r="H308" s="18"/>
      <c r="I308" s="75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</row>
    <row r="309" spans="1:28" x14ac:dyDescent="0.3">
      <c r="A309" s="18"/>
      <c r="B309" s="18"/>
      <c r="C309" s="18"/>
      <c r="D309" s="18"/>
      <c r="E309" s="18"/>
      <c r="F309" s="18"/>
      <c r="G309" s="18"/>
      <c r="H309" s="18"/>
      <c r="I309" s="75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</row>
  </sheetData>
  <mergeCells count="50">
    <mergeCell ref="X2:Z2"/>
    <mergeCell ref="X23:Z23"/>
    <mergeCell ref="AE23:AG23"/>
    <mergeCell ref="AH23:AJ23"/>
    <mergeCell ref="AO23:AQ23"/>
    <mergeCell ref="A23:C23"/>
    <mergeCell ref="D23:F23"/>
    <mergeCell ref="K23:M23"/>
    <mergeCell ref="N23:P23"/>
    <mergeCell ref="U23:W23"/>
    <mergeCell ref="AE1:AM1"/>
    <mergeCell ref="AO1:AW1"/>
    <mergeCell ref="BB44:BD44"/>
    <mergeCell ref="AY2:BA2"/>
    <mergeCell ref="BB2:BD2"/>
    <mergeCell ref="AY23:BA23"/>
    <mergeCell ref="BB23:BD23"/>
    <mergeCell ref="AR23:AT23"/>
    <mergeCell ref="D44:F44"/>
    <mergeCell ref="K44:M44"/>
    <mergeCell ref="N44:P44"/>
    <mergeCell ref="AY1:BG1"/>
    <mergeCell ref="A2:C2"/>
    <mergeCell ref="D2:F2"/>
    <mergeCell ref="K2:M2"/>
    <mergeCell ref="N2:P2"/>
    <mergeCell ref="U2:W2"/>
    <mergeCell ref="AE2:AG2"/>
    <mergeCell ref="AH2:AJ2"/>
    <mergeCell ref="AO2:AQ2"/>
    <mergeCell ref="AR2:AT2"/>
    <mergeCell ref="A1:I1"/>
    <mergeCell ref="K1:S1"/>
    <mergeCell ref="U1:AC1"/>
    <mergeCell ref="K90:P90"/>
    <mergeCell ref="AR44:AT44"/>
    <mergeCell ref="AY44:BA44"/>
    <mergeCell ref="A65:B65"/>
    <mergeCell ref="C65:F65"/>
    <mergeCell ref="K65:L65"/>
    <mergeCell ref="M65:P65"/>
    <mergeCell ref="U44:W44"/>
    <mergeCell ref="X44:Z44"/>
    <mergeCell ref="AE44:AG44"/>
    <mergeCell ref="AH44:AJ44"/>
    <mergeCell ref="AO44:AQ44"/>
    <mergeCell ref="A88:F88"/>
    <mergeCell ref="K88:P88"/>
    <mergeCell ref="A64:P64"/>
    <mergeCell ref="A44:C44"/>
  </mergeCells>
  <printOptions horizontalCentered="1" verticalCentered="1"/>
  <pageMargins left="0.19685039370078741" right="0.23622047244094491" top="0.35433070866141736" bottom="0.35433070866141736" header="0.31496062992125984" footer="0.31496062992125984"/>
  <pageSetup paperSize="9" scale="59" orientation="landscape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>
    <pageSetUpPr fitToPage="1"/>
  </sheetPr>
  <dimension ref="A1:BH307"/>
  <sheetViews>
    <sheetView showGridLines="0" showZeros="0" topLeftCell="W16" zoomScale="58" zoomScaleNormal="58" workbookViewId="0">
      <selection activeCell="V20" sqref="V20"/>
    </sheetView>
  </sheetViews>
  <sheetFormatPr defaultColWidth="8.7265625" defaultRowHeight="13" x14ac:dyDescent="0.3"/>
  <cols>
    <col min="1" max="1" width="14.36328125" style="6" customWidth="1"/>
    <col min="2" max="2" width="8.36328125" style="6" customWidth="1"/>
    <col min="3" max="3" width="8.36328125" style="6" bestFit="1" customWidth="1"/>
    <col min="4" max="4" width="8.7265625" style="6" customWidth="1"/>
    <col min="5" max="6" width="8.36328125" style="6" customWidth="1"/>
    <col min="7" max="7" width="8.36328125" style="6" bestFit="1" customWidth="1"/>
    <col min="8" max="8" width="7.453125" style="6" customWidth="1"/>
    <col min="9" max="9" width="10.7265625" style="102" bestFit="1" customWidth="1"/>
    <col min="10" max="10" width="4.54296875" style="6" customWidth="1"/>
    <col min="11" max="11" width="14.36328125" style="6" customWidth="1"/>
    <col min="12" max="12" width="8.36328125" style="6" customWidth="1"/>
    <col min="13" max="13" width="6.81640625" style="6" customWidth="1"/>
    <col min="14" max="14" width="8.7265625" style="6" customWidth="1"/>
    <col min="15" max="15" width="6.81640625" style="6" customWidth="1"/>
    <col min="16" max="16" width="8.36328125" style="6" customWidth="1"/>
    <col min="17" max="17" width="8.36328125" style="6" bestFit="1" customWidth="1"/>
    <col min="18" max="18" width="7.453125" style="6" customWidth="1"/>
    <col min="19" max="19" width="10.7265625" style="6" customWidth="1"/>
    <col min="20" max="20" width="5" style="6" customWidth="1"/>
    <col min="21" max="21" width="14.36328125" style="6" customWidth="1"/>
    <col min="22" max="22" width="11.81640625" style="6" customWidth="1"/>
    <col min="23" max="23" width="6.81640625" style="6" customWidth="1"/>
    <col min="24" max="24" width="8.7265625" style="6" customWidth="1"/>
    <col min="25" max="26" width="8.36328125" style="6" customWidth="1"/>
    <col min="27" max="27" width="7.6328125" style="6" customWidth="1"/>
    <col min="28" max="28" width="7.453125" style="6" customWidth="1"/>
    <col min="29" max="29" width="10.7265625" style="6" bestFit="1" customWidth="1"/>
    <col min="30" max="30" width="11.54296875" style="6" customWidth="1"/>
    <col min="31" max="31" width="14.36328125" style="6" customWidth="1"/>
    <col min="32" max="32" width="8.36328125" style="6" customWidth="1"/>
    <col min="33" max="33" width="6.81640625" style="6" customWidth="1"/>
    <col min="34" max="34" width="8.7265625" style="6" customWidth="1"/>
    <col min="35" max="35" width="6.81640625" style="6" customWidth="1"/>
    <col min="36" max="36" width="8.36328125" style="6" customWidth="1"/>
    <col min="37" max="37" width="7.6328125" style="6" customWidth="1"/>
    <col min="38" max="38" width="7.453125" style="6" customWidth="1"/>
    <col min="39" max="39" width="12.26953125" style="6" bestFit="1" customWidth="1"/>
    <col min="40" max="40" width="11.26953125" style="6" customWidth="1"/>
    <col min="41" max="41" width="14.36328125" style="6" customWidth="1"/>
    <col min="42" max="42" width="8.36328125" style="6" customWidth="1"/>
    <col min="43" max="43" width="8.36328125" style="6" bestFit="1" customWidth="1"/>
    <col min="44" max="44" width="8.7265625" style="6" customWidth="1"/>
    <col min="45" max="46" width="8.36328125" style="6" customWidth="1"/>
    <col min="47" max="47" width="8.7265625" style="6" customWidth="1"/>
    <col min="48" max="48" width="7.453125" style="6" customWidth="1"/>
    <col min="49" max="49" width="12.26953125" style="6" bestFit="1" customWidth="1"/>
    <col min="50" max="50" width="8.7265625" style="6"/>
    <col min="51" max="51" width="14.36328125" style="6" customWidth="1"/>
    <col min="52" max="52" width="8.36328125" style="6" customWidth="1"/>
    <col min="53" max="53" width="6.81640625" style="6" customWidth="1"/>
    <col min="54" max="54" width="8.7265625" style="6" customWidth="1"/>
    <col min="55" max="55" width="6.81640625" style="6" customWidth="1"/>
    <col min="56" max="57" width="8.36328125" style="6" customWidth="1"/>
    <col min="58" max="58" width="7.453125" style="6" customWidth="1"/>
    <col min="59" max="59" width="12.26953125" style="6" bestFit="1" customWidth="1"/>
    <col min="60" max="60" width="11.54296875" style="6" customWidth="1"/>
    <col min="61" max="16384" width="8.7265625" style="6"/>
  </cols>
  <sheetData>
    <row r="1" spans="1:59" ht="22.5" x14ac:dyDescent="0.45">
      <c r="A1" s="593" t="s">
        <v>74</v>
      </c>
      <c r="B1" s="593"/>
      <c r="C1" s="593"/>
      <c r="D1" s="593"/>
      <c r="E1" s="593"/>
      <c r="F1" s="593"/>
      <c r="G1" s="593"/>
      <c r="H1" s="593"/>
      <c r="I1" s="593"/>
      <c r="J1" s="4"/>
      <c r="K1" s="593" t="s">
        <v>74</v>
      </c>
      <c r="L1" s="593"/>
      <c r="M1" s="593"/>
      <c r="N1" s="593"/>
      <c r="O1" s="593"/>
      <c r="P1" s="593"/>
      <c r="Q1" s="593"/>
      <c r="R1" s="593"/>
      <c r="S1" s="593"/>
      <c r="T1" s="5"/>
      <c r="U1" s="593" t="s">
        <v>74</v>
      </c>
      <c r="V1" s="593"/>
      <c r="W1" s="593"/>
      <c r="X1" s="593"/>
      <c r="Y1" s="593"/>
      <c r="Z1" s="593"/>
      <c r="AA1" s="593"/>
      <c r="AB1" s="593"/>
      <c r="AC1" s="593"/>
      <c r="AD1" s="5"/>
      <c r="AE1" s="593" t="s">
        <v>74</v>
      </c>
      <c r="AF1" s="593"/>
      <c r="AG1" s="593"/>
      <c r="AH1" s="593"/>
      <c r="AI1" s="593"/>
      <c r="AJ1" s="593"/>
      <c r="AK1" s="593"/>
      <c r="AL1" s="593"/>
      <c r="AM1" s="593"/>
      <c r="AN1" s="5"/>
      <c r="AO1" s="593" t="s">
        <v>74</v>
      </c>
      <c r="AP1" s="593"/>
      <c r="AQ1" s="593"/>
      <c r="AR1" s="593"/>
      <c r="AS1" s="593"/>
      <c r="AT1" s="593"/>
      <c r="AU1" s="593"/>
      <c r="AV1" s="593"/>
      <c r="AW1" s="593"/>
      <c r="AX1" s="5"/>
      <c r="AY1" s="593" t="s">
        <v>74</v>
      </c>
      <c r="AZ1" s="593"/>
      <c r="BA1" s="593"/>
      <c r="BB1" s="593"/>
      <c r="BC1" s="593"/>
      <c r="BD1" s="593"/>
      <c r="BE1" s="593"/>
      <c r="BF1" s="593"/>
      <c r="BG1" s="593"/>
    </row>
    <row r="2" spans="1:59" ht="28.5" x14ac:dyDescent="0.6">
      <c r="A2" s="586" t="s">
        <v>29</v>
      </c>
      <c r="B2" s="586"/>
      <c r="C2" s="586"/>
      <c r="D2" s="585" t="s">
        <v>30</v>
      </c>
      <c r="E2" s="585"/>
      <c r="F2" s="585"/>
      <c r="G2" s="110"/>
      <c r="H2" s="110"/>
      <c r="I2" s="110"/>
      <c r="J2" s="109"/>
      <c r="K2" s="586" t="s">
        <v>29</v>
      </c>
      <c r="L2" s="586"/>
      <c r="M2" s="586"/>
      <c r="N2" s="585" t="s">
        <v>31</v>
      </c>
      <c r="O2" s="585"/>
      <c r="P2" s="585"/>
      <c r="Q2" s="110"/>
      <c r="R2" s="110"/>
      <c r="S2" s="110"/>
      <c r="T2" s="111"/>
      <c r="U2" s="586" t="s">
        <v>32</v>
      </c>
      <c r="V2" s="586"/>
      <c r="W2" s="586"/>
      <c r="X2" s="585" t="s">
        <v>30</v>
      </c>
      <c r="Y2" s="585"/>
      <c r="Z2" s="585"/>
      <c r="AA2" s="110"/>
      <c r="AB2" s="110"/>
      <c r="AC2" s="110"/>
      <c r="AD2" s="111"/>
      <c r="AE2" s="586" t="s">
        <v>32</v>
      </c>
      <c r="AF2" s="586"/>
      <c r="AG2" s="586"/>
      <c r="AH2" s="585" t="s">
        <v>31</v>
      </c>
      <c r="AI2" s="585"/>
      <c r="AJ2" s="585"/>
      <c r="AK2" s="110"/>
      <c r="AL2" s="110"/>
      <c r="AM2" s="110"/>
      <c r="AN2" s="111"/>
      <c r="AO2" s="586" t="s">
        <v>33</v>
      </c>
      <c r="AP2" s="586"/>
      <c r="AQ2" s="586"/>
      <c r="AR2" s="585" t="s">
        <v>30</v>
      </c>
      <c r="AS2" s="585"/>
      <c r="AT2" s="585"/>
      <c r="AU2" s="110"/>
      <c r="AV2" s="110"/>
      <c r="AW2" s="110"/>
      <c r="AX2" s="111"/>
      <c r="AY2" s="586" t="s">
        <v>33</v>
      </c>
      <c r="AZ2" s="586"/>
      <c r="BA2" s="586"/>
      <c r="BB2" s="585" t="s">
        <v>31</v>
      </c>
      <c r="BC2" s="585"/>
      <c r="BD2" s="585"/>
      <c r="BE2" s="110"/>
      <c r="BF2" s="110"/>
      <c r="BG2" s="111"/>
    </row>
    <row r="3" spans="1:59" ht="9" customHeight="1" thickBot="1" x14ac:dyDescent="0.3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4"/>
      <c r="U3" s="103"/>
      <c r="V3" s="103"/>
      <c r="W3" s="103"/>
      <c r="X3" s="103"/>
      <c r="Y3" s="103"/>
      <c r="Z3" s="103"/>
      <c r="AA3" s="103"/>
      <c r="AB3" s="103"/>
      <c r="AC3" s="103"/>
      <c r="AD3" s="104"/>
      <c r="AE3" s="103"/>
      <c r="AF3" s="103"/>
      <c r="AG3" s="103"/>
      <c r="AH3" s="103"/>
      <c r="AI3" s="103"/>
      <c r="AJ3" s="103"/>
      <c r="AK3" s="103"/>
      <c r="AL3" s="103"/>
      <c r="AM3" s="103"/>
      <c r="AN3" s="104"/>
      <c r="AO3" s="103"/>
      <c r="AP3" s="103"/>
      <c r="AQ3" s="103"/>
      <c r="AR3" s="103"/>
      <c r="AS3" s="103"/>
      <c r="AT3" s="103"/>
      <c r="AU3" s="103"/>
      <c r="AV3" s="103"/>
      <c r="AW3" s="103"/>
      <c r="AX3" s="104"/>
      <c r="AY3" s="103"/>
      <c r="AZ3" s="103"/>
      <c r="BA3" s="103"/>
      <c r="BB3" s="103"/>
      <c r="BC3" s="103"/>
      <c r="BD3" s="103"/>
      <c r="BE3" s="103"/>
      <c r="BF3" s="103"/>
      <c r="BG3" s="104"/>
    </row>
    <row r="4" spans="1:59" ht="25" thickBot="1" x14ac:dyDescent="0.3">
      <c r="A4" s="119"/>
      <c r="B4" s="120" t="s">
        <v>34</v>
      </c>
      <c r="C4" s="121" t="s">
        <v>35</v>
      </c>
      <c r="D4" s="121" t="s">
        <v>36</v>
      </c>
      <c r="E4" s="121" t="s">
        <v>37</v>
      </c>
      <c r="F4" s="121" t="s">
        <v>38</v>
      </c>
      <c r="G4" s="121" t="s">
        <v>39</v>
      </c>
      <c r="H4" s="122" t="s">
        <v>40</v>
      </c>
      <c r="I4" s="123" t="s">
        <v>41</v>
      </c>
      <c r="J4" s="103"/>
      <c r="K4" s="119"/>
      <c r="L4" s="120" t="s">
        <v>34</v>
      </c>
      <c r="M4" s="121" t="s">
        <v>35</v>
      </c>
      <c r="N4" s="121" t="s">
        <v>36</v>
      </c>
      <c r="O4" s="121" t="s">
        <v>37</v>
      </c>
      <c r="P4" s="121" t="s">
        <v>38</v>
      </c>
      <c r="Q4" s="124" t="s">
        <v>39</v>
      </c>
      <c r="R4" s="125" t="s">
        <v>40</v>
      </c>
      <c r="S4" s="123" t="s">
        <v>41</v>
      </c>
      <c r="T4" s="104"/>
      <c r="U4" s="119"/>
      <c r="V4" s="120" t="s">
        <v>34</v>
      </c>
      <c r="W4" s="121" t="s">
        <v>35</v>
      </c>
      <c r="X4" s="121" t="s">
        <v>36</v>
      </c>
      <c r="Y4" s="121" t="s">
        <v>37</v>
      </c>
      <c r="Z4" s="121" t="s">
        <v>38</v>
      </c>
      <c r="AA4" s="124" t="s">
        <v>39</v>
      </c>
      <c r="AB4" s="121" t="s">
        <v>40</v>
      </c>
      <c r="AC4" s="123" t="s">
        <v>41</v>
      </c>
      <c r="AD4" s="104"/>
      <c r="AE4" s="126"/>
      <c r="AF4" s="120" t="s">
        <v>34</v>
      </c>
      <c r="AG4" s="121" t="s">
        <v>35</v>
      </c>
      <c r="AH4" s="121" t="s">
        <v>36</v>
      </c>
      <c r="AI4" s="121" t="s">
        <v>37</v>
      </c>
      <c r="AJ4" s="125" t="s">
        <v>38</v>
      </c>
      <c r="AK4" s="121" t="s">
        <v>39</v>
      </c>
      <c r="AL4" s="121" t="s">
        <v>40</v>
      </c>
      <c r="AM4" s="123" t="s">
        <v>41</v>
      </c>
      <c r="AN4" s="104"/>
      <c r="AO4" s="126"/>
      <c r="AP4" s="120" t="s">
        <v>34</v>
      </c>
      <c r="AQ4" s="121" t="s">
        <v>35</v>
      </c>
      <c r="AR4" s="121" t="s">
        <v>36</v>
      </c>
      <c r="AS4" s="121" t="s">
        <v>37</v>
      </c>
      <c r="AT4" s="125" t="s">
        <v>38</v>
      </c>
      <c r="AU4" s="121" t="s">
        <v>39</v>
      </c>
      <c r="AV4" s="121" t="s">
        <v>40</v>
      </c>
      <c r="AW4" s="123" t="s">
        <v>41</v>
      </c>
      <c r="AX4" s="104"/>
      <c r="AY4" s="126"/>
      <c r="AZ4" s="120" t="s">
        <v>34</v>
      </c>
      <c r="BA4" s="121" t="s">
        <v>35</v>
      </c>
      <c r="BB4" s="121" t="s">
        <v>36</v>
      </c>
      <c r="BC4" s="121" t="s">
        <v>37</v>
      </c>
      <c r="BD4" s="125" t="s">
        <v>38</v>
      </c>
      <c r="BE4" s="121" t="s">
        <v>39</v>
      </c>
      <c r="BF4" s="121" t="s">
        <v>40</v>
      </c>
      <c r="BG4" s="123" t="s">
        <v>41</v>
      </c>
    </row>
    <row r="5" spans="1:59" ht="21.5" thickBot="1" x14ac:dyDescent="0.3">
      <c r="A5" s="132" t="str">
        <f t="array" ref="A5:A18">BSP!A5:A18</f>
        <v>Act 20-21</v>
      </c>
      <c r="B5" s="133">
        <v>62.19</v>
      </c>
      <c r="C5" s="133">
        <v>3.41</v>
      </c>
      <c r="D5" s="133">
        <v>2.79</v>
      </c>
      <c r="E5" s="133">
        <v>13.64</v>
      </c>
      <c r="F5" s="133">
        <v>19.54</v>
      </c>
      <c r="G5" s="134">
        <f t="shared" ref="G5:G19" si="0">IF(C5&gt;0,+D5+C5,"")</f>
        <v>6.2</v>
      </c>
      <c r="H5" s="134">
        <f t="shared" ref="H5:H19" si="1">IF(C5&gt;0,+D5/C5,"")</f>
        <v>0.81818181818181812</v>
      </c>
      <c r="I5" s="135"/>
      <c r="J5" s="119"/>
      <c r="K5" s="136" t="str">
        <f>A5</f>
        <v>Act 20-21</v>
      </c>
      <c r="L5" s="133">
        <v>61.32</v>
      </c>
      <c r="M5" s="133">
        <v>4.28</v>
      </c>
      <c r="N5" s="133">
        <v>2.88</v>
      </c>
      <c r="O5" s="133">
        <v>7.13</v>
      </c>
      <c r="P5" s="133">
        <v>39.18</v>
      </c>
      <c r="Q5" s="134">
        <f>IF(M5&gt;0,+N5+M5,"")</f>
        <v>7.16</v>
      </c>
      <c r="R5" s="134">
        <f>IF(M5&gt;0,+N5/M5,"")</f>
        <v>0.67289719626168221</v>
      </c>
      <c r="S5" s="137"/>
      <c r="T5" s="138"/>
      <c r="U5" s="136" t="str">
        <f>A5</f>
        <v>Act 20-21</v>
      </c>
      <c r="V5" s="133">
        <v>62.7</v>
      </c>
      <c r="W5" s="133">
        <v>3.1</v>
      </c>
      <c r="X5" s="133">
        <v>2.4</v>
      </c>
      <c r="Y5" s="133">
        <v>15</v>
      </c>
      <c r="Z5" s="133">
        <v>13</v>
      </c>
      <c r="AA5" s="134">
        <f t="shared" ref="AA5:AA19" si="2">IF(W5&gt;0,+X5+W5,"")</f>
        <v>5.5</v>
      </c>
      <c r="AB5" s="134">
        <f t="shared" ref="AB5:AB19" si="3">IF(W5&gt;0,+X5/W5,"")</f>
        <v>0.77419354838709675</v>
      </c>
      <c r="AC5" s="135"/>
      <c r="AD5" s="104"/>
      <c r="AE5" s="136" t="str">
        <f t="shared" ref="AE5:AE19" si="4">K5</f>
        <v>Act 20-21</v>
      </c>
      <c r="AF5" s="139"/>
      <c r="AG5" s="134"/>
      <c r="AH5" s="134"/>
      <c r="AI5" s="134"/>
      <c r="AJ5" s="134"/>
      <c r="AK5" s="134" t="str">
        <f t="shared" ref="AK5:AK19" si="5">IF(AG5&gt;0,+AH5+AG5,"")</f>
        <v/>
      </c>
      <c r="AL5" s="134" t="str">
        <f t="shared" ref="AL5:AL19" si="6">IF(AG5&gt;0,+AH5/AG5,"")</f>
        <v/>
      </c>
      <c r="AM5" s="140"/>
      <c r="AN5" s="104"/>
      <c r="AO5" s="136" t="str">
        <f t="shared" ref="AO5:AO18" si="7">A5</f>
        <v>Act 20-21</v>
      </c>
      <c r="AP5" s="133">
        <v>61.5</v>
      </c>
      <c r="AQ5" s="133">
        <v>4.51</v>
      </c>
      <c r="AR5" s="133">
        <v>2.68</v>
      </c>
      <c r="AS5" s="133">
        <v>8.56</v>
      </c>
      <c r="AT5" s="133">
        <v>16.91</v>
      </c>
      <c r="AU5" s="134">
        <f t="shared" ref="AU5:AU19" si="8">IF(AQ5&gt;0,+AR5+AQ5,"")</f>
        <v>7.1899999999999995</v>
      </c>
      <c r="AV5" s="134">
        <f t="shared" ref="AV5:AV19" si="9">IF(AQ5&gt;0,+AR5/AQ5,"")</f>
        <v>0.59423503325942362</v>
      </c>
      <c r="AW5" s="140"/>
      <c r="AX5" s="104"/>
      <c r="AY5" s="136" t="str">
        <f t="shared" ref="AY5:AY19" si="10">K26</f>
        <v>Act 20-21</v>
      </c>
      <c r="AZ5" s="133">
        <v>60.86</v>
      </c>
      <c r="BA5" s="133">
        <v>4.72</v>
      </c>
      <c r="BB5" s="133">
        <v>3.13</v>
      </c>
      <c r="BC5" s="133">
        <v>7.29</v>
      </c>
      <c r="BD5" s="133">
        <v>40.04</v>
      </c>
      <c r="BE5" s="134">
        <f t="shared" ref="BE5:BE19" si="11">IF(BA5&gt;0,+BB5+BA5,"")</f>
        <v>7.85</v>
      </c>
      <c r="BF5" s="134">
        <f t="shared" ref="BF5:BF19" si="12">IF(BA5&gt;0,+BB5/BA5,"")</f>
        <v>0.66313559322033899</v>
      </c>
      <c r="BG5" s="140"/>
    </row>
    <row r="6" spans="1:59" s="7" customFormat="1" ht="21" x14ac:dyDescent="0.25">
      <c r="A6" s="145" t="str">
        <v>APP 21-22</v>
      </c>
      <c r="B6" s="146">
        <f t="array" ref="B6:F6">BSP!B6:F6</f>
        <v>62.3</v>
      </c>
      <c r="C6" s="147">
        <v>3.9</v>
      </c>
      <c r="D6" s="147">
        <v>2.2000000000000002</v>
      </c>
      <c r="E6" s="147">
        <v>10</v>
      </c>
      <c r="F6" s="147">
        <v>10</v>
      </c>
      <c r="G6" s="147">
        <f t="shared" si="0"/>
        <v>6.1</v>
      </c>
      <c r="H6" s="148">
        <f t="shared" si="1"/>
        <v>0.56410256410256421</v>
      </c>
      <c r="I6" s="149"/>
      <c r="J6" s="150"/>
      <c r="K6" s="151" t="str">
        <f>A6</f>
        <v>APP 21-22</v>
      </c>
      <c r="L6" s="146">
        <f t="array" ref="L6:R6">BSP!L6:R6</f>
        <v>61.5</v>
      </c>
      <c r="M6" s="147">
        <v>4.8</v>
      </c>
      <c r="N6" s="147">
        <v>3</v>
      </c>
      <c r="O6" s="147">
        <v>7</v>
      </c>
      <c r="P6" s="147">
        <v>40</v>
      </c>
      <c r="Q6" s="147">
        <v>7.8</v>
      </c>
      <c r="R6" s="148">
        <v>0.625</v>
      </c>
      <c r="S6" s="149"/>
      <c r="T6" s="152"/>
      <c r="U6" s="151" t="str">
        <f>A6</f>
        <v>APP 21-22</v>
      </c>
      <c r="V6" s="146">
        <f t="array" ref="V6:Z6">BSP!V6:Z6</f>
        <v>62.5</v>
      </c>
      <c r="W6" s="147">
        <v>3</v>
      </c>
      <c r="X6" s="147">
        <v>2.2000000000000002</v>
      </c>
      <c r="Y6" s="147">
        <v>10</v>
      </c>
      <c r="Z6" s="147">
        <v>10</v>
      </c>
      <c r="AA6" s="147">
        <f t="shared" si="2"/>
        <v>5.2</v>
      </c>
      <c r="AB6" s="148">
        <f t="shared" si="3"/>
        <v>0.73333333333333339</v>
      </c>
      <c r="AC6" s="149"/>
      <c r="AD6" s="153"/>
      <c r="AE6" s="151" t="str">
        <f t="shared" si="4"/>
        <v>APP 21-22</v>
      </c>
      <c r="AF6" s="147">
        <f t="array" ref="AF6:AJ6">BSP!AF6:AJ6</f>
        <v>62.1</v>
      </c>
      <c r="AG6" s="147">
        <v>3.5</v>
      </c>
      <c r="AH6" s="147">
        <v>2.5</v>
      </c>
      <c r="AI6" s="147">
        <v>7</v>
      </c>
      <c r="AJ6" s="147">
        <v>40</v>
      </c>
      <c r="AK6" s="147">
        <f t="shared" si="5"/>
        <v>6</v>
      </c>
      <c r="AL6" s="154">
        <f t="shared" si="6"/>
        <v>0.7142857142857143</v>
      </c>
      <c r="AM6" s="155"/>
      <c r="AN6" s="152"/>
      <c r="AO6" s="151" t="str">
        <f t="shared" si="7"/>
        <v>APP 21-22</v>
      </c>
      <c r="AP6" s="146">
        <f t="array" ref="AP6:AT6">BSP!AP6:AT6</f>
        <v>62</v>
      </c>
      <c r="AQ6" s="147">
        <v>4.2</v>
      </c>
      <c r="AR6" s="147">
        <v>2.4</v>
      </c>
      <c r="AS6" s="147">
        <v>10</v>
      </c>
      <c r="AT6" s="147">
        <v>10</v>
      </c>
      <c r="AU6" s="147">
        <f t="shared" si="8"/>
        <v>6.6</v>
      </c>
      <c r="AV6" s="148">
        <f t="shared" si="9"/>
        <v>0.5714285714285714</v>
      </c>
      <c r="AW6" s="155"/>
      <c r="AX6" s="152"/>
      <c r="AY6" s="156" t="str">
        <f t="shared" si="10"/>
        <v>APP 21-22</v>
      </c>
      <c r="AZ6" s="146">
        <f t="array" ref="AZ6:BD6">BSP!AZ6:BD6</f>
        <v>61</v>
      </c>
      <c r="BA6" s="147">
        <v>5</v>
      </c>
      <c r="BB6" s="147">
        <v>3</v>
      </c>
      <c r="BC6" s="147">
        <v>7</v>
      </c>
      <c r="BD6" s="147">
        <v>40</v>
      </c>
      <c r="BE6" s="147">
        <f t="shared" si="11"/>
        <v>8</v>
      </c>
      <c r="BF6" s="148">
        <f t="shared" si="12"/>
        <v>0.6</v>
      </c>
      <c r="BG6" s="157"/>
    </row>
    <row r="7" spans="1:59" ht="21" x14ac:dyDescent="0.25">
      <c r="A7" s="166">
        <v>44287</v>
      </c>
      <c r="B7" s="167"/>
      <c r="C7" s="168"/>
      <c r="D7" s="168"/>
      <c r="E7" s="168"/>
      <c r="F7" s="168"/>
      <c r="G7" s="168" t="str">
        <f t="shared" si="0"/>
        <v/>
      </c>
      <c r="H7" s="169" t="str">
        <f t="shared" si="1"/>
        <v/>
      </c>
      <c r="I7" s="170">
        <f>IF(D7&gt;0,IFERROR(GETPIVOTDATA("act_qty",RECPT!$A$43,"yymm","202104","unit","KRB","comm","L"),0),)</f>
        <v>0</v>
      </c>
      <c r="J7" s="119"/>
      <c r="K7" s="166">
        <f>A7</f>
        <v>44287</v>
      </c>
      <c r="L7" s="167">
        <v>60.46</v>
      </c>
      <c r="M7" s="168">
        <v>4.99</v>
      </c>
      <c r="N7" s="168">
        <v>3.48</v>
      </c>
      <c r="O7" s="168">
        <v>8.15</v>
      </c>
      <c r="P7" s="168">
        <v>40.46</v>
      </c>
      <c r="Q7" s="168">
        <f t="shared" ref="Q7:Q19" si="13">IF(M7&gt;0,+N7+M7,"")</f>
        <v>8.4700000000000006</v>
      </c>
      <c r="R7" s="169">
        <f t="shared" ref="R7:R19" si="14">IF(M7&gt;0,+N7/M7,"")</f>
        <v>0.69739478957915824</v>
      </c>
      <c r="S7" s="170">
        <f>IF(N7&gt;0,IFERROR(GETPIVOTDATA("act_qty",RECPT!$A$43,"yymm","202104","unit","KRB","comm","F"),0),)</f>
        <v>35799</v>
      </c>
      <c r="T7" s="104"/>
      <c r="U7" s="166">
        <f>A7</f>
        <v>44287</v>
      </c>
      <c r="V7" s="167"/>
      <c r="W7" s="168"/>
      <c r="X7" s="168"/>
      <c r="Y7" s="168"/>
      <c r="Z7" s="168"/>
      <c r="AA7" s="168" t="str">
        <f t="shared" si="2"/>
        <v/>
      </c>
      <c r="AB7" s="169" t="str">
        <f t="shared" si="3"/>
        <v/>
      </c>
      <c r="AC7" s="170">
        <f>IF(X7&gt;0,IFERROR(GETPIVOTDATA("act_qty",RECPT!$A$43,"yymm","202104","unit","BOL","comm","L"),0),)</f>
        <v>0</v>
      </c>
      <c r="AD7" s="171"/>
      <c r="AE7" s="172">
        <f t="shared" si="4"/>
        <v>44287</v>
      </c>
      <c r="AF7" s="167"/>
      <c r="AG7" s="168"/>
      <c r="AH7" s="168"/>
      <c r="AI7" s="168"/>
      <c r="AJ7" s="168"/>
      <c r="AK7" s="168" t="str">
        <f t="shared" si="5"/>
        <v/>
      </c>
      <c r="AL7" s="169" t="str">
        <f t="shared" si="6"/>
        <v/>
      </c>
      <c r="AM7" s="170">
        <f>IF(AH7&gt;0,IFERROR(GETPIVOTDATA("act_qty",RECPT!$A$43,"yymm","202104","unit","BOL","comm","F"),0),)</f>
        <v>0</v>
      </c>
      <c r="AN7" s="104"/>
      <c r="AO7" s="172">
        <f t="shared" si="7"/>
        <v>44287</v>
      </c>
      <c r="AP7" s="167">
        <v>62.1</v>
      </c>
      <c r="AQ7" s="168">
        <v>3.5</v>
      </c>
      <c r="AR7" s="168">
        <v>2.8</v>
      </c>
      <c r="AS7" s="168">
        <v>18</v>
      </c>
      <c r="AT7" s="168">
        <v>18</v>
      </c>
      <c r="AU7" s="168">
        <f t="shared" si="8"/>
        <v>6.3</v>
      </c>
      <c r="AV7" s="169">
        <f t="shared" si="9"/>
        <v>0.79999999999999993</v>
      </c>
      <c r="AW7" s="170">
        <f>IF(AR7&gt;0,IFERROR(GETPIVOTDATA("act_qty",RECPT!$A$43,"yymm","202104","unit","MBR","comm","L"),0),)</f>
        <v>7379</v>
      </c>
      <c r="AX7" s="104"/>
      <c r="AY7" s="172">
        <f t="shared" si="10"/>
        <v>44287</v>
      </c>
      <c r="AZ7" s="167">
        <v>60.08</v>
      </c>
      <c r="BA7" s="168">
        <v>5.99</v>
      </c>
      <c r="BB7" s="168">
        <v>3.08</v>
      </c>
      <c r="BC7" s="168">
        <v>8</v>
      </c>
      <c r="BD7" s="168">
        <v>40.67</v>
      </c>
      <c r="BE7" s="168">
        <f t="shared" si="11"/>
        <v>9.07</v>
      </c>
      <c r="BF7" s="169">
        <f t="shared" si="12"/>
        <v>0.51419031719532549</v>
      </c>
      <c r="BG7" s="170">
        <f>IF(BB7&gt;0,IFERROR(GETPIVOTDATA("act_qty",RECPT!$A$43,"yymm","202104","unit","MBR","comm","F"),0),)</f>
        <v>60142</v>
      </c>
    </row>
    <row r="8" spans="1:59" ht="21" x14ac:dyDescent="0.25">
      <c r="A8" s="166">
        <v>44317</v>
      </c>
      <c r="B8" s="167">
        <v>61.16</v>
      </c>
      <c r="C8" s="168">
        <v>5.14</v>
      </c>
      <c r="D8" s="168">
        <v>2.39</v>
      </c>
      <c r="E8" s="168">
        <v>8.5</v>
      </c>
      <c r="F8" s="168">
        <v>18.600000000000001</v>
      </c>
      <c r="G8" s="168">
        <f t="shared" si="0"/>
        <v>7.5299999999999994</v>
      </c>
      <c r="H8" s="169">
        <f t="shared" si="1"/>
        <v>0.46498054474708178</v>
      </c>
      <c r="I8" s="170">
        <f>IF(D8&gt;0,IFERROR(GETPIVOTDATA("act_qty",RECPT!$A$43,"yymm","202105","unit","KRB","comm","L"),0),)</f>
        <v>3761</v>
      </c>
      <c r="J8" s="119"/>
      <c r="K8" s="166">
        <f t="shared" ref="K8:K18" si="15">A8</f>
        <v>44317</v>
      </c>
      <c r="L8" s="167">
        <v>60.32</v>
      </c>
      <c r="M8" s="168">
        <v>5.73</v>
      </c>
      <c r="N8" s="168">
        <v>2.95</v>
      </c>
      <c r="O8" s="168">
        <v>8</v>
      </c>
      <c r="P8" s="168">
        <v>40</v>
      </c>
      <c r="Q8" s="168">
        <f t="shared" si="13"/>
        <v>8.68</v>
      </c>
      <c r="R8" s="169">
        <f t="shared" si="14"/>
        <v>0.51483420593368234</v>
      </c>
      <c r="S8" s="170">
        <f>IF(N8&gt;0,IFERROR(GETPIVOTDATA("act_qty",RECPT!$A$43,"yymm","202105","unit","KRB","comm","F"),0),)</f>
        <v>14147</v>
      </c>
      <c r="T8" s="104"/>
      <c r="U8" s="166">
        <f t="shared" ref="U8:U18" si="16">A8</f>
        <v>44317</v>
      </c>
      <c r="V8" s="167"/>
      <c r="W8" s="168"/>
      <c r="X8" s="168"/>
      <c r="Y8" s="168"/>
      <c r="Z8" s="168"/>
      <c r="AA8" s="168" t="str">
        <f t="shared" si="2"/>
        <v/>
      </c>
      <c r="AB8" s="169" t="str">
        <f t="shared" si="3"/>
        <v/>
      </c>
      <c r="AC8" s="170">
        <f>IF(X8&gt;0,IFERROR(GETPIVOTDATA("act_qty",RECPT!$A$43,"yymm","202105","unit","BOL","comm","L"),0),)</f>
        <v>0</v>
      </c>
      <c r="AD8" s="171"/>
      <c r="AE8" s="172">
        <f t="shared" si="4"/>
        <v>44317</v>
      </c>
      <c r="AF8" s="167"/>
      <c r="AG8" s="168"/>
      <c r="AH8" s="168"/>
      <c r="AI8" s="168"/>
      <c r="AJ8" s="168"/>
      <c r="AK8" s="168" t="str">
        <f t="shared" si="5"/>
        <v/>
      </c>
      <c r="AL8" s="169" t="str">
        <f t="shared" si="6"/>
        <v/>
      </c>
      <c r="AM8" s="170">
        <f>IF(AH8&gt;0,IFERROR(GETPIVOTDATA("act_qty",RECPT!$A$43,"yymm","202105","unit","BOL","comm","F"),0),)</f>
        <v>0</v>
      </c>
      <c r="AN8" s="104"/>
      <c r="AO8" s="172">
        <f t="shared" si="7"/>
        <v>44317</v>
      </c>
      <c r="AP8" s="167">
        <v>0</v>
      </c>
      <c r="AQ8" s="168">
        <v>0</v>
      </c>
      <c r="AR8" s="168">
        <v>0</v>
      </c>
      <c r="AS8" s="168">
        <v>0</v>
      </c>
      <c r="AT8" s="168">
        <v>0</v>
      </c>
      <c r="AU8" s="168" t="str">
        <f t="shared" si="8"/>
        <v/>
      </c>
      <c r="AV8" s="169" t="str">
        <f t="shared" si="9"/>
        <v/>
      </c>
      <c r="AW8" s="170">
        <f>IF(AR8&gt;0,IFERROR(GETPIVOTDATA("act_qty",RECPT!$A$43,"yymm","202105","unit","MBR","comm","L"),0),)</f>
        <v>0</v>
      </c>
      <c r="AX8" s="104"/>
      <c r="AY8" s="172">
        <f t="shared" si="10"/>
        <v>44317</v>
      </c>
      <c r="AZ8" s="167">
        <v>60.07</v>
      </c>
      <c r="BA8" s="168">
        <v>6</v>
      </c>
      <c r="BB8" s="168">
        <v>3.07</v>
      </c>
      <c r="BC8" s="168">
        <v>8.1999999999999993</v>
      </c>
      <c r="BD8" s="168">
        <v>40.5</v>
      </c>
      <c r="BE8" s="168">
        <f t="shared" si="11"/>
        <v>9.07</v>
      </c>
      <c r="BF8" s="169">
        <f t="shared" si="12"/>
        <v>0.5116666666666666</v>
      </c>
      <c r="BG8" s="170">
        <f>IF(BB8&gt;0,IFERROR(GETPIVOTDATA("act_qty",RECPT!$A$43,"yymm","202105","unit","MBR","comm","F"),0),)</f>
        <v>36238</v>
      </c>
    </row>
    <row r="9" spans="1:59" ht="21" x14ac:dyDescent="0.25">
      <c r="A9" s="166">
        <v>44348</v>
      </c>
      <c r="B9" s="167">
        <v>60.11</v>
      </c>
      <c r="C9" s="168">
        <v>6.85</v>
      </c>
      <c r="D9" s="168">
        <v>2.33</v>
      </c>
      <c r="E9" s="168">
        <v>6.7</v>
      </c>
      <c r="F9" s="168">
        <v>19.7</v>
      </c>
      <c r="G9" s="168">
        <f t="shared" si="0"/>
        <v>9.18</v>
      </c>
      <c r="H9" s="169">
        <f t="shared" si="1"/>
        <v>0.3401459854014599</v>
      </c>
      <c r="I9" s="170">
        <f>IF(D9&gt;0,IFERROR(GETPIVOTDATA("act_qty",RECPT!$A$43,"yymm","202106","unit","KRB","comm","L"),0),)</f>
        <v>10333</v>
      </c>
      <c r="J9" s="119"/>
      <c r="K9" s="166">
        <f t="shared" si="15"/>
        <v>44348</v>
      </c>
      <c r="L9" s="167">
        <v>60.51</v>
      </c>
      <c r="M9" s="168">
        <v>5.36</v>
      </c>
      <c r="N9" s="168">
        <v>3.06</v>
      </c>
      <c r="O9" s="168">
        <v>6.9</v>
      </c>
      <c r="P9" s="168">
        <v>40.1</v>
      </c>
      <c r="Q9" s="168">
        <f t="shared" si="13"/>
        <v>8.42</v>
      </c>
      <c r="R9" s="169">
        <f t="shared" si="14"/>
        <v>0.57089552238805963</v>
      </c>
      <c r="S9" s="170">
        <f>IF(N9&gt;0,IFERROR(GETPIVOTDATA("act_qty",RECPT!$A$43,"yymm","202106","unit","KRB","comm","F"),0),)</f>
        <v>55284</v>
      </c>
      <c r="T9" s="104"/>
      <c r="U9" s="166">
        <f t="shared" si="16"/>
        <v>44348</v>
      </c>
      <c r="V9" s="167"/>
      <c r="W9" s="168"/>
      <c r="X9" s="168"/>
      <c r="Y9" s="168"/>
      <c r="Z9" s="168"/>
      <c r="AA9" s="168" t="str">
        <f t="shared" si="2"/>
        <v/>
      </c>
      <c r="AB9" s="169" t="str">
        <f t="shared" si="3"/>
        <v/>
      </c>
      <c r="AC9" s="170">
        <f>IF(X9&gt;0,IFERROR(GETPIVOTDATA("act_qty",RECPT!$A$43,"yymm","202106","unit","BOL","comm","L"),0),)</f>
        <v>0</v>
      </c>
      <c r="AD9" s="171"/>
      <c r="AE9" s="172">
        <f t="shared" si="4"/>
        <v>44348</v>
      </c>
      <c r="AF9" s="167"/>
      <c r="AG9" s="168"/>
      <c r="AH9" s="168"/>
      <c r="AI9" s="168"/>
      <c r="AJ9" s="168"/>
      <c r="AK9" s="168" t="str">
        <f t="shared" si="5"/>
        <v/>
      </c>
      <c r="AL9" s="169" t="str">
        <f t="shared" si="6"/>
        <v/>
      </c>
      <c r="AM9" s="170">
        <f>IF(AH9&gt;0,IFERROR(GETPIVOTDATA("act_qty",RECPT!$A$43,"yymm","202106","unit","BOL","comm","F"),0),)</f>
        <v>0</v>
      </c>
      <c r="AN9" s="104"/>
      <c r="AO9" s="172">
        <f t="shared" si="7"/>
        <v>44348</v>
      </c>
      <c r="AP9" s="167">
        <v>61.85</v>
      </c>
      <c r="AQ9" s="168">
        <v>3.65</v>
      </c>
      <c r="AR9" s="168">
        <v>3.05</v>
      </c>
      <c r="AS9" s="168">
        <v>9</v>
      </c>
      <c r="AT9" s="168">
        <v>19</v>
      </c>
      <c r="AU9" s="168">
        <f t="shared" si="8"/>
        <v>6.6999999999999993</v>
      </c>
      <c r="AV9" s="169">
        <f t="shared" si="9"/>
        <v>0.83561643835616439</v>
      </c>
      <c r="AW9" s="170">
        <f>IF(AR9&gt;0,IFERROR(GETPIVOTDATA("act_qty",RECPT!$A$43,"yymm","202106","unit","MBR","comm","L"),0),)</f>
        <v>7803</v>
      </c>
      <c r="AX9" s="104"/>
      <c r="AY9" s="172">
        <f t="shared" si="10"/>
        <v>44348</v>
      </c>
      <c r="AZ9" s="167">
        <v>59.77</v>
      </c>
      <c r="BA9" s="168">
        <v>6.12</v>
      </c>
      <c r="BB9" s="168">
        <v>3.36</v>
      </c>
      <c r="BC9" s="168">
        <v>8</v>
      </c>
      <c r="BD9" s="168">
        <v>39.700000000000003</v>
      </c>
      <c r="BE9" s="168">
        <f t="shared" si="11"/>
        <v>9.48</v>
      </c>
      <c r="BF9" s="169">
        <f t="shared" si="12"/>
        <v>0.54901960784313719</v>
      </c>
      <c r="BG9" s="170">
        <f>IF(BB9&gt;0,IFERROR(GETPIVOTDATA("act_qty",RECPT!$A$43,"yymm","202106","unit","MBR","comm","F"),0),)</f>
        <v>63624</v>
      </c>
    </row>
    <row r="10" spans="1:59" ht="21" x14ac:dyDescent="0.25">
      <c r="A10" s="166">
        <v>44378</v>
      </c>
      <c r="B10" s="167">
        <v>0</v>
      </c>
      <c r="C10" s="168">
        <v>0</v>
      </c>
      <c r="D10" s="168">
        <v>0</v>
      </c>
      <c r="E10" s="168">
        <v>0</v>
      </c>
      <c r="F10" s="168">
        <v>0</v>
      </c>
      <c r="G10" s="168" t="str">
        <f t="shared" si="0"/>
        <v/>
      </c>
      <c r="H10" s="169" t="str">
        <f t="shared" si="1"/>
        <v/>
      </c>
      <c r="I10" s="170">
        <f>IF(D10&gt;0,IFERROR(GETPIVOTDATA("act_qty",RECPT!$A$43,"yymm","202107","unit","KRB","comm","L"),0),)</f>
        <v>0</v>
      </c>
      <c r="J10" s="119"/>
      <c r="K10" s="166">
        <f t="shared" si="15"/>
        <v>44378</v>
      </c>
      <c r="L10" s="167">
        <v>59.69</v>
      </c>
      <c r="M10" s="168">
        <v>5.51</v>
      </c>
      <c r="N10" s="168">
        <v>4.09</v>
      </c>
      <c r="O10" s="168">
        <v>0</v>
      </c>
      <c r="P10" s="168">
        <v>0</v>
      </c>
      <c r="Q10" s="168">
        <f t="shared" si="13"/>
        <v>9.6</v>
      </c>
      <c r="R10" s="169">
        <f t="shared" si="14"/>
        <v>0.74228675136116151</v>
      </c>
      <c r="S10" s="170">
        <f>IF(N10&gt;0,IFERROR(GETPIVOTDATA("act_qty",RECPT!$A$43,"yymm","202107","unit","KRB","comm","F"),0),)</f>
        <v>3626</v>
      </c>
      <c r="T10" s="104"/>
      <c r="U10" s="166">
        <f t="shared" si="16"/>
        <v>44378</v>
      </c>
      <c r="V10" s="167">
        <v>61.73</v>
      </c>
      <c r="W10" s="168">
        <v>4.05</v>
      </c>
      <c r="X10" s="168">
        <v>2.71</v>
      </c>
      <c r="Y10" s="168">
        <v>20.5</v>
      </c>
      <c r="Z10" s="168">
        <v>14</v>
      </c>
      <c r="AA10" s="168">
        <f t="shared" si="2"/>
        <v>6.76</v>
      </c>
      <c r="AB10" s="169">
        <f t="shared" si="3"/>
        <v>0.66913580246913584</v>
      </c>
      <c r="AC10" s="170">
        <f>IF(X10&gt;0,IFERROR(GETPIVOTDATA("act_qty",RECPT!$A$43,"yymm","202107","unit","BOL","comm","L"),0),)</f>
        <v>6777</v>
      </c>
      <c r="AD10" s="171"/>
      <c r="AE10" s="172">
        <f t="shared" si="4"/>
        <v>44378</v>
      </c>
      <c r="AF10" s="167"/>
      <c r="AG10" s="168"/>
      <c r="AH10" s="168"/>
      <c r="AI10" s="168"/>
      <c r="AJ10" s="168"/>
      <c r="AK10" s="168" t="str">
        <f t="shared" si="5"/>
        <v/>
      </c>
      <c r="AL10" s="169" t="str">
        <f t="shared" si="6"/>
        <v/>
      </c>
      <c r="AM10" s="170">
        <f>IF(AH10&gt;0,IFERROR(GETPIVOTDATA("act_qty",RECPT!$A$43,"yymm","202107","unit","BOL","comm","F"),0),)</f>
        <v>0</v>
      </c>
      <c r="AN10" s="104"/>
      <c r="AO10" s="172">
        <f t="shared" si="7"/>
        <v>44378</v>
      </c>
      <c r="AP10" s="167">
        <v>61</v>
      </c>
      <c r="AQ10" s="168">
        <v>6.5</v>
      </c>
      <c r="AR10" s="168">
        <v>2.2000000000000002</v>
      </c>
      <c r="AS10" s="168">
        <v>0</v>
      </c>
      <c r="AT10" s="168">
        <v>0</v>
      </c>
      <c r="AU10" s="168">
        <f t="shared" si="8"/>
        <v>8.6999999999999993</v>
      </c>
      <c r="AV10" s="169">
        <f t="shared" si="9"/>
        <v>0.33846153846153848</v>
      </c>
      <c r="AW10" s="170">
        <f>IF(AR10&gt;0,IFERROR(GETPIVOTDATA("act_qty",RECPT!$A$43,"yymm","202107","unit","MBR","comm","L"),0),)</f>
        <v>4495</v>
      </c>
      <c r="AX10" s="104"/>
      <c r="AY10" s="172">
        <f t="shared" si="10"/>
        <v>44378</v>
      </c>
      <c r="AZ10" s="167">
        <v>59.28</v>
      </c>
      <c r="BA10" s="168">
        <v>6.99</v>
      </c>
      <c r="BB10" s="168">
        <v>3.15</v>
      </c>
      <c r="BC10" s="168">
        <v>6</v>
      </c>
      <c r="BD10" s="168">
        <v>40</v>
      </c>
      <c r="BE10" s="168">
        <f t="shared" si="11"/>
        <v>10.14</v>
      </c>
      <c r="BF10" s="169">
        <f t="shared" si="12"/>
        <v>0.45064377682403428</v>
      </c>
      <c r="BG10" s="170">
        <f>IF(BB10&gt;0,IFERROR(GETPIVOTDATA("act_qty",RECPT!$A$43,"yymm","202107","unit","MBR","comm","F"),0),)</f>
        <v>29377</v>
      </c>
    </row>
    <row r="11" spans="1:59" ht="21" x14ac:dyDescent="0.25">
      <c r="A11" s="166">
        <v>44409</v>
      </c>
      <c r="B11" s="167">
        <v>59.84</v>
      </c>
      <c r="C11" s="168">
        <v>7.39</v>
      </c>
      <c r="D11" s="168">
        <v>2.15</v>
      </c>
      <c r="E11" s="168">
        <v>8.6</v>
      </c>
      <c r="F11" s="168">
        <v>17.7</v>
      </c>
      <c r="G11" s="168">
        <f t="shared" si="0"/>
        <v>9.5399999999999991</v>
      </c>
      <c r="H11" s="169">
        <f t="shared" si="1"/>
        <v>0.29093369418132614</v>
      </c>
      <c r="I11" s="170">
        <f>IF(D11&gt;0,IFERROR(GETPIVOTDATA("act_qty",RECPT!$A$43,"yymm","202108","unit","KRB","comm","L"),0),)</f>
        <v>39212</v>
      </c>
      <c r="J11" s="119"/>
      <c r="K11" s="166">
        <f t="shared" si="15"/>
        <v>44409</v>
      </c>
      <c r="L11" s="167">
        <v>60.1</v>
      </c>
      <c r="M11" s="168">
        <v>6.04</v>
      </c>
      <c r="N11" s="168">
        <v>2.85</v>
      </c>
      <c r="O11" s="168">
        <v>0</v>
      </c>
      <c r="P11" s="168">
        <v>0</v>
      </c>
      <c r="Q11" s="168">
        <f t="shared" si="13"/>
        <v>8.89</v>
      </c>
      <c r="R11" s="169">
        <f t="shared" si="14"/>
        <v>0.47185430463576161</v>
      </c>
      <c r="S11" s="170">
        <f>IF(N11&gt;0,IFERROR(GETPIVOTDATA("act_qty",RECPT!$A$43,"yymm","202108","unit","KRB","comm","F"),0),)</f>
        <v>29887</v>
      </c>
      <c r="T11" s="104"/>
      <c r="U11" s="166">
        <f t="shared" si="16"/>
        <v>44409</v>
      </c>
      <c r="V11" s="167">
        <v>0</v>
      </c>
      <c r="W11" s="168">
        <v>0</v>
      </c>
      <c r="X11" s="168">
        <v>0</v>
      </c>
      <c r="Y11" s="168">
        <v>0</v>
      </c>
      <c r="Z11" s="168">
        <v>0</v>
      </c>
      <c r="AA11" s="168" t="str">
        <f t="shared" si="2"/>
        <v/>
      </c>
      <c r="AB11" s="169" t="str">
        <f t="shared" si="3"/>
        <v/>
      </c>
      <c r="AC11" s="170">
        <f>IF(X11&gt;0,IFERROR(GETPIVOTDATA("act_qty",RECPT!$A$43,"yymm","202108","unit","BOL","comm","L"),0),)</f>
        <v>0</v>
      </c>
      <c r="AD11" s="171"/>
      <c r="AE11" s="172">
        <f t="shared" si="4"/>
        <v>44409</v>
      </c>
      <c r="AF11" s="167"/>
      <c r="AG11" s="168"/>
      <c r="AH11" s="168"/>
      <c r="AI11" s="168"/>
      <c r="AJ11" s="168"/>
      <c r="AK11" s="168" t="str">
        <f t="shared" si="5"/>
        <v/>
      </c>
      <c r="AL11" s="169" t="str">
        <f t="shared" si="6"/>
        <v/>
      </c>
      <c r="AM11" s="170">
        <f>IF(AH11&gt;0,IFERROR(GETPIVOTDATA("act_qty",RECPT!$A$43,"yymm","202108","unit","BOL","comm","F"),0),)</f>
        <v>0</v>
      </c>
      <c r="AN11" s="104"/>
      <c r="AO11" s="172">
        <f t="shared" si="7"/>
        <v>44409</v>
      </c>
      <c r="AP11" s="167">
        <v>59.71</v>
      </c>
      <c r="AQ11" s="168">
        <v>6.94</v>
      </c>
      <c r="AR11" s="168">
        <v>2.75</v>
      </c>
      <c r="AS11" s="168">
        <v>13.5</v>
      </c>
      <c r="AT11" s="168">
        <v>17.8</v>
      </c>
      <c r="AU11" s="168">
        <f t="shared" si="8"/>
        <v>9.6900000000000013</v>
      </c>
      <c r="AV11" s="169">
        <f t="shared" si="9"/>
        <v>0.39625360230547546</v>
      </c>
      <c r="AW11" s="170">
        <f>IF(AR11&gt;0,IFERROR(GETPIVOTDATA("act_qty",RECPT!$A$43,"yymm","202108","unit","MBR","comm","L"),0),)</f>
        <v>32467</v>
      </c>
      <c r="AX11" s="104"/>
      <c r="AY11" s="172">
        <f t="shared" si="10"/>
        <v>44409</v>
      </c>
      <c r="AZ11" s="167">
        <v>59.03</v>
      </c>
      <c r="BA11" s="168">
        <v>6.96</v>
      </c>
      <c r="BB11" s="168">
        <v>3.52</v>
      </c>
      <c r="BC11" s="168">
        <v>0</v>
      </c>
      <c r="BD11" s="168">
        <v>0</v>
      </c>
      <c r="BE11" s="168">
        <f t="shared" si="11"/>
        <v>10.48</v>
      </c>
      <c r="BF11" s="169">
        <f t="shared" si="12"/>
        <v>0.50574712643678166</v>
      </c>
      <c r="BG11" s="170">
        <f>IF(BB11&gt;0,IFERROR(GETPIVOTDATA("act_qty",RECPT!$A$43,"yymm","202108","unit","MBR","comm","F"),0),)</f>
        <v>21417</v>
      </c>
    </row>
    <row r="12" spans="1:59" ht="21" x14ac:dyDescent="0.25">
      <c r="A12" s="166">
        <v>44440</v>
      </c>
      <c r="B12" s="167">
        <v>59.85</v>
      </c>
      <c r="C12" s="168">
        <v>7.41</v>
      </c>
      <c r="D12" s="168">
        <v>2.19</v>
      </c>
      <c r="E12" s="168">
        <v>10.1</v>
      </c>
      <c r="F12" s="168">
        <v>17.3</v>
      </c>
      <c r="G12" s="168">
        <f t="shared" si="0"/>
        <v>9.6</v>
      </c>
      <c r="H12" s="169">
        <f t="shared" si="1"/>
        <v>0.29554655870445345</v>
      </c>
      <c r="I12" s="170">
        <f>IF(D12&gt;0,IFERROR(GETPIVOTDATA("act_qty",RECPT!$A$43,"yymm","202109","unit","KRB","comm","L"),0),)</f>
        <v>37393</v>
      </c>
      <c r="J12" s="119"/>
      <c r="K12" s="166">
        <f t="shared" si="15"/>
        <v>44440</v>
      </c>
      <c r="L12" s="167">
        <v>58.79</v>
      </c>
      <c r="M12" s="168">
        <v>7.58</v>
      </c>
      <c r="N12" s="168">
        <v>2.19</v>
      </c>
      <c r="O12" s="168">
        <v>0</v>
      </c>
      <c r="P12" s="168">
        <v>0</v>
      </c>
      <c r="Q12" s="168">
        <f t="shared" si="13"/>
        <v>9.77</v>
      </c>
      <c r="R12" s="169">
        <f t="shared" si="14"/>
        <v>0.28891820580474931</v>
      </c>
      <c r="S12" s="170">
        <f>IF(N12&gt;0,IFERROR(GETPIVOTDATA("act_qty",RECPT!$A$43,"yymm","202109","unit","KRB","comm","F"),0),)</f>
        <v>33473</v>
      </c>
      <c r="T12" s="104"/>
      <c r="U12" s="166">
        <f t="shared" si="16"/>
        <v>44440</v>
      </c>
      <c r="V12" s="167">
        <v>0</v>
      </c>
      <c r="W12" s="168">
        <v>0</v>
      </c>
      <c r="X12" s="168">
        <v>0</v>
      </c>
      <c r="Y12" s="168">
        <v>0</v>
      </c>
      <c r="Z12" s="168">
        <v>0</v>
      </c>
      <c r="AA12" s="168" t="str">
        <f t="shared" si="2"/>
        <v/>
      </c>
      <c r="AB12" s="169" t="str">
        <f t="shared" si="3"/>
        <v/>
      </c>
      <c r="AC12" s="170">
        <f>IF(X12&gt;0,IFERROR(GETPIVOTDATA("act_qty",RECPT!$A$43,"yymm","202109","unit","BOL","comm","L"),0),)</f>
        <v>0</v>
      </c>
      <c r="AD12" s="171"/>
      <c r="AE12" s="172">
        <f t="shared" si="4"/>
        <v>44440</v>
      </c>
      <c r="AF12" s="167"/>
      <c r="AG12" s="168"/>
      <c r="AH12" s="168"/>
      <c r="AI12" s="168"/>
      <c r="AJ12" s="168"/>
      <c r="AK12" s="168" t="str">
        <f t="shared" si="5"/>
        <v/>
      </c>
      <c r="AL12" s="169" t="str">
        <f t="shared" si="6"/>
        <v/>
      </c>
      <c r="AM12" s="170">
        <f>IF(AH12&gt;0,IFERROR(GETPIVOTDATA("act_qty",RECPT!$A$43,"yymm","202109","unit","BOL","comm","F"),0),)</f>
        <v>0</v>
      </c>
      <c r="AN12" s="104"/>
      <c r="AO12" s="172">
        <f t="shared" si="7"/>
        <v>44440</v>
      </c>
      <c r="AP12" s="167">
        <v>59.95</v>
      </c>
      <c r="AQ12" s="168">
        <v>6.97</v>
      </c>
      <c r="AR12" s="168">
        <v>2.37</v>
      </c>
      <c r="AS12" s="168">
        <v>8.6</v>
      </c>
      <c r="AT12" s="168">
        <v>28.4</v>
      </c>
      <c r="AU12" s="168">
        <f t="shared" si="8"/>
        <v>9.34</v>
      </c>
      <c r="AV12" s="169">
        <f t="shared" si="9"/>
        <v>0.34002869440459116</v>
      </c>
      <c r="AW12" s="170">
        <f>IF(AR12&gt;0,IFERROR(GETPIVOTDATA("act_qty",RECPT!$A$43,"yymm","202109","unit","MBR","comm","L"),0),)</f>
        <v>23581</v>
      </c>
      <c r="AX12" s="104"/>
      <c r="AY12" s="172">
        <f t="shared" si="10"/>
        <v>44440</v>
      </c>
      <c r="AZ12" s="167">
        <v>0</v>
      </c>
      <c r="BA12" s="168">
        <v>0</v>
      </c>
      <c r="BB12" s="168">
        <v>0</v>
      </c>
      <c r="BC12" s="168">
        <v>0</v>
      </c>
      <c r="BD12" s="168">
        <v>0</v>
      </c>
      <c r="BE12" s="168" t="str">
        <f t="shared" si="11"/>
        <v/>
      </c>
      <c r="BF12" s="169" t="str">
        <f t="shared" si="12"/>
        <v/>
      </c>
      <c r="BG12" s="170">
        <f>IF(BB12&gt;0,IFERROR(GETPIVOTDATA("act_qty",RECPT!$A$43,"yymm","202109","unit","MBR","comm","F"),0),)</f>
        <v>0</v>
      </c>
    </row>
    <row r="13" spans="1:59" ht="21" x14ac:dyDescent="0.25">
      <c r="A13" s="166">
        <v>44470</v>
      </c>
      <c r="B13" s="167">
        <v>57.6</v>
      </c>
      <c r="C13" s="168">
        <v>10.75</v>
      </c>
      <c r="D13" s="168">
        <v>1.91</v>
      </c>
      <c r="E13" s="168">
        <v>13.25</v>
      </c>
      <c r="F13" s="168">
        <v>17.75</v>
      </c>
      <c r="G13" s="168">
        <f t="shared" si="0"/>
        <v>12.66</v>
      </c>
      <c r="H13" s="169">
        <f t="shared" si="1"/>
        <v>0.17767441860465116</v>
      </c>
      <c r="I13" s="170">
        <f>IF(D13&gt;0,IFERROR(GETPIVOTDATA("act_qty",RECPT!$A$43,"yymm","202110","unit","KRB","comm","L"),0),)</f>
        <v>54309.8</v>
      </c>
      <c r="J13" s="119"/>
      <c r="K13" s="166">
        <f t="shared" si="15"/>
        <v>44470</v>
      </c>
      <c r="L13" s="167">
        <v>57.91</v>
      </c>
      <c r="M13" s="168">
        <v>9.5500000000000007</v>
      </c>
      <c r="N13" s="168">
        <v>2.58</v>
      </c>
      <c r="O13" s="168">
        <v>0</v>
      </c>
      <c r="P13" s="168">
        <v>0</v>
      </c>
      <c r="Q13" s="168">
        <f t="shared" si="13"/>
        <v>12.13</v>
      </c>
      <c r="R13" s="169">
        <f t="shared" si="14"/>
        <v>0.27015706806282719</v>
      </c>
      <c r="S13" s="170">
        <f>IF(N13&gt;0,IFERROR(GETPIVOTDATA("act_qty",RECPT!$A$43,"yymm","202110","unit","KRB","comm","F"),0),)</f>
        <v>36606.699999999997</v>
      </c>
      <c r="T13" s="104"/>
      <c r="U13" s="166">
        <f t="shared" si="16"/>
        <v>44470</v>
      </c>
      <c r="V13" s="167">
        <v>0</v>
      </c>
      <c r="W13" s="168">
        <v>0</v>
      </c>
      <c r="X13" s="168">
        <v>0</v>
      </c>
      <c r="Y13" s="168">
        <v>0</v>
      </c>
      <c r="Z13" s="168">
        <v>0</v>
      </c>
      <c r="AA13" s="168" t="str">
        <f t="shared" si="2"/>
        <v/>
      </c>
      <c r="AB13" s="169" t="str">
        <f t="shared" si="3"/>
        <v/>
      </c>
      <c r="AC13" s="170">
        <f>IF(X13&gt;0,IFERROR(GETPIVOTDATA("act_qty",RECPT!$A$43,"yymm","202110","unit","BOL","comm","L"),0),)</f>
        <v>0</v>
      </c>
      <c r="AD13" s="119"/>
      <c r="AE13" s="172">
        <f t="shared" si="4"/>
        <v>44470</v>
      </c>
      <c r="AF13" s="167"/>
      <c r="AG13" s="168"/>
      <c r="AH13" s="168"/>
      <c r="AI13" s="168"/>
      <c r="AJ13" s="168"/>
      <c r="AK13" s="168" t="str">
        <f t="shared" si="5"/>
        <v/>
      </c>
      <c r="AL13" s="169" t="str">
        <f t="shared" si="6"/>
        <v/>
      </c>
      <c r="AM13" s="170">
        <f>IF(AH13&gt;0,IFERROR(GETPIVOTDATA("act_qty",RECPT!$A$43,"yymm","202110","unit","BOL","comm","F"),0),)</f>
        <v>0</v>
      </c>
      <c r="AN13" s="104"/>
      <c r="AO13" s="172">
        <f t="shared" si="7"/>
        <v>44470</v>
      </c>
      <c r="AP13" s="167">
        <v>50.5</v>
      </c>
      <c r="AQ13" s="168">
        <v>20.8</v>
      </c>
      <c r="AR13" s="168">
        <v>1.85</v>
      </c>
      <c r="AS13" s="168">
        <v>14.8</v>
      </c>
      <c r="AT13" s="168">
        <v>19.45</v>
      </c>
      <c r="AU13" s="168">
        <f t="shared" si="8"/>
        <v>22.650000000000002</v>
      </c>
      <c r="AV13" s="169">
        <f t="shared" si="9"/>
        <v>8.8942307692307696E-2</v>
      </c>
      <c r="AW13" s="170">
        <f>IF(AR13&gt;0,IFERROR(GETPIVOTDATA("act_qty",RECPT!$A$43,"yymm","202110","unit","MBR","comm","L"),0),)</f>
        <v>13051.2</v>
      </c>
      <c r="AX13" s="104"/>
      <c r="AY13" s="172">
        <f t="shared" si="10"/>
        <v>44470</v>
      </c>
      <c r="AZ13" s="167">
        <v>0</v>
      </c>
      <c r="BA13" s="168">
        <v>0</v>
      </c>
      <c r="BB13" s="168">
        <v>0</v>
      </c>
      <c r="BC13" s="168">
        <v>0</v>
      </c>
      <c r="BD13" s="168">
        <v>0</v>
      </c>
      <c r="BE13" s="168" t="str">
        <f t="shared" si="11"/>
        <v/>
      </c>
      <c r="BF13" s="169" t="str">
        <f t="shared" si="12"/>
        <v/>
      </c>
      <c r="BG13" s="170">
        <f>IF(BB13&gt;0,IFERROR(GETPIVOTDATA("act_qty",RECPT!$A$43,"yymm","202110","unit","MBR","comm","F"),0),)</f>
        <v>0</v>
      </c>
    </row>
    <row r="14" spans="1:59" ht="21" x14ac:dyDescent="0.25">
      <c r="A14" s="166">
        <v>44501</v>
      </c>
      <c r="B14" s="167">
        <v>61.12</v>
      </c>
      <c r="C14" s="168">
        <v>5.38</v>
      </c>
      <c r="D14" s="168">
        <v>2.3199999999999998</v>
      </c>
      <c r="E14" s="168">
        <v>10.6</v>
      </c>
      <c r="F14" s="168">
        <v>20.8</v>
      </c>
      <c r="G14" s="168">
        <f t="shared" si="0"/>
        <v>7.6999999999999993</v>
      </c>
      <c r="H14" s="169">
        <f t="shared" si="1"/>
        <v>0.43122676579925651</v>
      </c>
      <c r="I14" s="170">
        <f>IF(D14&gt;0,IFERROR(GETPIVOTDATA("act_qty",RECPT!$A$43,"yymm","202111","unit","KRB","comm","L"),0),)</f>
        <v>10854.4</v>
      </c>
      <c r="J14" s="119"/>
      <c r="K14" s="166">
        <f t="shared" si="15"/>
        <v>44501</v>
      </c>
      <c r="L14" s="167">
        <v>61.08</v>
      </c>
      <c r="M14" s="168">
        <v>4.68</v>
      </c>
      <c r="N14" s="168">
        <v>2.81</v>
      </c>
      <c r="O14" s="168">
        <v>0</v>
      </c>
      <c r="P14" s="168">
        <v>0</v>
      </c>
      <c r="Q14" s="168">
        <f t="shared" si="13"/>
        <v>7.49</v>
      </c>
      <c r="R14" s="169">
        <f t="shared" si="14"/>
        <v>0.60042735042735051</v>
      </c>
      <c r="S14" s="170">
        <f>IF(N14&gt;0,IFERROR(GETPIVOTDATA("act_qty",RECPT!$A$43,"yymm","202111","unit","KRB","comm","F"),0),)</f>
        <v>108649.3</v>
      </c>
      <c r="T14" s="104"/>
      <c r="U14" s="166">
        <f t="shared" si="16"/>
        <v>44501</v>
      </c>
      <c r="V14" s="167">
        <v>0</v>
      </c>
      <c r="W14" s="168">
        <v>0</v>
      </c>
      <c r="X14" s="168">
        <v>0</v>
      </c>
      <c r="Y14" s="168">
        <v>0</v>
      </c>
      <c r="Z14" s="168">
        <v>0</v>
      </c>
      <c r="AA14" s="168" t="str">
        <f t="shared" si="2"/>
        <v/>
      </c>
      <c r="AB14" s="169" t="str">
        <f t="shared" si="3"/>
        <v/>
      </c>
      <c r="AC14" s="170">
        <f>IF(X14&gt;0,IFERROR(GETPIVOTDATA("act_qty",RECPT!$A$43,"yymm","202111","unit","BOL","comm","L"),0),)</f>
        <v>0</v>
      </c>
      <c r="AD14" s="119"/>
      <c r="AE14" s="172">
        <f t="shared" si="4"/>
        <v>44501</v>
      </c>
      <c r="AF14" s="167"/>
      <c r="AG14" s="168"/>
      <c r="AH14" s="168"/>
      <c r="AI14" s="168"/>
      <c r="AJ14" s="168"/>
      <c r="AK14" s="168" t="str">
        <f t="shared" si="5"/>
        <v/>
      </c>
      <c r="AL14" s="169" t="str">
        <f t="shared" si="6"/>
        <v/>
      </c>
      <c r="AM14" s="170">
        <f>IF(AH14&gt;0,IFERROR(GETPIVOTDATA("act_qty",RECPT!$A$43,"yymm","202111","unit","BOL","comm","F"),0),)</f>
        <v>0</v>
      </c>
      <c r="AN14" s="104"/>
      <c r="AO14" s="172">
        <f t="shared" si="7"/>
        <v>44501</v>
      </c>
      <c r="AP14" s="167">
        <v>59.9</v>
      </c>
      <c r="AQ14" s="168">
        <v>6.33</v>
      </c>
      <c r="AR14" s="168">
        <v>3.07</v>
      </c>
      <c r="AS14" s="168">
        <v>15</v>
      </c>
      <c r="AT14" s="168">
        <v>18</v>
      </c>
      <c r="AU14" s="168">
        <f t="shared" si="8"/>
        <v>9.4</v>
      </c>
      <c r="AV14" s="169">
        <f t="shared" si="9"/>
        <v>0.48499210110584517</v>
      </c>
      <c r="AW14" s="170">
        <f>IF(AR14&gt;0,IFERROR(GETPIVOTDATA("act_qty",RECPT!$A$43,"yymm","202111","unit","MBR","comm","L"),0),)</f>
        <v>15221.8</v>
      </c>
      <c r="AX14" s="104"/>
      <c r="AY14" s="172">
        <f t="shared" si="10"/>
        <v>44501</v>
      </c>
      <c r="AZ14" s="167">
        <v>58.05</v>
      </c>
      <c r="BA14" s="168">
        <v>8.83</v>
      </c>
      <c r="BB14" s="168">
        <v>2.98</v>
      </c>
      <c r="BC14" s="168">
        <v>0</v>
      </c>
      <c r="BD14" s="168">
        <v>0</v>
      </c>
      <c r="BE14" s="168">
        <f t="shared" si="11"/>
        <v>11.81</v>
      </c>
      <c r="BF14" s="169">
        <f t="shared" si="12"/>
        <v>0.33748584371460927</v>
      </c>
      <c r="BG14" s="170">
        <f>IF(BB14&gt;0,IFERROR(GETPIVOTDATA("act_qty",RECPT!$A$43,"yymm","202111","unit","MBR","comm","F"),0),)</f>
        <v>40851</v>
      </c>
    </row>
    <row r="15" spans="1:59" ht="21" x14ac:dyDescent="0.25">
      <c r="A15" s="166">
        <v>44531</v>
      </c>
      <c r="B15" s="167">
        <v>61</v>
      </c>
      <c r="C15" s="168">
        <v>4.5</v>
      </c>
      <c r="D15" s="168">
        <v>3.2</v>
      </c>
      <c r="E15" s="168">
        <v>14</v>
      </c>
      <c r="F15" s="168">
        <v>20.8</v>
      </c>
      <c r="G15" s="168">
        <f t="shared" si="0"/>
        <v>7.7</v>
      </c>
      <c r="H15" s="169">
        <f t="shared" si="1"/>
        <v>0.71111111111111114</v>
      </c>
      <c r="I15" s="170">
        <f>IF(D15&gt;0,IFERROR(GETPIVOTDATA("act_qty",RECPT!$A$43,"yymm","202112","unit","KRB","comm","L"),0),)</f>
        <v>3639.8</v>
      </c>
      <c r="J15" s="119"/>
      <c r="K15" s="166">
        <f t="shared" si="15"/>
        <v>44531</v>
      </c>
      <c r="L15" s="167">
        <v>60.14</v>
      </c>
      <c r="M15" s="168">
        <v>6.07</v>
      </c>
      <c r="N15" s="168">
        <v>2.75</v>
      </c>
      <c r="O15" s="168">
        <v>0</v>
      </c>
      <c r="P15" s="168">
        <v>0</v>
      </c>
      <c r="Q15" s="168">
        <f t="shared" si="13"/>
        <v>8.82</v>
      </c>
      <c r="R15" s="169">
        <f t="shared" si="14"/>
        <v>0.45304777594728168</v>
      </c>
      <c r="S15" s="170">
        <f>IF(N15&gt;0,IFERROR(GETPIVOTDATA("act_qty",RECPT!$A$43,"yymm","202112","unit","KRB","comm","F"),0),)</f>
        <v>123481.2</v>
      </c>
      <c r="T15" s="104"/>
      <c r="U15" s="166">
        <f t="shared" si="16"/>
        <v>44531</v>
      </c>
      <c r="V15" s="167">
        <v>0</v>
      </c>
      <c r="W15" s="168">
        <v>0</v>
      </c>
      <c r="X15" s="168">
        <v>0</v>
      </c>
      <c r="Y15" s="168">
        <v>0</v>
      </c>
      <c r="Z15" s="168">
        <v>0</v>
      </c>
      <c r="AA15" s="168" t="str">
        <f t="shared" si="2"/>
        <v/>
      </c>
      <c r="AB15" s="169" t="str">
        <f t="shared" si="3"/>
        <v/>
      </c>
      <c r="AC15" s="170">
        <f>IF(X15&gt;0,IFERROR(GETPIVOTDATA("act_qty",RECPT!$A$43,"yymm","202112","unit","BOL","comm","L"),0),)</f>
        <v>0</v>
      </c>
      <c r="AD15" s="119"/>
      <c r="AE15" s="172">
        <f t="shared" si="4"/>
        <v>44531</v>
      </c>
      <c r="AF15" s="167"/>
      <c r="AG15" s="168"/>
      <c r="AH15" s="168"/>
      <c r="AI15" s="168"/>
      <c r="AJ15" s="168"/>
      <c r="AK15" s="168" t="str">
        <f t="shared" si="5"/>
        <v/>
      </c>
      <c r="AL15" s="169" t="str">
        <f t="shared" si="6"/>
        <v/>
      </c>
      <c r="AM15" s="170">
        <f>IF(AH15&gt;0,IFERROR(GETPIVOTDATA("act_qty",RECPT!$A$43,"yymm","202112","unit","BOL","comm","F"),0),)</f>
        <v>0</v>
      </c>
      <c r="AN15" s="104"/>
      <c r="AO15" s="172">
        <f t="shared" si="7"/>
        <v>44531</v>
      </c>
      <c r="AP15" s="167">
        <v>0</v>
      </c>
      <c r="AQ15" s="168">
        <v>0</v>
      </c>
      <c r="AR15" s="168">
        <v>0</v>
      </c>
      <c r="AS15" s="168">
        <v>0</v>
      </c>
      <c r="AT15" s="168">
        <v>0</v>
      </c>
      <c r="AU15" s="168" t="str">
        <f t="shared" si="8"/>
        <v/>
      </c>
      <c r="AV15" s="169" t="str">
        <f t="shared" si="9"/>
        <v/>
      </c>
      <c r="AW15" s="170">
        <f>IF(AR15&gt;0,IFERROR(GETPIVOTDATA("act_qty",RECPT!$A$43,"yymm","202112","unit","MBR","comm","L"),0),)</f>
        <v>0</v>
      </c>
      <c r="AX15" s="104"/>
      <c r="AY15" s="172">
        <f t="shared" si="10"/>
        <v>44531</v>
      </c>
      <c r="AZ15" s="167">
        <v>59.37</v>
      </c>
      <c r="BA15" s="168">
        <v>7.38</v>
      </c>
      <c r="BB15" s="168">
        <v>2.57</v>
      </c>
      <c r="BC15" s="168">
        <v>0</v>
      </c>
      <c r="BD15" s="168">
        <v>0</v>
      </c>
      <c r="BE15" s="168">
        <f t="shared" si="11"/>
        <v>9.9499999999999993</v>
      </c>
      <c r="BF15" s="169">
        <f t="shared" si="12"/>
        <v>0.34823848238482386</v>
      </c>
      <c r="BG15" s="170">
        <f>IF(BB15&gt;0,IFERROR(GETPIVOTDATA("act_qty",RECPT!$A$43,"yymm","202112","unit","MBR","comm","F"),0),)</f>
        <v>66604.5</v>
      </c>
    </row>
    <row r="16" spans="1:59" ht="21" x14ac:dyDescent="0.25">
      <c r="A16" s="166">
        <v>44562</v>
      </c>
      <c r="B16" s="167">
        <v>0</v>
      </c>
      <c r="C16" s="168">
        <v>0</v>
      </c>
      <c r="D16" s="168">
        <v>0</v>
      </c>
      <c r="E16" s="168">
        <v>0</v>
      </c>
      <c r="F16" s="168">
        <v>0</v>
      </c>
      <c r="G16" s="168" t="str">
        <f t="shared" si="0"/>
        <v/>
      </c>
      <c r="H16" s="169" t="str">
        <f t="shared" si="1"/>
        <v/>
      </c>
      <c r="I16" s="170">
        <f>IF(D16&gt;0,IFERROR(GETPIVOTDATA("act_qty",RECPT!$A$43,"yymm","202201","unit","KRB","comm","L"),0),)</f>
        <v>0</v>
      </c>
      <c r="J16" s="119"/>
      <c r="K16" s="166">
        <f t="shared" si="15"/>
        <v>44562</v>
      </c>
      <c r="L16" s="167">
        <v>60.76</v>
      </c>
      <c r="M16" s="168">
        <v>5.24</v>
      </c>
      <c r="N16" s="168">
        <v>2.74</v>
      </c>
      <c r="O16" s="168">
        <v>0</v>
      </c>
      <c r="P16" s="168">
        <v>0</v>
      </c>
      <c r="Q16" s="168">
        <f t="shared" si="13"/>
        <v>7.98</v>
      </c>
      <c r="R16" s="169">
        <f t="shared" si="14"/>
        <v>0.52290076335877866</v>
      </c>
      <c r="S16" s="170">
        <f>IF(N16&gt;0,IFERROR(GETPIVOTDATA("act_qty",RECPT!$A$43,"yymm","202201","unit","KRB","comm","F"),0),)</f>
        <v>112696.1</v>
      </c>
      <c r="T16" s="104"/>
      <c r="U16" s="166">
        <f t="shared" si="16"/>
        <v>44562</v>
      </c>
      <c r="V16" s="167">
        <v>0</v>
      </c>
      <c r="W16" s="168">
        <v>0</v>
      </c>
      <c r="X16" s="168">
        <v>0</v>
      </c>
      <c r="Y16" s="168">
        <v>0</v>
      </c>
      <c r="Z16" s="168">
        <v>0</v>
      </c>
      <c r="AA16" s="168" t="str">
        <f t="shared" si="2"/>
        <v/>
      </c>
      <c r="AB16" s="169" t="str">
        <f t="shared" si="3"/>
        <v/>
      </c>
      <c r="AC16" s="170">
        <f>IF(X16&gt;0,IFERROR(GETPIVOTDATA("act_qty",RECPT!$A$43,"yymm","202201","unit","BOL","comm","L"),0),)</f>
        <v>0</v>
      </c>
      <c r="AD16" s="119"/>
      <c r="AE16" s="172">
        <f t="shared" si="4"/>
        <v>44562</v>
      </c>
      <c r="AF16" s="167"/>
      <c r="AG16" s="168"/>
      <c r="AH16" s="168"/>
      <c r="AI16" s="168"/>
      <c r="AJ16" s="168"/>
      <c r="AK16" s="168" t="str">
        <f t="shared" si="5"/>
        <v/>
      </c>
      <c r="AL16" s="169" t="str">
        <f t="shared" si="6"/>
        <v/>
      </c>
      <c r="AM16" s="170">
        <f>IF(AH16&gt;0,IFERROR(GETPIVOTDATA("act_qty",RECPT!$A$43,"yymm","202201","unit","BOL","comm","F"),0),)</f>
        <v>0</v>
      </c>
      <c r="AN16" s="104"/>
      <c r="AO16" s="172">
        <f t="shared" si="7"/>
        <v>44562</v>
      </c>
      <c r="AP16" s="167">
        <v>60.72</v>
      </c>
      <c r="AQ16" s="168">
        <v>5.48</v>
      </c>
      <c r="AR16" s="168">
        <v>2.7</v>
      </c>
      <c r="AS16" s="168">
        <v>16</v>
      </c>
      <c r="AT16" s="168">
        <v>13.8</v>
      </c>
      <c r="AU16" s="168">
        <f t="shared" si="8"/>
        <v>8.18</v>
      </c>
      <c r="AV16" s="169">
        <f t="shared" si="9"/>
        <v>0.49270072992700731</v>
      </c>
      <c r="AW16" s="170">
        <f>IF(AR16&gt;0,IFERROR(GETPIVOTDATA("act_qty",RECPT!$A$43,"yymm","202201","unit","MBR","comm","L"),0),)</f>
        <v>18140.5</v>
      </c>
      <c r="AX16" s="104"/>
      <c r="AY16" s="172">
        <f t="shared" si="10"/>
        <v>44562</v>
      </c>
      <c r="AZ16" s="167">
        <v>60.17</v>
      </c>
      <c r="BA16" s="168">
        <v>6.27</v>
      </c>
      <c r="BB16" s="168">
        <v>2.59</v>
      </c>
      <c r="BC16" s="168">
        <v>0</v>
      </c>
      <c r="BD16" s="168">
        <v>0</v>
      </c>
      <c r="BE16" s="168">
        <f t="shared" si="11"/>
        <v>8.86</v>
      </c>
      <c r="BF16" s="169">
        <f t="shared" si="12"/>
        <v>0.41307814992025521</v>
      </c>
      <c r="BG16" s="170">
        <f>IF(BB16&gt;0,IFERROR(GETPIVOTDATA("act_qty",RECPT!$A$43,"yymm","202201","unit","MBR","comm","F"),0),)</f>
        <v>35348.800000000003</v>
      </c>
    </row>
    <row r="17" spans="1:59" ht="21" x14ac:dyDescent="0.25">
      <c r="A17" s="166">
        <v>44593</v>
      </c>
      <c r="B17" s="167">
        <v>0</v>
      </c>
      <c r="C17" s="168">
        <v>0</v>
      </c>
      <c r="D17" s="168">
        <v>0</v>
      </c>
      <c r="E17" s="168">
        <v>0</v>
      </c>
      <c r="F17" s="168">
        <v>0</v>
      </c>
      <c r="G17" s="168" t="str">
        <f t="shared" si="0"/>
        <v/>
      </c>
      <c r="H17" s="169" t="str">
        <f t="shared" si="1"/>
        <v/>
      </c>
      <c r="I17" s="170">
        <f>IF(D17&gt;0,IFERROR(GETPIVOTDATA("act_qty",RECPT!$A$43,"yymm","202202","unit","KRB","comm","L"),0),)</f>
        <v>0</v>
      </c>
      <c r="J17" s="119"/>
      <c r="K17" s="166">
        <f t="shared" si="15"/>
        <v>44593</v>
      </c>
      <c r="L17" s="167">
        <v>61.06</v>
      </c>
      <c r="M17" s="168">
        <v>4.6100000000000003</v>
      </c>
      <c r="N17" s="168">
        <v>2.92</v>
      </c>
      <c r="O17" s="168">
        <v>8.59</v>
      </c>
      <c r="P17" s="168">
        <v>38.14</v>
      </c>
      <c r="Q17" s="168">
        <f t="shared" si="13"/>
        <v>7.53</v>
      </c>
      <c r="R17" s="169">
        <f t="shared" si="14"/>
        <v>0.63340563991323207</v>
      </c>
      <c r="S17" s="170">
        <f>IF(N17&gt;0,IFERROR(GETPIVOTDATA("act_qty",RECPT!$A$43,"yymm","202202","unit","KRB","comm","F"),0),)</f>
        <v>114517.7</v>
      </c>
      <c r="T17" s="104"/>
      <c r="U17" s="166">
        <f t="shared" si="16"/>
        <v>44593</v>
      </c>
      <c r="V17" s="167">
        <v>0</v>
      </c>
      <c r="W17" s="168">
        <v>0</v>
      </c>
      <c r="X17" s="168">
        <v>0</v>
      </c>
      <c r="Y17" s="168">
        <v>0</v>
      </c>
      <c r="Z17" s="168">
        <v>0</v>
      </c>
      <c r="AA17" s="168" t="str">
        <f t="shared" si="2"/>
        <v/>
      </c>
      <c r="AB17" s="169" t="str">
        <f t="shared" si="3"/>
        <v/>
      </c>
      <c r="AC17" s="170">
        <f>IF(X17&gt;0,IFERROR(GETPIVOTDATA("act_qty",RECPT!$A$43,"yymm","202202","unit","BOL","comm","L"),0),)</f>
        <v>0</v>
      </c>
      <c r="AD17" s="119"/>
      <c r="AE17" s="172">
        <f t="shared" si="4"/>
        <v>44593</v>
      </c>
      <c r="AF17" s="167"/>
      <c r="AG17" s="168"/>
      <c r="AH17" s="168"/>
      <c r="AI17" s="168"/>
      <c r="AJ17" s="168"/>
      <c r="AK17" s="168" t="str">
        <f t="shared" si="5"/>
        <v/>
      </c>
      <c r="AL17" s="169" t="str">
        <f t="shared" si="6"/>
        <v/>
      </c>
      <c r="AM17" s="170">
        <f>IF(AH17&gt;0,IFERROR(GETPIVOTDATA("act_qty",RECPT!$A$43,"yymm","202202","unit","BOL","comm","F"),0),)</f>
        <v>0</v>
      </c>
      <c r="AN17" s="104"/>
      <c r="AO17" s="172">
        <f t="shared" si="7"/>
        <v>44593</v>
      </c>
      <c r="AP17" s="167">
        <v>0</v>
      </c>
      <c r="AQ17" s="168">
        <v>0</v>
      </c>
      <c r="AR17" s="168">
        <v>0</v>
      </c>
      <c r="AS17" s="168">
        <v>0</v>
      </c>
      <c r="AT17" s="168">
        <v>0</v>
      </c>
      <c r="AU17" s="168" t="str">
        <f t="shared" si="8"/>
        <v/>
      </c>
      <c r="AV17" s="169" t="str">
        <f t="shared" si="9"/>
        <v/>
      </c>
      <c r="AW17" s="170">
        <f>IF(AR17&gt;0,IFERROR(GETPIVOTDATA("act_qty",RECPT!$A$43,"yymm","202202","unit","MBR","comm","L"),0),)</f>
        <v>0</v>
      </c>
      <c r="AX17" s="104"/>
      <c r="AY17" s="172">
        <f t="shared" si="10"/>
        <v>44593</v>
      </c>
      <c r="AZ17" s="167">
        <v>59.98</v>
      </c>
      <c r="BA17" s="168">
        <v>6.03</v>
      </c>
      <c r="BB17" s="168">
        <v>3.08</v>
      </c>
      <c r="BC17" s="168">
        <v>6.67</v>
      </c>
      <c r="BD17" s="168">
        <v>38.33</v>
      </c>
      <c r="BE17" s="168">
        <f t="shared" si="11"/>
        <v>9.11</v>
      </c>
      <c r="BF17" s="169">
        <f t="shared" si="12"/>
        <v>0.51077943615257049</v>
      </c>
      <c r="BG17" s="170">
        <f>IF(BB17&gt;0,IFERROR(GETPIVOTDATA("act_qty",RECPT!$A$43,"yymm","202202","unit","MBR","comm","F"),0),)</f>
        <v>29043.9</v>
      </c>
    </row>
    <row r="18" spans="1:59" ht="21.5" thickBot="1" x14ac:dyDescent="0.3">
      <c r="A18" s="166">
        <v>44621</v>
      </c>
      <c r="B18" s="183">
        <v>61.1</v>
      </c>
      <c r="C18" s="184">
        <v>5.23</v>
      </c>
      <c r="D18" s="184">
        <v>2.4500000000000002</v>
      </c>
      <c r="E18" s="168">
        <v>19.5</v>
      </c>
      <c r="F18" s="168">
        <v>19.5</v>
      </c>
      <c r="G18" s="168">
        <f t="shared" si="0"/>
        <v>7.6800000000000006</v>
      </c>
      <c r="H18" s="169">
        <f t="shared" si="1"/>
        <v>0.46845124282982792</v>
      </c>
      <c r="I18" s="170">
        <f>IF(D18&gt;0,IFERROR(GETPIVOTDATA("act_qty",RECPT!$A$43,"yymm","202203","unit","KRB","comm","L"),0),)</f>
        <v>14250.1</v>
      </c>
      <c r="J18" s="119"/>
      <c r="K18" s="166">
        <f t="shared" si="15"/>
        <v>44621</v>
      </c>
      <c r="L18" s="183">
        <v>60.74</v>
      </c>
      <c r="M18" s="184">
        <v>4.43</v>
      </c>
      <c r="N18" s="184">
        <v>3.52</v>
      </c>
      <c r="O18" s="168">
        <v>8.56</v>
      </c>
      <c r="P18" s="168">
        <v>39.159999999999997</v>
      </c>
      <c r="Q18" s="168">
        <f t="shared" si="13"/>
        <v>7.9499999999999993</v>
      </c>
      <c r="R18" s="169">
        <f t="shared" si="14"/>
        <v>0.79458239277652376</v>
      </c>
      <c r="S18" s="170">
        <f>IF(N18&gt;0,IFERROR(GETPIVOTDATA("act_qty",RECPT!$A$43,"yymm","202203","unit","KRB","comm","F"),0),)</f>
        <v>93379</v>
      </c>
      <c r="T18" s="104"/>
      <c r="U18" s="166">
        <f t="shared" si="16"/>
        <v>44621</v>
      </c>
      <c r="V18" s="183">
        <v>0</v>
      </c>
      <c r="W18" s="184">
        <v>0</v>
      </c>
      <c r="X18" s="184">
        <v>0</v>
      </c>
      <c r="Y18" s="168">
        <v>0</v>
      </c>
      <c r="Z18" s="168">
        <v>0</v>
      </c>
      <c r="AA18" s="168" t="str">
        <f t="shared" si="2"/>
        <v/>
      </c>
      <c r="AB18" s="169" t="str">
        <f t="shared" si="3"/>
        <v/>
      </c>
      <c r="AC18" s="170">
        <f>IF(X18&gt;0,IFERROR(GETPIVOTDATA("act_qty",RECPT!$A$43,"yymm","202203","unit","BOL","comm","L"),0),)</f>
        <v>0</v>
      </c>
      <c r="AD18" s="119"/>
      <c r="AE18" s="185">
        <f t="shared" si="4"/>
        <v>44621</v>
      </c>
      <c r="AF18" s="183"/>
      <c r="AG18" s="184"/>
      <c r="AH18" s="184"/>
      <c r="AI18" s="168"/>
      <c r="AJ18" s="168"/>
      <c r="AK18" s="168" t="str">
        <f t="shared" si="5"/>
        <v/>
      </c>
      <c r="AL18" s="169" t="str">
        <f t="shared" si="6"/>
        <v/>
      </c>
      <c r="AM18" s="170">
        <f>IF(AH18&gt;0,IFERROR(GETPIVOTDATA("act_qty",RECPT!$A$43,"yymm","202203","unit","BOL","comm","F"),0),)</f>
        <v>0</v>
      </c>
      <c r="AN18" s="104"/>
      <c r="AO18" s="172">
        <f t="shared" si="7"/>
        <v>44621</v>
      </c>
      <c r="AP18" s="183">
        <v>59.37</v>
      </c>
      <c r="AQ18" s="184">
        <v>7.73</v>
      </c>
      <c r="AR18" s="184">
        <v>2.3199999999999998</v>
      </c>
      <c r="AS18" s="168">
        <v>16.5</v>
      </c>
      <c r="AT18" s="168">
        <v>16.5</v>
      </c>
      <c r="AU18" s="168">
        <f>IF(AQ18&gt;0,+AR18+AQ18,"")</f>
        <v>10.050000000000001</v>
      </c>
      <c r="AV18" s="169">
        <f t="shared" si="9"/>
        <v>0.30012936610608015</v>
      </c>
      <c r="AW18" s="170">
        <f>IF(AR18&gt;0,IFERROR(GETPIVOTDATA("act_qty",RECPT!$A$43,"yymm","202203","unit","MBR","comm","L"),0),)</f>
        <v>21754.799999999999</v>
      </c>
      <c r="AX18" s="104"/>
      <c r="AY18" s="172">
        <f t="shared" si="10"/>
        <v>44621</v>
      </c>
      <c r="AZ18" s="183">
        <v>59.55</v>
      </c>
      <c r="BA18" s="184">
        <v>6.25</v>
      </c>
      <c r="BB18" s="184">
        <v>3.87</v>
      </c>
      <c r="BC18" s="168">
        <v>5.6</v>
      </c>
      <c r="BD18" s="168">
        <v>37.4</v>
      </c>
      <c r="BE18" s="168">
        <f t="shared" si="11"/>
        <v>10.120000000000001</v>
      </c>
      <c r="BF18" s="169">
        <f t="shared" si="12"/>
        <v>0.61919999999999997</v>
      </c>
      <c r="BG18" s="170">
        <f>IF(BB18&gt;0,IFERROR(GETPIVOTDATA("act_qty",RECPT!$A$43,"yymm","202203","unit","MBR","comm","F"),0),)</f>
        <v>25828.7</v>
      </c>
    </row>
    <row r="19" spans="1:59" ht="21.5" thickBot="1" x14ac:dyDescent="0.3">
      <c r="A19" s="191" t="s">
        <v>42</v>
      </c>
      <c r="B19" s="192">
        <v>59.37</v>
      </c>
      <c r="C19" s="192">
        <v>8.0299999999999994</v>
      </c>
      <c r="D19" s="192">
        <v>2.16</v>
      </c>
      <c r="E19" s="192">
        <v>11.39</v>
      </c>
      <c r="F19" s="192">
        <v>18.23</v>
      </c>
      <c r="G19" s="193">
        <f t="shared" si="0"/>
        <v>10.19</v>
      </c>
      <c r="H19" s="194">
        <f t="shared" si="1"/>
        <v>0.26899128268991285</v>
      </c>
      <c r="I19" s="195">
        <f>SUM(I7:I18)</f>
        <v>173753.09999999998</v>
      </c>
      <c r="J19" s="119"/>
      <c r="K19" s="191" t="s">
        <v>42</v>
      </c>
      <c r="L19" s="192">
        <v>60.44</v>
      </c>
      <c r="M19" s="192">
        <v>5.46</v>
      </c>
      <c r="N19" s="192">
        <v>2.92</v>
      </c>
      <c r="O19" s="192">
        <v>3.36</v>
      </c>
      <c r="P19" s="192">
        <v>16.18</v>
      </c>
      <c r="Q19" s="193">
        <f t="shared" si="13"/>
        <v>8.379999999999999</v>
      </c>
      <c r="R19" s="194">
        <f t="shared" si="14"/>
        <v>0.53479853479853479</v>
      </c>
      <c r="S19" s="195">
        <f>SUM(S7:S18)</f>
        <v>761546</v>
      </c>
      <c r="T19" s="104"/>
      <c r="U19" s="191" t="s">
        <v>42</v>
      </c>
      <c r="V19" s="192">
        <v>61.73</v>
      </c>
      <c r="W19" s="192">
        <v>4.05</v>
      </c>
      <c r="X19" s="192">
        <v>2.71</v>
      </c>
      <c r="Y19" s="192">
        <v>20.5</v>
      </c>
      <c r="Z19" s="192">
        <v>14</v>
      </c>
      <c r="AA19" s="193">
        <f t="shared" si="2"/>
        <v>6.76</v>
      </c>
      <c r="AB19" s="194">
        <f t="shared" si="3"/>
        <v>0.66913580246913584</v>
      </c>
      <c r="AC19" s="195">
        <f>SUM(AC7:AC18)</f>
        <v>6777</v>
      </c>
      <c r="AD19" s="171"/>
      <c r="AE19" s="196" t="str">
        <f t="shared" si="4"/>
        <v>CUMML</v>
      </c>
      <c r="AF19" s="192"/>
      <c r="AG19" s="192"/>
      <c r="AH19" s="192"/>
      <c r="AI19" s="192"/>
      <c r="AJ19" s="192"/>
      <c r="AK19" s="193" t="str">
        <f t="shared" si="5"/>
        <v/>
      </c>
      <c r="AL19" s="194" t="str">
        <f t="shared" si="6"/>
        <v/>
      </c>
      <c r="AM19" s="195">
        <f>SUM(AM7:AM18)</f>
        <v>0</v>
      </c>
      <c r="AN19" s="104"/>
      <c r="AO19" s="197" t="s">
        <v>42</v>
      </c>
      <c r="AP19" s="192">
        <v>59.21</v>
      </c>
      <c r="AQ19" s="192">
        <v>7.83</v>
      </c>
      <c r="AR19" s="192">
        <v>2.56</v>
      </c>
      <c r="AS19" s="192">
        <v>12.93</v>
      </c>
      <c r="AT19" s="192">
        <v>18.93</v>
      </c>
      <c r="AU19" s="193">
        <f t="shared" si="8"/>
        <v>10.39</v>
      </c>
      <c r="AV19" s="194">
        <f t="shared" si="9"/>
        <v>0.3269476372924649</v>
      </c>
      <c r="AW19" s="195">
        <f>SUM(AW7:AW18)</f>
        <v>143893.29999999999</v>
      </c>
      <c r="AX19" s="104"/>
      <c r="AY19" s="197" t="str">
        <f t="shared" si="10"/>
        <v>CUMML</v>
      </c>
      <c r="AZ19" s="192">
        <v>59.44</v>
      </c>
      <c r="BA19" s="192">
        <v>6.88</v>
      </c>
      <c r="BB19" s="192">
        <v>3.05</v>
      </c>
      <c r="BC19" s="192">
        <v>4.37</v>
      </c>
      <c r="BD19" s="192">
        <v>23.4</v>
      </c>
      <c r="BE19" s="193">
        <f t="shared" si="11"/>
        <v>9.93</v>
      </c>
      <c r="BF19" s="194">
        <f t="shared" si="12"/>
        <v>0.44331395348837205</v>
      </c>
      <c r="BG19" s="195">
        <f>SUM(BG7:BG18)</f>
        <v>408474.9</v>
      </c>
    </row>
    <row r="20" spans="1:59" s="7" customFormat="1" ht="21" x14ac:dyDescent="0.25">
      <c r="A20" s="205"/>
      <c r="B20" s="205">
        <f>B14*1.4298+G14</f>
        <v>95.089376000000001</v>
      </c>
      <c r="C20" s="205"/>
      <c r="D20" s="205"/>
      <c r="E20" s="205"/>
      <c r="F20" s="205"/>
      <c r="G20" s="205"/>
      <c r="H20" s="205"/>
      <c r="I20" s="205"/>
      <c r="J20" s="205"/>
      <c r="K20" s="205"/>
      <c r="L20" s="205">
        <f>L14*1.4298+Q14</f>
        <v>94.822183999999993</v>
      </c>
      <c r="M20" s="205"/>
      <c r="N20" s="205"/>
      <c r="O20" s="205"/>
      <c r="P20" s="205"/>
      <c r="Q20" s="205"/>
      <c r="R20" s="205"/>
      <c r="S20" s="205"/>
      <c r="T20" s="152"/>
      <c r="U20" s="104"/>
      <c r="V20" s="205" t="e">
        <f>V14*1.4298+AA14</f>
        <v>#VALUE!</v>
      </c>
      <c r="W20" s="104"/>
      <c r="X20" s="104"/>
      <c r="Y20" s="104"/>
      <c r="Z20" s="104"/>
      <c r="AA20" s="104"/>
      <c r="AB20" s="119"/>
      <c r="AC20" s="119"/>
      <c r="AD20" s="104"/>
      <c r="AE20" s="104"/>
      <c r="AF20" s="205" t="e">
        <f>AF14*1.4298+AK14</f>
        <v>#VALUE!</v>
      </c>
      <c r="AG20" s="104"/>
      <c r="AH20" s="104"/>
      <c r="AI20" s="104"/>
      <c r="AJ20" s="104"/>
      <c r="AK20" s="104"/>
      <c r="AL20" s="104"/>
      <c r="AM20" s="104"/>
      <c r="AN20" s="205"/>
      <c r="AO20" s="205"/>
      <c r="AP20" s="205">
        <f>AP14*1.4298+AU14</f>
        <v>95.045020000000008</v>
      </c>
      <c r="AQ20" s="205"/>
      <c r="AR20" s="205"/>
      <c r="AS20" s="205"/>
      <c r="AT20" s="205"/>
      <c r="AU20" s="205"/>
      <c r="AV20" s="205"/>
      <c r="AW20" s="205"/>
      <c r="AX20" s="205"/>
      <c r="AY20" s="205"/>
      <c r="AZ20" s="205">
        <f>AZ14*1.4298+BE14</f>
        <v>94.809889999999996</v>
      </c>
      <c r="BA20" s="205"/>
      <c r="BB20" s="205"/>
      <c r="BC20" s="205"/>
      <c r="BD20" s="205"/>
      <c r="BE20" s="205"/>
      <c r="BF20" s="205"/>
      <c r="BG20" s="205"/>
    </row>
    <row r="21" spans="1:59" s="12" customFormat="1" ht="21" x14ac:dyDescent="0.25">
      <c r="A21" s="211"/>
      <c r="B21" s="212">
        <f>B19*1.4298+G19</f>
        <v>95.077225999999996</v>
      </c>
      <c r="C21" s="212"/>
      <c r="D21" s="212"/>
      <c r="E21" s="212"/>
      <c r="F21" s="212"/>
      <c r="G21" s="212"/>
      <c r="H21" s="212"/>
      <c r="I21" s="283"/>
      <c r="J21" s="212"/>
      <c r="K21" s="211"/>
      <c r="L21" s="212">
        <f>L19*1.4298+Q19</f>
        <v>94.797111999999984</v>
      </c>
      <c r="M21" s="212"/>
      <c r="N21" s="212"/>
      <c r="O21" s="212"/>
      <c r="P21" s="212"/>
      <c r="Q21" s="212"/>
      <c r="R21" s="212"/>
      <c r="S21" s="283"/>
      <c r="T21" s="213"/>
      <c r="U21" s="213"/>
      <c r="V21" s="212">
        <f>V19*1.4298+AA19</f>
        <v>95.021553999999995</v>
      </c>
      <c r="W21" s="212"/>
      <c r="X21" s="212"/>
      <c r="Y21" s="212"/>
      <c r="Z21" s="212"/>
      <c r="AA21" s="212"/>
      <c r="AB21" s="212"/>
      <c r="AC21" s="283"/>
      <c r="AD21" s="213"/>
      <c r="AE21" s="213"/>
      <c r="AF21" s="212" t="e">
        <f>AF19*1.4298+AK19</f>
        <v>#VALUE!</v>
      </c>
      <c r="AG21" s="212"/>
      <c r="AH21" s="212"/>
      <c r="AI21" s="212"/>
      <c r="AJ21" s="212"/>
      <c r="AK21" s="212"/>
      <c r="AL21" s="212"/>
      <c r="AM21" s="213"/>
      <c r="AN21" s="212"/>
      <c r="AO21" s="212"/>
      <c r="AP21" s="212">
        <f>AP19*1.4298+AU19</f>
        <v>95.048457999999997</v>
      </c>
      <c r="AQ21" s="212"/>
      <c r="AR21" s="212"/>
      <c r="AS21" s="212"/>
      <c r="AT21" s="212"/>
      <c r="AU21" s="212"/>
      <c r="AV21" s="212"/>
      <c r="AW21" s="212"/>
      <c r="AX21" s="212"/>
      <c r="AY21" s="212"/>
      <c r="AZ21" s="212">
        <f>AZ19*1.4298+BE19</f>
        <v>94.917311999999981</v>
      </c>
      <c r="BA21" s="212"/>
      <c r="BB21" s="212"/>
      <c r="BC21" s="212"/>
      <c r="BD21" s="212"/>
      <c r="BE21" s="212"/>
      <c r="BF21" s="212"/>
      <c r="BG21" s="212"/>
    </row>
    <row r="22" spans="1:59" s="12" customFormat="1" ht="23.5" x14ac:dyDescent="0.25">
      <c r="A22" s="221"/>
      <c r="B22" s="205"/>
      <c r="C22" s="205"/>
      <c r="D22" s="205"/>
      <c r="E22" s="205"/>
      <c r="F22" s="205"/>
      <c r="G22" s="205"/>
      <c r="H22" s="205"/>
      <c r="I22" s="222"/>
      <c r="J22" s="212"/>
      <c r="K22" s="221"/>
      <c r="L22" s="205"/>
      <c r="M22" s="205"/>
      <c r="N22" s="205"/>
      <c r="O22" s="205"/>
      <c r="P22" s="205"/>
      <c r="Q22" s="205"/>
      <c r="R22" s="205"/>
      <c r="S22" s="222"/>
      <c r="T22" s="213"/>
      <c r="U22" s="223"/>
      <c r="V22" s="224"/>
      <c r="W22" s="224"/>
      <c r="X22" s="224"/>
      <c r="Y22" s="224"/>
      <c r="Z22" s="224"/>
      <c r="AA22" s="224"/>
      <c r="AB22" s="224"/>
      <c r="AC22" s="224"/>
      <c r="AD22" s="213"/>
      <c r="AE22" s="223"/>
      <c r="AF22" s="224"/>
      <c r="AG22" s="224"/>
      <c r="AH22" s="224"/>
      <c r="AI22" s="224"/>
      <c r="AJ22" s="224"/>
      <c r="AK22" s="224"/>
      <c r="AL22" s="224"/>
      <c r="AM22" s="224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3"/>
      <c r="AZ22" s="224"/>
      <c r="BA22" s="224"/>
      <c r="BB22" s="224"/>
      <c r="BC22" s="224"/>
      <c r="BD22" s="224"/>
      <c r="BE22" s="224"/>
      <c r="BF22" s="224"/>
      <c r="BG22" s="213"/>
    </row>
    <row r="23" spans="1:59" ht="28.5" x14ac:dyDescent="0.6">
      <c r="A23" s="586" t="s">
        <v>43</v>
      </c>
      <c r="B23" s="586"/>
      <c r="C23" s="586"/>
      <c r="D23" s="585" t="s">
        <v>30</v>
      </c>
      <c r="E23" s="585"/>
      <c r="F23" s="585"/>
      <c r="G23" s="110"/>
      <c r="H23" s="110"/>
      <c r="I23" s="110"/>
      <c r="J23" s="219"/>
      <c r="K23" s="586" t="s">
        <v>43</v>
      </c>
      <c r="L23" s="586"/>
      <c r="M23" s="586"/>
      <c r="N23" s="585" t="s">
        <v>31</v>
      </c>
      <c r="O23" s="585"/>
      <c r="P23" s="585"/>
      <c r="Q23" s="228"/>
      <c r="R23" s="228"/>
      <c r="S23" s="228"/>
      <c r="T23" s="111"/>
      <c r="U23" s="586" t="s">
        <v>44</v>
      </c>
      <c r="V23" s="586"/>
      <c r="W23" s="586"/>
      <c r="X23" s="585" t="s">
        <v>30</v>
      </c>
      <c r="Y23" s="585"/>
      <c r="Z23" s="585"/>
      <c r="AA23" s="110"/>
      <c r="AB23" s="110"/>
      <c r="AC23" s="110"/>
      <c r="AD23" s="111"/>
      <c r="AE23" s="586" t="s">
        <v>44</v>
      </c>
      <c r="AF23" s="586"/>
      <c r="AG23" s="586"/>
      <c r="AH23" s="585" t="s">
        <v>31</v>
      </c>
      <c r="AI23" s="585"/>
      <c r="AJ23" s="585"/>
      <c r="AK23" s="110"/>
      <c r="AL23" s="110"/>
      <c r="AM23" s="110"/>
      <c r="AN23" s="111"/>
      <c r="AO23" s="586" t="s">
        <v>45</v>
      </c>
      <c r="AP23" s="586"/>
      <c r="AQ23" s="586"/>
      <c r="AR23" s="585" t="s">
        <v>30</v>
      </c>
      <c r="AS23" s="585"/>
      <c r="AT23" s="585"/>
      <c r="AU23" s="110"/>
      <c r="AV23" s="110"/>
      <c r="AW23" s="110"/>
      <c r="AX23" s="111"/>
      <c r="AY23" s="586" t="s">
        <v>45</v>
      </c>
      <c r="AZ23" s="586"/>
      <c r="BA23" s="586"/>
      <c r="BB23" s="585" t="s">
        <v>31</v>
      </c>
      <c r="BC23" s="585"/>
      <c r="BD23" s="585"/>
      <c r="BE23" s="110"/>
      <c r="BF23" s="110"/>
      <c r="BG23" s="110"/>
    </row>
    <row r="24" spans="1:59" ht="13" customHeight="1" thickBot="1" x14ac:dyDescent="0.3">
      <c r="A24" s="103"/>
      <c r="B24" s="230"/>
      <c r="C24" s="230"/>
      <c r="D24" s="230"/>
      <c r="E24" s="230"/>
      <c r="F24" s="230"/>
      <c r="G24" s="230"/>
      <c r="H24" s="230"/>
      <c r="I24" s="103"/>
      <c r="J24" s="212"/>
      <c r="K24" s="103"/>
      <c r="L24" s="103"/>
      <c r="M24" s="103"/>
      <c r="N24" s="103"/>
      <c r="O24" s="103"/>
      <c r="P24" s="103"/>
      <c r="Q24" s="103"/>
      <c r="R24" s="103"/>
      <c r="S24" s="103"/>
      <c r="T24" s="104"/>
      <c r="U24" s="103"/>
      <c r="V24" s="103"/>
      <c r="W24" s="103"/>
      <c r="X24" s="103"/>
      <c r="Y24" s="103"/>
      <c r="Z24" s="103"/>
      <c r="AA24" s="103"/>
      <c r="AB24" s="103"/>
      <c r="AC24" s="103"/>
      <c r="AD24" s="104"/>
      <c r="AE24" s="103"/>
      <c r="AF24" s="103"/>
      <c r="AG24" s="103"/>
      <c r="AH24" s="103"/>
      <c r="AI24" s="103"/>
      <c r="AJ24" s="103"/>
      <c r="AK24" s="103"/>
      <c r="AL24" s="103"/>
      <c r="AM24" s="103"/>
      <c r="AN24" s="104"/>
      <c r="AO24" s="103"/>
      <c r="AP24" s="103"/>
      <c r="AQ24" s="103"/>
      <c r="AR24" s="103"/>
      <c r="AS24" s="103"/>
      <c r="AT24" s="103"/>
      <c r="AU24" s="103"/>
      <c r="AV24" s="103"/>
      <c r="AW24" s="103"/>
      <c r="AX24" s="104"/>
      <c r="AY24" s="103"/>
      <c r="AZ24" s="103"/>
      <c r="BA24" s="103"/>
      <c r="BB24" s="103"/>
      <c r="BC24" s="103"/>
      <c r="BD24" s="103"/>
      <c r="BE24" s="103"/>
      <c r="BF24" s="103"/>
      <c r="BG24" s="103"/>
    </row>
    <row r="25" spans="1:59" ht="22.5" customHeight="1" thickBot="1" x14ac:dyDescent="0.3">
      <c r="A25" s="119"/>
      <c r="B25" s="120" t="s">
        <v>34</v>
      </c>
      <c r="C25" s="121" t="s">
        <v>35</v>
      </c>
      <c r="D25" s="121" t="s">
        <v>36</v>
      </c>
      <c r="E25" s="121" t="s">
        <v>37</v>
      </c>
      <c r="F25" s="121" t="s">
        <v>38</v>
      </c>
      <c r="G25" s="124" t="s">
        <v>39</v>
      </c>
      <c r="H25" s="121" t="s">
        <v>40</v>
      </c>
      <c r="I25" s="123" t="s">
        <v>41</v>
      </c>
      <c r="J25" s="212"/>
      <c r="K25" s="119"/>
      <c r="L25" s="120" t="s">
        <v>34</v>
      </c>
      <c r="M25" s="121" t="s">
        <v>35</v>
      </c>
      <c r="N25" s="121" t="s">
        <v>36</v>
      </c>
      <c r="O25" s="121" t="s">
        <v>37</v>
      </c>
      <c r="P25" s="121" t="s">
        <v>38</v>
      </c>
      <c r="Q25" s="124" t="s">
        <v>39</v>
      </c>
      <c r="R25" s="121" t="s">
        <v>40</v>
      </c>
      <c r="S25" s="123" t="s">
        <v>41</v>
      </c>
      <c r="T25" s="104"/>
      <c r="U25" s="126"/>
      <c r="V25" s="120" t="s">
        <v>34</v>
      </c>
      <c r="W25" s="121" t="s">
        <v>35</v>
      </c>
      <c r="X25" s="121" t="s">
        <v>36</v>
      </c>
      <c r="Y25" s="121" t="s">
        <v>37</v>
      </c>
      <c r="Z25" s="125" t="s">
        <v>38</v>
      </c>
      <c r="AA25" s="121" t="s">
        <v>39</v>
      </c>
      <c r="AB25" s="121" t="s">
        <v>40</v>
      </c>
      <c r="AC25" s="123" t="s">
        <v>41</v>
      </c>
      <c r="AD25" s="104"/>
      <c r="AE25" s="126"/>
      <c r="AF25" s="120" t="s">
        <v>34</v>
      </c>
      <c r="AG25" s="121" t="s">
        <v>35</v>
      </c>
      <c r="AH25" s="121" t="s">
        <v>36</v>
      </c>
      <c r="AI25" s="121" t="s">
        <v>37</v>
      </c>
      <c r="AJ25" s="125" t="s">
        <v>38</v>
      </c>
      <c r="AK25" s="121" t="s">
        <v>39</v>
      </c>
      <c r="AL25" s="121" t="s">
        <v>40</v>
      </c>
      <c r="AM25" s="123" t="s">
        <v>41</v>
      </c>
      <c r="AN25" s="104"/>
      <c r="AO25" s="126"/>
      <c r="AP25" s="120" t="s">
        <v>34</v>
      </c>
      <c r="AQ25" s="121" t="s">
        <v>35</v>
      </c>
      <c r="AR25" s="121" t="s">
        <v>36</v>
      </c>
      <c r="AS25" s="121" t="s">
        <v>37</v>
      </c>
      <c r="AT25" s="125" t="s">
        <v>38</v>
      </c>
      <c r="AU25" s="121" t="s">
        <v>39</v>
      </c>
      <c r="AV25" s="121" t="s">
        <v>40</v>
      </c>
      <c r="AW25" s="123" t="s">
        <v>41</v>
      </c>
      <c r="AX25" s="104"/>
      <c r="AY25" s="126"/>
      <c r="AZ25" s="120" t="s">
        <v>34</v>
      </c>
      <c r="BA25" s="121" t="s">
        <v>35</v>
      </c>
      <c r="BB25" s="121" t="s">
        <v>36</v>
      </c>
      <c r="BC25" s="121" t="s">
        <v>37</v>
      </c>
      <c r="BD25" s="125" t="s">
        <v>38</v>
      </c>
      <c r="BE25" s="121" t="s">
        <v>39</v>
      </c>
      <c r="BF25" s="121" t="s">
        <v>40</v>
      </c>
      <c r="BG25" s="123" t="s">
        <v>41</v>
      </c>
    </row>
    <row r="26" spans="1:59" ht="21" customHeight="1" thickBot="1" x14ac:dyDescent="0.3">
      <c r="A26" s="132" t="str">
        <f>A5</f>
        <v>Act 20-21</v>
      </c>
      <c r="B26" s="133"/>
      <c r="C26" s="133"/>
      <c r="D26" s="133"/>
      <c r="E26" s="133"/>
      <c r="F26" s="133"/>
      <c r="G26" s="134" t="str">
        <f t="shared" ref="G26:G40" si="17">IF(C26&gt;0,+D26+C26,"")</f>
        <v/>
      </c>
      <c r="H26" s="134" t="str">
        <f t="shared" ref="H26:H40" si="18">IF(C26&gt;0,+D26/C26,"")</f>
        <v/>
      </c>
      <c r="I26" s="135"/>
      <c r="J26" s="212"/>
      <c r="K26" s="132" t="str">
        <f>K5</f>
        <v>Act 20-21</v>
      </c>
      <c r="L26" s="133">
        <v>62.19</v>
      </c>
      <c r="M26" s="133">
        <v>3.79</v>
      </c>
      <c r="N26" s="133">
        <v>2.2799999999999998</v>
      </c>
      <c r="O26" s="133"/>
      <c r="P26" s="133"/>
      <c r="Q26" s="134">
        <f t="shared" ref="Q26:Q40" si="19">IF(M26&gt;0,+N26+M26,"")</f>
        <v>6.07</v>
      </c>
      <c r="R26" s="134">
        <f t="shared" ref="R26:R40" si="20">IF(M26&gt;0,+N26/M26,"")</f>
        <v>0.60158311345646431</v>
      </c>
      <c r="S26" s="135"/>
      <c r="T26" s="138"/>
      <c r="U26" s="136" t="str">
        <f t="shared" ref="U26:U40" si="21">K26</f>
        <v>Act 20-21</v>
      </c>
      <c r="V26" s="133">
        <v>62.29</v>
      </c>
      <c r="W26" s="133">
        <v>3.07</v>
      </c>
      <c r="X26" s="133">
        <v>2.95</v>
      </c>
      <c r="Y26" s="133">
        <v>8.4700000000000006</v>
      </c>
      <c r="Z26" s="133">
        <v>20.309999999999999</v>
      </c>
      <c r="AA26" s="134">
        <f t="shared" ref="AA26:AA40" si="22">IF(W26&gt;0,+X26+W26,"")</f>
        <v>6.02</v>
      </c>
      <c r="AB26" s="134">
        <f t="shared" ref="AB26:AB40" si="23">IF(W26&gt;0,+X26/W26,"")</f>
        <v>0.96091205211726394</v>
      </c>
      <c r="AC26" s="135"/>
      <c r="AD26" s="104"/>
      <c r="AE26" s="136" t="str">
        <f t="shared" ref="AE26:AE40" si="24">K26</f>
        <v>Act 20-21</v>
      </c>
      <c r="AF26" s="139">
        <v>61.35</v>
      </c>
      <c r="AG26" s="134">
        <v>3.65</v>
      </c>
      <c r="AH26" s="134">
        <v>3.48</v>
      </c>
      <c r="AI26" s="134">
        <v>7.32</v>
      </c>
      <c r="AJ26" s="134">
        <v>40.14</v>
      </c>
      <c r="AK26" s="134">
        <f t="shared" ref="AK26:AK40" si="25">IF(AG26&gt;0,+AH26+AG26,"")</f>
        <v>7.13</v>
      </c>
      <c r="AL26" s="134">
        <f t="shared" ref="AL26:AL40" si="26">IF(AG26&gt;0,+AH26/AG26,"")</f>
        <v>0.95342465753424654</v>
      </c>
      <c r="AM26" s="140"/>
      <c r="AN26" s="104"/>
      <c r="AO26" s="136" t="str">
        <f t="shared" ref="AO26:AO40" si="27">K26</f>
        <v>Act 20-21</v>
      </c>
      <c r="AP26" s="133">
        <v>63.15</v>
      </c>
      <c r="AQ26" s="133">
        <v>2.39</v>
      </c>
      <c r="AR26" s="133">
        <v>2.4</v>
      </c>
      <c r="AS26" s="133">
        <v>5.79</v>
      </c>
      <c r="AT26" s="133">
        <v>13.15</v>
      </c>
      <c r="AU26" s="134">
        <f t="shared" ref="AU26:AU40" si="28">IF(AQ26&gt;0,+AR26+AQ26,"")</f>
        <v>4.79</v>
      </c>
      <c r="AV26" s="134">
        <f t="shared" ref="AV26:AV40" si="29">IF(AQ26&gt;0,+AR26/AQ26,"")</f>
        <v>1.00418410041841</v>
      </c>
      <c r="AW26" s="140"/>
      <c r="AX26" s="104"/>
      <c r="AY26" s="136" t="str">
        <f>$AO$26</f>
        <v>Act 20-21</v>
      </c>
      <c r="AZ26" s="133">
        <v>62.81</v>
      </c>
      <c r="BA26" s="133">
        <v>2.64</v>
      </c>
      <c r="BB26" s="133">
        <v>2.41</v>
      </c>
      <c r="BC26" s="133">
        <v>5.6</v>
      </c>
      <c r="BD26" s="133">
        <v>38.25</v>
      </c>
      <c r="BE26" s="134">
        <f t="shared" ref="BE26:BE40" si="30">IF(BA26&gt;0,+BB26+BA26,"")</f>
        <v>5.0500000000000007</v>
      </c>
      <c r="BF26" s="134">
        <f t="shared" ref="BF26:BF40" si="31">IF(BA26&gt;0,+BB26/BA26,"")</f>
        <v>0.91287878787878785</v>
      </c>
      <c r="BG26" s="140"/>
    </row>
    <row r="27" spans="1:59" s="7" customFormat="1" ht="21" x14ac:dyDescent="0.25">
      <c r="A27" s="145" t="str">
        <f>A6</f>
        <v>APP 21-22</v>
      </c>
      <c r="B27" s="146">
        <f t="array" ref="B27:F27">BSP!B27:F27</f>
        <v>62.5</v>
      </c>
      <c r="C27" s="147">
        <v>3.6</v>
      </c>
      <c r="D27" s="147">
        <v>2.2000000000000002</v>
      </c>
      <c r="E27" s="147">
        <v>10</v>
      </c>
      <c r="F27" s="147">
        <v>10</v>
      </c>
      <c r="G27" s="147">
        <f t="shared" si="17"/>
        <v>5.8000000000000007</v>
      </c>
      <c r="H27" s="148">
        <f t="shared" si="18"/>
        <v>0.61111111111111116</v>
      </c>
      <c r="I27" s="149"/>
      <c r="J27" s="150"/>
      <c r="K27" s="145" t="str">
        <f>A6</f>
        <v>APP 21-22</v>
      </c>
      <c r="L27" s="146">
        <f t="array" ref="L27:P27">BSP!L27:P27</f>
        <v>62</v>
      </c>
      <c r="M27" s="147">
        <v>3.8</v>
      </c>
      <c r="N27" s="147">
        <v>2.7</v>
      </c>
      <c r="O27" s="147">
        <v>7</v>
      </c>
      <c r="P27" s="147">
        <v>40</v>
      </c>
      <c r="Q27" s="147">
        <f t="shared" si="19"/>
        <v>6.5</v>
      </c>
      <c r="R27" s="148">
        <f t="shared" si="20"/>
        <v>0.71052631578947378</v>
      </c>
      <c r="S27" s="149"/>
      <c r="T27" s="152"/>
      <c r="U27" s="151" t="str">
        <f t="shared" si="21"/>
        <v>APP 21-22</v>
      </c>
      <c r="V27" s="146">
        <f t="array" ref="V27:Z27">BSP!V27:Z27</f>
        <v>62.3</v>
      </c>
      <c r="W27" s="147">
        <v>3</v>
      </c>
      <c r="X27" s="147">
        <v>2.95</v>
      </c>
      <c r="Y27" s="147">
        <v>10</v>
      </c>
      <c r="Z27" s="147">
        <v>10</v>
      </c>
      <c r="AA27" s="147">
        <f t="shared" si="22"/>
        <v>5.95</v>
      </c>
      <c r="AB27" s="148">
        <f t="shared" si="23"/>
        <v>0.98333333333333339</v>
      </c>
      <c r="AC27" s="149"/>
      <c r="AD27" s="104"/>
      <c r="AE27" s="151" t="str">
        <f t="shared" si="24"/>
        <v>APP 21-22</v>
      </c>
      <c r="AF27" s="147">
        <f t="array" ref="AF27:AJ27">BSP!AF27:AJ27</f>
        <v>61.3</v>
      </c>
      <c r="AG27" s="147">
        <v>3.6</v>
      </c>
      <c r="AH27" s="147">
        <v>3.6</v>
      </c>
      <c r="AI27" s="147">
        <v>7</v>
      </c>
      <c r="AJ27" s="147">
        <v>40</v>
      </c>
      <c r="AK27" s="147">
        <f t="shared" si="25"/>
        <v>7.2</v>
      </c>
      <c r="AL27" s="154">
        <f t="shared" si="26"/>
        <v>1</v>
      </c>
      <c r="AM27" s="155"/>
      <c r="AN27" s="152"/>
      <c r="AO27" s="151" t="str">
        <f t="shared" si="27"/>
        <v>APP 21-22</v>
      </c>
      <c r="AP27" s="146">
        <f t="array" ref="AP27:AT27">BSP!AP27:AT27</f>
        <v>63</v>
      </c>
      <c r="AQ27" s="147">
        <v>2.6</v>
      </c>
      <c r="AR27" s="147">
        <v>2.2000000000000002</v>
      </c>
      <c r="AS27" s="147">
        <v>5</v>
      </c>
      <c r="AT27" s="147">
        <v>5</v>
      </c>
      <c r="AU27" s="147">
        <f t="shared" si="28"/>
        <v>4.8000000000000007</v>
      </c>
      <c r="AV27" s="148">
        <f t="shared" si="29"/>
        <v>0.84615384615384615</v>
      </c>
      <c r="AW27" s="155"/>
      <c r="AX27" s="152"/>
      <c r="AY27" s="151" t="str">
        <f>AO27</f>
        <v>APP 21-22</v>
      </c>
      <c r="AZ27" s="146">
        <f t="array" ref="AZ27:BD27">BSP!AZ27:BD27</f>
        <v>63</v>
      </c>
      <c r="BA27" s="147">
        <v>2.9</v>
      </c>
      <c r="BB27" s="147">
        <v>2.5</v>
      </c>
      <c r="BC27" s="147">
        <v>5</v>
      </c>
      <c r="BD27" s="147">
        <v>40</v>
      </c>
      <c r="BE27" s="147">
        <f t="shared" si="30"/>
        <v>5.4</v>
      </c>
      <c r="BF27" s="148">
        <f t="shared" si="31"/>
        <v>0.86206896551724144</v>
      </c>
      <c r="BG27" s="155"/>
    </row>
    <row r="28" spans="1:59" ht="21" x14ac:dyDescent="0.25">
      <c r="A28" s="166">
        <f>A7</f>
        <v>44287</v>
      </c>
      <c r="B28" s="167"/>
      <c r="C28" s="168"/>
      <c r="D28" s="168"/>
      <c r="E28" s="168"/>
      <c r="F28" s="168"/>
      <c r="G28" s="168" t="str">
        <f t="shared" si="17"/>
        <v/>
      </c>
      <c r="H28" s="169" t="str">
        <f t="shared" si="18"/>
        <v/>
      </c>
      <c r="I28" s="170">
        <f>IF(D28&gt;0,IFERROR(GETPIVOTDATA("act_qty",RECPT!$A$43,"yymm","202104","unit","GUA","comm","L"),0),)</f>
        <v>0</v>
      </c>
      <c r="J28" s="119"/>
      <c r="K28" s="166">
        <f>A7</f>
        <v>44287</v>
      </c>
      <c r="L28" s="167"/>
      <c r="M28" s="168"/>
      <c r="N28" s="168"/>
      <c r="O28" s="168"/>
      <c r="P28" s="168"/>
      <c r="Q28" s="168" t="str">
        <f t="shared" si="19"/>
        <v/>
      </c>
      <c r="R28" s="169" t="str">
        <f t="shared" si="20"/>
        <v/>
      </c>
      <c r="S28" s="170">
        <f>IF(N28&gt;0,IFERROR(GETPIVOTDATA("act_qty",RECPT!$A$43,"yymm","202104","unit","GUA","comm","F"),0),)</f>
        <v>0</v>
      </c>
      <c r="T28" s="104"/>
      <c r="U28" s="172">
        <f t="shared" si="21"/>
        <v>44287</v>
      </c>
      <c r="V28" s="167">
        <v>62.71</v>
      </c>
      <c r="W28" s="168">
        <v>2.88</v>
      </c>
      <c r="X28" s="168">
        <v>2.59</v>
      </c>
      <c r="Y28" s="168">
        <v>9.89</v>
      </c>
      <c r="Z28" s="168">
        <v>17.059999999999999</v>
      </c>
      <c r="AA28" s="168">
        <f t="shared" si="22"/>
        <v>5.47</v>
      </c>
      <c r="AB28" s="169">
        <f t="shared" si="23"/>
        <v>0.89930555555555558</v>
      </c>
      <c r="AC28" s="170">
        <f>IF(X28&gt;0,IFERROR(GETPIVOTDATA("act_qty",RECPT!$A$43,"yymm","202104","unit","BAR","comm","L"),0),)</f>
        <v>25501</v>
      </c>
      <c r="AD28" s="104"/>
      <c r="AE28" s="172">
        <f t="shared" si="24"/>
        <v>44287</v>
      </c>
      <c r="AF28" s="167">
        <v>61.91</v>
      </c>
      <c r="AG28" s="168">
        <v>3.43</v>
      </c>
      <c r="AH28" s="168">
        <v>2.94</v>
      </c>
      <c r="AI28" s="168">
        <v>6.21</v>
      </c>
      <c r="AJ28" s="168">
        <v>38.71</v>
      </c>
      <c r="AK28" s="168">
        <f t="shared" si="25"/>
        <v>6.37</v>
      </c>
      <c r="AL28" s="169">
        <f t="shared" si="26"/>
        <v>0.8571428571428571</v>
      </c>
      <c r="AM28" s="170">
        <f>IF(AH28&gt;0,IFERROR(GETPIVOTDATA("act_qty",RECPT!$A$43,"yymm","202104","unit","BAR","comm","F"),0),)</f>
        <v>68383</v>
      </c>
      <c r="AN28" s="104"/>
      <c r="AO28" s="172">
        <f t="shared" si="27"/>
        <v>44287</v>
      </c>
      <c r="AP28" s="167">
        <v>63.24</v>
      </c>
      <c r="AQ28" s="168">
        <v>2.4300000000000002</v>
      </c>
      <c r="AR28" s="168">
        <v>2.2999999999999998</v>
      </c>
      <c r="AS28" s="168">
        <v>4.21</v>
      </c>
      <c r="AT28" s="168">
        <v>9.33</v>
      </c>
      <c r="AU28" s="168">
        <f t="shared" si="28"/>
        <v>4.7300000000000004</v>
      </c>
      <c r="AV28" s="169">
        <f t="shared" si="29"/>
        <v>0.94650205761316863</v>
      </c>
      <c r="AW28" s="170">
        <f>IF(AR28&gt;0,IFERROR(GETPIVOTDATA("act_qty",RECPT!$A$43,"yymm","202104","unit","KAL","comm","L"),0),)</f>
        <v>121642.9</v>
      </c>
      <c r="AX28" s="104"/>
      <c r="AY28" s="172">
        <f t="shared" ref="AY28:AY40" si="32">AO28</f>
        <v>44287</v>
      </c>
      <c r="AZ28" s="167">
        <v>62.88</v>
      </c>
      <c r="BA28" s="168">
        <v>2.69</v>
      </c>
      <c r="BB28" s="168">
        <v>2.31</v>
      </c>
      <c r="BC28" s="168">
        <v>4.75</v>
      </c>
      <c r="BD28" s="168">
        <v>37.21</v>
      </c>
      <c r="BE28" s="168">
        <f t="shared" si="30"/>
        <v>5</v>
      </c>
      <c r="BF28" s="169">
        <f t="shared" si="31"/>
        <v>0.85873605947955389</v>
      </c>
      <c r="BG28" s="170">
        <f>IF(BB28&gt;0,IFERROR(GETPIVOTDATA("act_qty",RECPT!$A$43,"yymm","202104","unit","KAL","comm","F"),0),)</f>
        <v>143043.9</v>
      </c>
    </row>
    <row r="29" spans="1:59" ht="21" x14ac:dyDescent="0.25">
      <c r="A29" s="166">
        <f t="shared" ref="A29:A39" si="33">A8</f>
        <v>44317</v>
      </c>
      <c r="B29" s="167"/>
      <c r="C29" s="168"/>
      <c r="D29" s="168"/>
      <c r="E29" s="168"/>
      <c r="F29" s="168"/>
      <c r="G29" s="168" t="str">
        <f t="shared" si="17"/>
        <v/>
      </c>
      <c r="H29" s="169" t="str">
        <f t="shared" si="18"/>
        <v/>
      </c>
      <c r="I29" s="170">
        <f>IF(D29&gt;0,IFERROR(GETPIVOTDATA("act_qty",RECPT!$A$43,"yymm","202105","unit","GUA","comm","L"),0),)</f>
        <v>0</v>
      </c>
      <c r="J29" s="119"/>
      <c r="K29" s="166">
        <f t="shared" ref="K29:K39" si="34">A8</f>
        <v>44317</v>
      </c>
      <c r="L29" s="167"/>
      <c r="M29" s="168"/>
      <c r="N29" s="168"/>
      <c r="O29" s="168"/>
      <c r="P29" s="168"/>
      <c r="Q29" s="168" t="str">
        <f t="shared" si="19"/>
        <v/>
      </c>
      <c r="R29" s="169" t="str">
        <f t="shared" si="20"/>
        <v/>
      </c>
      <c r="S29" s="170">
        <f>IF(N29&gt;0,IFERROR(GETPIVOTDATA("act_qty",RECPT!$A$43,"yymm","202105","unit","GUA","comm","F"),0),)</f>
        <v>0</v>
      </c>
      <c r="T29" s="104"/>
      <c r="U29" s="172">
        <f t="shared" si="21"/>
        <v>44317</v>
      </c>
      <c r="V29" s="167">
        <v>62.41</v>
      </c>
      <c r="W29" s="168">
        <v>3.01</v>
      </c>
      <c r="X29" s="168">
        <v>2.87</v>
      </c>
      <c r="Y29" s="168">
        <v>12.7</v>
      </c>
      <c r="Z29" s="168">
        <v>16.2</v>
      </c>
      <c r="AA29" s="168">
        <f t="shared" si="22"/>
        <v>5.88</v>
      </c>
      <c r="AB29" s="169">
        <f t="shared" si="23"/>
        <v>0.9534883720930234</v>
      </c>
      <c r="AC29" s="170">
        <f>IF(X29&gt;0,IFERROR(GETPIVOTDATA("act_qty",RECPT!$A$43,"yymm","202105","unit","BAR","comm","L"),0),)</f>
        <v>38629</v>
      </c>
      <c r="AD29" s="104"/>
      <c r="AE29" s="172">
        <f t="shared" si="24"/>
        <v>44317</v>
      </c>
      <c r="AF29" s="167">
        <v>61.05</v>
      </c>
      <c r="AG29" s="168">
        <v>4.08</v>
      </c>
      <c r="AH29" s="168">
        <v>3.52</v>
      </c>
      <c r="AI29" s="168">
        <v>6.4</v>
      </c>
      <c r="AJ29" s="168">
        <v>39.4</v>
      </c>
      <c r="AK29" s="168">
        <f t="shared" si="25"/>
        <v>7.6</v>
      </c>
      <c r="AL29" s="169">
        <f t="shared" si="26"/>
        <v>0.86274509803921573</v>
      </c>
      <c r="AM29" s="170">
        <f>IF(AH29&gt;0,IFERROR(GETPIVOTDATA("act_qty",RECPT!$A$43,"yymm","202105","unit","BAR","comm","F"),0),)</f>
        <v>115806</v>
      </c>
      <c r="AN29" s="104"/>
      <c r="AO29" s="172">
        <f t="shared" si="27"/>
        <v>44317</v>
      </c>
      <c r="AP29" s="167">
        <v>63.13</v>
      </c>
      <c r="AQ29" s="168">
        <v>2.5</v>
      </c>
      <c r="AR29" s="168">
        <v>2.3199999999999998</v>
      </c>
      <c r="AS29" s="168">
        <v>4.7</v>
      </c>
      <c r="AT29" s="168">
        <v>10.4</v>
      </c>
      <c r="AU29" s="168">
        <f t="shared" si="28"/>
        <v>4.82</v>
      </c>
      <c r="AV29" s="169">
        <f t="shared" si="29"/>
        <v>0.92799999999999994</v>
      </c>
      <c r="AW29" s="170">
        <f>IF(AR29&gt;0,IFERROR(GETPIVOTDATA("act_qty",RECPT!$A$43,"yymm","202105","unit","KAL","comm","L"),0),)</f>
        <v>135426.5</v>
      </c>
      <c r="AX29" s="104"/>
      <c r="AY29" s="172">
        <f t="shared" si="32"/>
        <v>44317</v>
      </c>
      <c r="AZ29" s="167">
        <v>62.91</v>
      </c>
      <c r="BA29" s="168">
        <v>2.57</v>
      </c>
      <c r="BB29" s="168">
        <v>2.38</v>
      </c>
      <c r="BC29" s="168">
        <v>4.3</v>
      </c>
      <c r="BD29" s="168">
        <v>37.200000000000003</v>
      </c>
      <c r="BE29" s="168">
        <f t="shared" si="30"/>
        <v>4.9499999999999993</v>
      </c>
      <c r="BF29" s="169">
        <f t="shared" si="31"/>
        <v>0.92607003891050588</v>
      </c>
      <c r="BG29" s="170">
        <f>IF(BB29&gt;0,IFERROR(GETPIVOTDATA("act_qty",RECPT!$A$43,"yymm","202105","unit","KAL","comm","F"),0),)</f>
        <v>114004.9</v>
      </c>
    </row>
    <row r="30" spans="1:59" ht="21" x14ac:dyDescent="0.25">
      <c r="A30" s="166">
        <f t="shared" si="33"/>
        <v>44348</v>
      </c>
      <c r="B30" s="167"/>
      <c r="C30" s="168"/>
      <c r="D30" s="168"/>
      <c r="E30" s="168"/>
      <c r="F30" s="168"/>
      <c r="G30" s="168" t="str">
        <f t="shared" si="17"/>
        <v/>
      </c>
      <c r="H30" s="169" t="str">
        <f t="shared" si="18"/>
        <v/>
      </c>
      <c r="I30" s="170">
        <f>IF(D30&gt;0,IFERROR(GETPIVOTDATA("act_qty",RECPT!$A$43,"yymm","202106","unit","GUA","comm","L"),0),)</f>
        <v>0</v>
      </c>
      <c r="J30" s="119"/>
      <c r="K30" s="166">
        <f t="shared" si="34"/>
        <v>44348</v>
      </c>
      <c r="L30" s="167"/>
      <c r="M30" s="168"/>
      <c r="N30" s="168"/>
      <c r="O30" s="168"/>
      <c r="P30" s="168"/>
      <c r="Q30" s="168" t="str">
        <f t="shared" si="19"/>
        <v/>
      </c>
      <c r="R30" s="169" t="str">
        <f t="shared" si="20"/>
        <v/>
      </c>
      <c r="S30" s="170">
        <f>IF(N30&gt;0,IFERROR(GETPIVOTDATA("act_qty",RECPT!$A$43,"yymm","202106","unit","GUA","comm","F"),0),)</f>
        <v>0</v>
      </c>
      <c r="T30" s="104"/>
      <c r="U30" s="172">
        <f t="shared" si="21"/>
        <v>44348</v>
      </c>
      <c r="V30" s="167">
        <v>61.48</v>
      </c>
      <c r="W30" s="168">
        <v>3.76</v>
      </c>
      <c r="X30" s="168">
        <v>3.45</v>
      </c>
      <c r="Y30" s="168">
        <v>15.3</v>
      </c>
      <c r="Z30" s="168">
        <v>18.600000000000001</v>
      </c>
      <c r="AA30" s="168">
        <f t="shared" si="22"/>
        <v>7.21</v>
      </c>
      <c r="AB30" s="169">
        <f t="shared" si="23"/>
        <v>0.91755319148936176</v>
      </c>
      <c r="AC30" s="170">
        <f>IF(X30&gt;0,IFERROR(GETPIVOTDATA("act_qty",RECPT!$A$43,"yymm","202106","unit","BAR","comm","L"),0),)</f>
        <v>25539</v>
      </c>
      <c r="AD30" s="171"/>
      <c r="AE30" s="172">
        <f t="shared" si="24"/>
        <v>44348</v>
      </c>
      <c r="AF30" s="167">
        <v>59.9</v>
      </c>
      <c r="AG30" s="168">
        <v>5.32</v>
      </c>
      <c r="AH30" s="168">
        <v>3.85</v>
      </c>
      <c r="AI30" s="168">
        <v>7.3</v>
      </c>
      <c r="AJ30" s="168">
        <v>40.299999999999997</v>
      </c>
      <c r="AK30" s="168">
        <f t="shared" si="25"/>
        <v>9.17</v>
      </c>
      <c r="AL30" s="169">
        <f t="shared" si="26"/>
        <v>0.72368421052631582</v>
      </c>
      <c r="AM30" s="170">
        <f>IF(AH30&gt;0,IFERROR(GETPIVOTDATA("act_qty",RECPT!$A$43,"yymm","202106","unit","BAR","comm","F"),0),)</f>
        <v>54345</v>
      </c>
      <c r="AN30" s="104"/>
      <c r="AO30" s="172">
        <f t="shared" si="27"/>
        <v>44348</v>
      </c>
      <c r="AP30" s="167">
        <v>63.17</v>
      </c>
      <c r="AQ30" s="168">
        <v>2.46</v>
      </c>
      <c r="AR30" s="168">
        <v>2.2799999999999998</v>
      </c>
      <c r="AS30" s="168">
        <v>5</v>
      </c>
      <c r="AT30" s="168">
        <v>11.9</v>
      </c>
      <c r="AU30" s="168">
        <f t="shared" si="28"/>
        <v>4.74</v>
      </c>
      <c r="AV30" s="169">
        <f t="shared" si="29"/>
        <v>0.92682926829268286</v>
      </c>
      <c r="AW30" s="170">
        <f>IF(AR30&gt;0,IFERROR(GETPIVOTDATA("act_qty",RECPT!$A$43,"yymm","202106","unit","KAL","comm","L"),0),)</f>
        <v>55378.5</v>
      </c>
      <c r="AX30" s="104"/>
      <c r="AY30" s="172">
        <f t="shared" si="32"/>
        <v>44348</v>
      </c>
      <c r="AZ30" s="167">
        <v>62.92</v>
      </c>
      <c r="BA30" s="168">
        <v>2.69</v>
      </c>
      <c r="BB30" s="168">
        <v>2.2400000000000002</v>
      </c>
      <c r="BC30" s="168">
        <v>4</v>
      </c>
      <c r="BD30" s="168">
        <v>37.6</v>
      </c>
      <c r="BE30" s="168">
        <f t="shared" si="30"/>
        <v>4.93</v>
      </c>
      <c r="BF30" s="169">
        <f t="shared" si="31"/>
        <v>0.83271375464684028</v>
      </c>
      <c r="BG30" s="170">
        <f>IF(BB30&gt;0,IFERROR(GETPIVOTDATA("act_qty",RECPT!$A$43,"yymm","202106","unit","KAL","comm","F"),0),)</f>
        <v>40694.300000000003</v>
      </c>
    </row>
    <row r="31" spans="1:59" ht="21" x14ac:dyDescent="0.25">
      <c r="A31" s="166">
        <f t="shared" si="33"/>
        <v>44378</v>
      </c>
      <c r="B31" s="167"/>
      <c r="C31" s="168"/>
      <c r="D31" s="168"/>
      <c r="E31" s="168"/>
      <c r="F31" s="168"/>
      <c r="G31" s="168" t="str">
        <f t="shared" si="17"/>
        <v/>
      </c>
      <c r="H31" s="169" t="str">
        <f t="shared" si="18"/>
        <v/>
      </c>
      <c r="I31" s="170">
        <f>IF(D31&gt;0,IFERROR(GETPIVOTDATA("act_qty",RECPT!$A$43,"yymm","202107","unit","GUA","comm","L"),0),)</f>
        <v>0</v>
      </c>
      <c r="J31" s="119"/>
      <c r="K31" s="166">
        <f t="shared" si="34"/>
        <v>44378</v>
      </c>
      <c r="L31" s="167"/>
      <c r="M31" s="168"/>
      <c r="N31" s="168"/>
      <c r="O31" s="168"/>
      <c r="P31" s="168"/>
      <c r="Q31" s="168" t="str">
        <f t="shared" si="19"/>
        <v/>
      </c>
      <c r="R31" s="169" t="str">
        <f t="shared" si="20"/>
        <v/>
      </c>
      <c r="S31" s="170">
        <f>IF(N31&gt;0,IFERROR(GETPIVOTDATA("act_qty",RECPT!$A$43,"yymm","202107","unit","GUA","comm","F"),0),)</f>
        <v>0</v>
      </c>
      <c r="T31" s="104"/>
      <c r="U31" s="172">
        <f t="shared" si="21"/>
        <v>44378</v>
      </c>
      <c r="V31" s="167">
        <v>60.5</v>
      </c>
      <c r="W31" s="168">
        <v>5.4</v>
      </c>
      <c r="X31" s="168">
        <v>3.11</v>
      </c>
      <c r="Y31" s="168">
        <v>15.9</v>
      </c>
      <c r="Z31" s="168">
        <v>17</v>
      </c>
      <c r="AA31" s="168">
        <f t="shared" si="22"/>
        <v>8.51</v>
      </c>
      <c r="AB31" s="169">
        <f t="shared" si="23"/>
        <v>0.57592592592592584</v>
      </c>
      <c r="AC31" s="170">
        <f>IF(X31&gt;0,IFERROR(GETPIVOTDATA("act_qty",RECPT!$A$43,"yymm","202107","unit","BAR","comm","L"),0),)</f>
        <v>46761</v>
      </c>
      <c r="AD31" s="171"/>
      <c r="AE31" s="172">
        <f t="shared" si="24"/>
        <v>44378</v>
      </c>
      <c r="AF31" s="167">
        <v>60.45</v>
      </c>
      <c r="AG31" s="168">
        <v>4.47</v>
      </c>
      <c r="AH31" s="168">
        <v>3.97</v>
      </c>
      <c r="AI31" s="168">
        <v>0</v>
      </c>
      <c r="AJ31" s="168">
        <v>0</v>
      </c>
      <c r="AK31" s="168">
        <f t="shared" si="25"/>
        <v>8.44</v>
      </c>
      <c r="AL31" s="169">
        <f t="shared" si="26"/>
        <v>0.88814317673378085</v>
      </c>
      <c r="AM31" s="170">
        <f>IF(AH31&gt;0,IFERROR(GETPIVOTDATA("act_qty",RECPT!$A$43,"yymm","202107","unit","BAR","comm","F"),0),)</f>
        <v>21729</v>
      </c>
      <c r="AN31" s="104"/>
      <c r="AO31" s="172">
        <f t="shared" si="27"/>
        <v>44378</v>
      </c>
      <c r="AP31" s="167">
        <v>63.06</v>
      </c>
      <c r="AQ31" s="168">
        <v>2.41</v>
      </c>
      <c r="AR31" s="168">
        <v>2.4700000000000002</v>
      </c>
      <c r="AS31" s="168">
        <v>4.5999999999999996</v>
      </c>
      <c r="AT31" s="168">
        <v>13.1</v>
      </c>
      <c r="AU31" s="168">
        <f t="shared" si="28"/>
        <v>4.8800000000000008</v>
      </c>
      <c r="AV31" s="169">
        <f t="shared" si="29"/>
        <v>1.0248962655601659</v>
      </c>
      <c r="AW31" s="170">
        <f>IF(AR31&gt;0,IFERROR(GETPIVOTDATA("act_qty",RECPT!$A$43,"yymm","202107","unit","KAL","comm","L"),0),)</f>
        <v>137310.6</v>
      </c>
      <c r="AX31" s="104"/>
      <c r="AY31" s="172">
        <f t="shared" si="32"/>
        <v>44378</v>
      </c>
      <c r="AZ31" s="167">
        <v>62.76</v>
      </c>
      <c r="BA31" s="168">
        <v>2.72</v>
      </c>
      <c r="BB31" s="168">
        <v>2.4300000000000002</v>
      </c>
      <c r="BC31" s="168">
        <v>3.3</v>
      </c>
      <c r="BD31" s="168">
        <v>37</v>
      </c>
      <c r="BE31" s="168">
        <f t="shared" si="30"/>
        <v>5.15</v>
      </c>
      <c r="BF31" s="169">
        <f t="shared" si="31"/>
        <v>0.89338235294117652</v>
      </c>
      <c r="BG31" s="170">
        <f>IF(BB31&gt;0,IFERROR(GETPIVOTDATA("act_qty",RECPT!$A$43,"yymm","202107","unit","KAL","comm","F"),0),)</f>
        <v>207253.9</v>
      </c>
    </row>
    <row r="32" spans="1:59" ht="21" x14ac:dyDescent="0.25">
      <c r="A32" s="166">
        <f t="shared" si="33"/>
        <v>44409</v>
      </c>
      <c r="B32" s="167"/>
      <c r="C32" s="168"/>
      <c r="D32" s="168"/>
      <c r="E32" s="168"/>
      <c r="F32" s="168"/>
      <c r="G32" s="168" t="str">
        <f t="shared" si="17"/>
        <v/>
      </c>
      <c r="H32" s="169" t="str">
        <f t="shared" si="18"/>
        <v/>
      </c>
      <c r="I32" s="170">
        <f>IF(D32&gt;0,IFERROR(GETPIVOTDATA("act_qty",RECPT!$A$43,"yymm","202108","unit","GUA","comm","L"),0),)</f>
        <v>0</v>
      </c>
      <c r="J32" s="119"/>
      <c r="K32" s="166">
        <f t="shared" si="34"/>
        <v>44409</v>
      </c>
      <c r="L32" s="167"/>
      <c r="M32" s="168"/>
      <c r="N32" s="168"/>
      <c r="O32" s="168"/>
      <c r="P32" s="168"/>
      <c r="Q32" s="168" t="str">
        <f t="shared" si="19"/>
        <v/>
      </c>
      <c r="R32" s="169" t="str">
        <f t="shared" si="20"/>
        <v/>
      </c>
      <c r="S32" s="170">
        <f>IF(N32&gt;0,IFERROR(GETPIVOTDATA("act_qty",RECPT!$A$43,"yymm","202108","unit","GUA","comm","F"),0),)</f>
        <v>0</v>
      </c>
      <c r="T32" s="104"/>
      <c r="U32" s="172">
        <f t="shared" si="21"/>
        <v>44409</v>
      </c>
      <c r="V32" s="167">
        <v>61.31</v>
      </c>
      <c r="W32" s="168">
        <v>4.3099999999999996</v>
      </c>
      <c r="X32" s="168">
        <v>3.09</v>
      </c>
      <c r="Y32" s="168">
        <v>17.3</v>
      </c>
      <c r="Z32" s="168">
        <v>14.7</v>
      </c>
      <c r="AA32" s="168">
        <f t="shared" si="22"/>
        <v>7.3999999999999995</v>
      </c>
      <c r="AB32" s="169">
        <f t="shared" si="23"/>
        <v>0.71693735498839906</v>
      </c>
      <c r="AC32" s="170">
        <f>IF(X32&gt;0,IFERROR(GETPIVOTDATA("act_qty",RECPT!$A$43,"yymm","202108","unit","BAR","comm","L"),0),)</f>
        <v>42735</v>
      </c>
      <c r="AD32" s="171"/>
      <c r="AE32" s="172">
        <f t="shared" si="24"/>
        <v>44409</v>
      </c>
      <c r="AF32" s="167">
        <v>60.05</v>
      </c>
      <c r="AG32" s="168">
        <v>5.34</v>
      </c>
      <c r="AH32" s="168">
        <v>3.64</v>
      </c>
      <c r="AI32" s="168">
        <v>0</v>
      </c>
      <c r="AJ32" s="168">
        <v>0</v>
      </c>
      <c r="AK32" s="168">
        <f t="shared" si="25"/>
        <v>8.98</v>
      </c>
      <c r="AL32" s="169">
        <f t="shared" si="26"/>
        <v>0.68164794007490637</v>
      </c>
      <c r="AM32" s="170">
        <f>IF(AH32&gt;0,IFERROR(GETPIVOTDATA("act_qty",RECPT!$A$43,"yymm","202108","unit","BAR","comm","F"),0),)</f>
        <v>101302</v>
      </c>
      <c r="AN32" s="104"/>
      <c r="AO32" s="172">
        <f t="shared" si="27"/>
        <v>44409</v>
      </c>
      <c r="AP32" s="167">
        <v>62.94</v>
      </c>
      <c r="AQ32" s="168">
        <v>2.7</v>
      </c>
      <c r="AR32" s="168">
        <v>2.35</v>
      </c>
      <c r="AS32" s="168">
        <v>4</v>
      </c>
      <c r="AT32" s="168">
        <v>12.6</v>
      </c>
      <c r="AU32" s="168">
        <f t="shared" si="28"/>
        <v>5.0500000000000007</v>
      </c>
      <c r="AV32" s="169">
        <f t="shared" si="29"/>
        <v>0.87037037037037035</v>
      </c>
      <c r="AW32" s="170">
        <f>IF(AR32&gt;0,IFERROR(GETPIVOTDATA("act_qty",RECPT!$A$43,"yymm","202108","unit","KAL","comm","L"),0),)</f>
        <v>95691.4</v>
      </c>
      <c r="AX32" s="104"/>
      <c r="AY32" s="172">
        <f t="shared" si="32"/>
        <v>44409</v>
      </c>
      <c r="AZ32" s="167">
        <v>62.71</v>
      </c>
      <c r="BA32" s="168">
        <v>2.85</v>
      </c>
      <c r="BB32" s="168">
        <v>2.35</v>
      </c>
      <c r="BC32" s="168">
        <v>3.6</v>
      </c>
      <c r="BD32" s="168">
        <v>37.299999999999997</v>
      </c>
      <c r="BE32" s="168">
        <f t="shared" si="30"/>
        <v>5.2</v>
      </c>
      <c r="BF32" s="169">
        <f t="shared" si="31"/>
        <v>0.82456140350877194</v>
      </c>
      <c r="BG32" s="170">
        <f>IF(BB32&gt;0,IFERROR(GETPIVOTDATA("act_qty",RECPT!$A$43,"yymm","202108","unit","KAL","comm","F"),0),)</f>
        <v>181008.9</v>
      </c>
    </row>
    <row r="33" spans="1:60" ht="21" x14ac:dyDescent="0.25">
      <c r="A33" s="166">
        <f t="shared" si="33"/>
        <v>44440</v>
      </c>
      <c r="B33" s="167"/>
      <c r="C33" s="168"/>
      <c r="D33" s="168"/>
      <c r="E33" s="168"/>
      <c r="F33" s="168"/>
      <c r="G33" s="168" t="str">
        <f t="shared" si="17"/>
        <v/>
      </c>
      <c r="H33" s="169" t="str">
        <f t="shared" si="18"/>
        <v/>
      </c>
      <c r="I33" s="170">
        <f>IF(D33&gt;0,IFERROR(GETPIVOTDATA("act_qty",RECPT!$A$43,"yymm","202109","unit","GUA","comm","L"),0),)</f>
        <v>0</v>
      </c>
      <c r="J33" s="119"/>
      <c r="K33" s="166">
        <f t="shared" si="34"/>
        <v>44440</v>
      </c>
      <c r="L33" s="167"/>
      <c r="M33" s="168"/>
      <c r="N33" s="168"/>
      <c r="O33" s="168"/>
      <c r="P33" s="168"/>
      <c r="Q33" s="168" t="str">
        <f t="shared" si="19"/>
        <v/>
      </c>
      <c r="R33" s="169" t="str">
        <f t="shared" si="20"/>
        <v/>
      </c>
      <c r="S33" s="170">
        <f>IF(N33&gt;0,IFERROR(GETPIVOTDATA("act_qty",RECPT!$A$43,"yymm","202109","unit","GUA","comm","F"),0),)</f>
        <v>0</v>
      </c>
      <c r="T33" s="104"/>
      <c r="U33" s="172">
        <f t="shared" si="21"/>
        <v>44440</v>
      </c>
      <c r="V33" s="167">
        <v>60.43</v>
      </c>
      <c r="W33" s="168">
        <v>4.96</v>
      </c>
      <c r="X33" s="168">
        <v>3.71</v>
      </c>
      <c r="Y33" s="168">
        <v>9.64</v>
      </c>
      <c r="Z33" s="168">
        <v>19.14</v>
      </c>
      <c r="AA33" s="168">
        <f t="shared" si="22"/>
        <v>8.67</v>
      </c>
      <c r="AB33" s="169">
        <f t="shared" si="23"/>
        <v>0.74798387096774188</v>
      </c>
      <c r="AC33" s="170">
        <f>IF(X33&gt;0,IFERROR(GETPIVOTDATA("act_qty",RECPT!$A$43,"yymm","202109","unit","BAR","comm","L"),0),)</f>
        <v>49598</v>
      </c>
      <c r="AD33" s="171"/>
      <c r="AE33" s="172">
        <f t="shared" si="24"/>
        <v>44440</v>
      </c>
      <c r="AF33" s="167">
        <v>60.37</v>
      </c>
      <c r="AG33" s="168">
        <v>5.4</v>
      </c>
      <c r="AH33" s="168">
        <v>3.14</v>
      </c>
      <c r="AI33" s="168">
        <v>0</v>
      </c>
      <c r="AJ33" s="168">
        <v>0</v>
      </c>
      <c r="AK33" s="168">
        <f t="shared" si="25"/>
        <v>8.5400000000000009</v>
      </c>
      <c r="AL33" s="169">
        <f t="shared" si="26"/>
        <v>0.58148148148148149</v>
      </c>
      <c r="AM33" s="170">
        <f>IF(AH33&gt;0,IFERROR(GETPIVOTDATA("act_qty",RECPT!$A$43,"yymm","202109","unit","BAR","comm","F"),0),)</f>
        <v>85600</v>
      </c>
      <c r="AN33" s="104"/>
      <c r="AO33" s="172">
        <f t="shared" si="27"/>
        <v>44440</v>
      </c>
      <c r="AP33" s="167">
        <v>63.17</v>
      </c>
      <c r="AQ33" s="168">
        <v>2.5099999999999998</v>
      </c>
      <c r="AR33" s="168">
        <v>2.2200000000000002</v>
      </c>
      <c r="AS33" s="168">
        <v>3.91</v>
      </c>
      <c r="AT33" s="168">
        <v>13.77</v>
      </c>
      <c r="AU33" s="168">
        <f t="shared" si="28"/>
        <v>4.7300000000000004</v>
      </c>
      <c r="AV33" s="169">
        <f t="shared" si="29"/>
        <v>0.88446215139442241</v>
      </c>
      <c r="AW33" s="170">
        <f>IF(AR33&gt;0,IFERROR(GETPIVOTDATA("act_qty",RECPT!$A$43,"yymm","202109","unit","KAL","comm","L"),0),)</f>
        <v>94563</v>
      </c>
      <c r="AX33" s="104"/>
      <c r="AY33" s="172">
        <f t="shared" si="32"/>
        <v>44440</v>
      </c>
      <c r="AZ33" s="167">
        <v>62.8</v>
      </c>
      <c r="BA33" s="168">
        <v>2.73</v>
      </c>
      <c r="BB33" s="168">
        <v>2.33</v>
      </c>
      <c r="BC33" s="168">
        <v>3</v>
      </c>
      <c r="BD33" s="168">
        <v>37</v>
      </c>
      <c r="BE33" s="168">
        <f t="shared" si="30"/>
        <v>5.0600000000000005</v>
      </c>
      <c r="BF33" s="169">
        <f t="shared" si="31"/>
        <v>0.85347985347985356</v>
      </c>
      <c r="BG33" s="170">
        <f>IF(BB33&gt;0,IFERROR(GETPIVOTDATA("act_qty",RECPT!$A$43,"yymm","202109","unit","KAL","comm","F"),0),)</f>
        <v>173397.2</v>
      </c>
    </row>
    <row r="34" spans="1:60" ht="21" x14ac:dyDescent="0.25">
      <c r="A34" s="166">
        <f t="shared" si="33"/>
        <v>44470</v>
      </c>
      <c r="B34" s="167"/>
      <c r="C34" s="168"/>
      <c r="D34" s="168"/>
      <c r="E34" s="168"/>
      <c r="F34" s="168"/>
      <c r="G34" s="168" t="str">
        <f t="shared" si="17"/>
        <v/>
      </c>
      <c r="H34" s="169" t="str">
        <f t="shared" si="18"/>
        <v/>
      </c>
      <c r="I34" s="170">
        <f>IF(D34&gt;0,IFERROR(GETPIVOTDATA("act_qty",RECPT!$A$43,"yymm","202110","unit","GUA","comm","L"),0),)</f>
        <v>0</v>
      </c>
      <c r="J34" s="119"/>
      <c r="K34" s="166">
        <f t="shared" si="34"/>
        <v>44470</v>
      </c>
      <c r="L34" s="167"/>
      <c r="M34" s="168"/>
      <c r="N34" s="168"/>
      <c r="O34" s="168"/>
      <c r="P34" s="168"/>
      <c r="Q34" s="168" t="str">
        <f t="shared" si="19"/>
        <v/>
      </c>
      <c r="R34" s="169" t="str">
        <f t="shared" si="20"/>
        <v/>
      </c>
      <c r="S34" s="170">
        <f>IF(N34&gt;0,IFERROR(GETPIVOTDATA("act_qty",RECPT!$A$43,"yymm","202110","unit","GUA","comm","F"),0),)</f>
        <v>0</v>
      </c>
      <c r="T34" s="104"/>
      <c r="U34" s="172">
        <f t="shared" si="21"/>
        <v>44470</v>
      </c>
      <c r="V34" s="167">
        <v>61.25</v>
      </c>
      <c r="W34" s="168">
        <v>4.49</v>
      </c>
      <c r="X34" s="168">
        <v>2.96</v>
      </c>
      <c r="Y34" s="168">
        <v>12.85</v>
      </c>
      <c r="Z34" s="168">
        <v>20.38</v>
      </c>
      <c r="AA34" s="168">
        <f t="shared" si="22"/>
        <v>7.45</v>
      </c>
      <c r="AB34" s="169">
        <f t="shared" si="23"/>
        <v>0.65924276169265028</v>
      </c>
      <c r="AC34" s="170">
        <f>IF(X34&gt;0,IFERROR(GETPIVOTDATA("act_qty",RECPT!$A$43,"yymm","202110","unit","BAR","comm","L"),0),)</f>
        <v>44550.53</v>
      </c>
      <c r="AD34" s="171"/>
      <c r="AE34" s="172">
        <f t="shared" si="24"/>
        <v>44470</v>
      </c>
      <c r="AF34" s="167">
        <v>60.48</v>
      </c>
      <c r="AG34" s="168">
        <v>4.68</v>
      </c>
      <c r="AH34" s="168">
        <v>3.7</v>
      </c>
      <c r="AI34" s="168">
        <v>0</v>
      </c>
      <c r="AJ34" s="168">
        <v>0</v>
      </c>
      <c r="AK34" s="168">
        <f t="shared" si="25"/>
        <v>8.379999999999999</v>
      </c>
      <c r="AL34" s="169">
        <f t="shared" si="26"/>
        <v>0.79059829059829068</v>
      </c>
      <c r="AM34" s="170">
        <f>IF(AH34&gt;0,IFERROR(GETPIVOTDATA("act_qty",RECPT!$A$43,"yymm","202110","unit","BAR","comm","F"),0),)</f>
        <v>82365.710000000006</v>
      </c>
      <c r="AN34" s="104"/>
      <c r="AO34" s="172">
        <f t="shared" si="27"/>
        <v>44470</v>
      </c>
      <c r="AP34" s="167">
        <v>63.14</v>
      </c>
      <c r="AQ34" s="168">
        <v>2.56</v>
      </c>
      <c r="AR34" s="168">
        <v>2.21</v>
      </c>
      <c r="AS34" s="168">
        <v>3.54</v>
      </c>
      <c r="AT34" s="168">
        <v>14.65</v>
      </c>
      <c r="AU34" s="168">
        <f t="shared" si="28"/>
        <v>4.7699999999999996</v>
      </c>
      <c r="AV34" s="169">
        <f t="shared" si="29"/>
        <v>0.86328125</v>
      </c>
      <c r="AW34" s="170">
        <f>IF(AR34&gt;0,IFERROR(GETPIVOTDATA("act_qty",RECPT!$A$43,"yymm","202110","unit","KAL","comm","L"),0),)</f>
        <v>99961.5</v>
      </c>
      <c r="AX34" s="104"/>
      <c r="AY34" s="172">
        <f t="shared" si="32"/>
        <v>44470</v>
      </c>
      <c r="AZ34" s="167">
        <v>62.8</v>
      </c>
      <c r="BA34" s="168">
        <v>2.73</v>
      </c>
      <c r="BB34" s="168">
        <v>2.33</v>
      </c>
      <c r="BC34" s="168">
        <v>0</v>
      </c>
      <c r="BD34" s="168">
        <v>0</v>
      </c>
      <c r="BE34" s="168">
        <f t="shared" si="30"/>
        <v>5.0600000000000005</v>
      </c>
      <c r="BF34" s="169">
        <f t="shared" si="31"/>
        <v>0.85347985347985356</v>
      </c>
      <c r="BG34" s="170">
        <f>IF(BB34&gt;0,IFERROR(GETPIVOTDATA("act_qty",RECPT!$A$43,"yymm","202110","unit","KAL","comm","F"),0),)</f>
        <v>209031.1</v>
      </c>
    </row>
    <row r="35" spans="1:60" ht="21" x14ac:dyDescent="0.25">
      <c r="A35" s="166">
        <f t="shared" si="33"/>
        <v>44501</v>
      </c>
      <c r="B35" s="167"/>
      <c r="C35" s="168"/>
      <c r="D35" s="168"/>
      <c r="E35" s="168"/>
      <c r="F35" s="168"/>
      <c r="G35" s="168" t="str">
        <f t="shared" si="17"/>
        <v/>
      </c>
      <c r="H35" s="169" t="str">
        <f t="shared" si="18"/>
        <v/>
      </c>
      <c r="I35" s="170">
        <f>IF(D35&gt;0,IFERROR(GETPIVOTDATA("act_qty",RECPT!$A$43,"yymm","202111","unit","GUA","comm","L"),0),)</f>
        <v>0</v>
      </c>
      <c r="J35" s="119"/>
      <c r="K35" s="166">
        <f t="shared" si="34"/>
        <v>44501</v>
      </c>
      <c r="L35" s="167"/>
      <c r="M35" s="168"/>
      <c r="N35" s="168"/>
      <c r="O35" s="168"/>
      <c r="P35" s="168"/>
      <c r="Q35" s="168" t="str">
        <f t="shared" si="19"/>
        <v/>
      </c>
      <c r="R35" s="169" t="str">
        <f t="shared" si="20"/>
        <v/>
      </c>
      <c r="S35" s="170">
        <f>IF(N35&gt;0,IFERROR(GETPIVOTDATA("act_qty",RECPT!$A$43,"yymm","202111","unit","GUA","comm","F"),0),)</f>
        <v>0</v>
      </c>
      <c r="T35" s="104"/>
      <c r="U35" s="172">
        <f t="shared" si="21"/>
        <v>44501</v>
      </c>
      <c r="V35" s="167">
        <v>61.85</v>
      </c>
      <c r="W35" s="168">
        <v>3.64</v>
      </c>
      <c r="X35" s="168">
        <v>2.98</v>
      </c>
      <c r="Y35" s="168">
        <v>14.4</v>
      </c>
      <c r="Z35" s="168">
        <v>15.5</v>
      </c>
      <c r="AA35" s="168">
        <f t="shared" si="22"/>
        <v>6.62</v>
      </c>
      <c r="AB35" s="169">
        <f t="shared" si="23"/>
        <v>0.81868131868131866</v>
      </c>
      <c r="AC35" s="170">
        <f>IF(X35&gt;0,IFERROR(GETPIVOTDATA("act_qty",RECPT!$A$43,"yymm","202111","unit","BAR","comm","L"),0),)</f>
        <v>47276</v>
      </c>
      <c r="AD35" s="171"/>
      <c r="AE35" s="172">
        <f t="shared" si="24"/>
        <v>44501</v>
      </c>
      <c r="AF35" s="167">
        <v>60.11</v>
      </c>
      <c r="AG35" s="168">
        <v>4.83</v>
      </c>
      <c r="AH35" s="168">
        <v>4.07</v>
      </c>
      <c r="AI35" s="168">
        <v>0</v>
      </c>
      <c r="AJ35" s="168">
        <v>0</v>
      </c>
      <c r="AK35" s="168">
        <f t="shared" si="25"/>
        <v>8.9</v>
      </c>
      <c r="AL35" s="169">
        <f t="shared" si="26"/>
        <v>0.84265010351966874</v>
      </c>
      <c r="AM35" s="170">
        <f>IF(AH35&gt;0,IFERROR(GETPIVOTDATA("act_qty",RECPT!$A$43,"yymm","202111","unit","BAR","comm","F"),0),)</f>
        <v>92557.9</v>
      </c>
      <c r="AN35" s="104"/>
      <c r="AO35" s="172">
        <f t="shared" si="27"/>
        <v>44501</v>
      </c>
      <c r="AP35" s="167">
        <v>63.15</v>
      </c>
      <c r="AQ35" s="168">
        <v>2.5299999999999998</v>
      </c>
      <c r="AR35" s="168">
        <v>2.19</v>
      </c>
      <c r="AS35" s="168">
        <v>3.15</v>
      </c>
      <c r="AT35" s="168">
        <v>14.63</v>
      </c>
      <c r="AU35" s="168">
        <f t="shared" si="28"/>
        <v>4.72</v>
      </c>
      <c r="AV35" s="169">
        <f t="shared" si="29"/>
        <v>0.86561264822134387</v>
      </c>
      <c r="AW35" s="170">
        <f>IF(AR35&gt;0,IFERROR(GETPIVOTDATA("act_qty",RECPT!$A$43,"yymm","202111","unit","KAL","comm","L"),0),)</f>
        <v>114924.1</v>
      </c>
      <c r="AX35" s="104"/>
      <c r="AY35" s="172">
        <f t="shared" si="32"/>
        <v>44501</v>
      </c>
      <c r="AZ35" s="167">
        <v>62.9</v>
      </c>
      <c r="BA35" s="168">
        <v>2.65</v>
      </c>
      <c r="BB35" s="168">
        <v>2.2799999999999998</v>
      </c>
      <c r="BC35" s="168">
        <v>0</v>
      </c>
      <c r="BD35" s="168">
        <v>0</v>
      </c>
      <c r="BE35" s="168">
        <f t="shared" si="30"/>
        <v>4.93</v>
      </c>
      <c r="BF35" s="169">
        <f t="shared" si="31"/>
        <v>0.86037735849056596</v>
      </c>
      <c r="BG35" s="170">
        <f>IF(BB35&gt;0,IFERROR(GETPIVOTDATA("act_qty",RECPT!$A$43,"yymm","202111","unit","KAL","comm","F"),0),)</f>
        <v>195558.2</v>
      </c>
    </row>
    <row r="36" spans="1:60" ht="21" x14ac:dyDescent="0.25">
      <c r="A36" s="166">
        <f t="shared" si="33"/>
        <v>44531</v>
      </c>
      <c r="B36" s="167"/>
      <c r="C36" s="168"/>
      <c r="D36" s="168"/>
      <c r="E36" s="168"/>
      <c r="F36" s="168"/>
      <c r="G36" s="168" t="str">
        <f t="shared" si="17"/>
        <v/>
      </c>
      <c r="H36" s="169" t="str">
        <f t="shared" si="18"/>
        <v/>
      </c>
      <c r="I36" s="170">
        <f>IF(D36&gt;0,IFERROR(GETPIVOTDATA("act_qty",RECPT!$A$43,"yymm","202112","unit","GUA","comm","L"),0),)</f>
        <v>0</v>
      </c>
      <c r="J36" s="119"/>
      <c r="K36" s="166">
        <f t="shared" si="34"/>
        <v>44531</v>
      </c>
      <c r="L36" s="167"/>
      <c r="M36" s="168"/>
      <c r="N36" s="168"/>
      <c r="O36" s="168"/>
      <c r="P36" s="168"/>
      <c r="Q36" s="168" t="str">
        <f t="shared" si="19"/>
        <v/>
      </c>
      <c r="R36" s="169" t="str">
        <f t="shared" si="20"/>
        <v/>
      </c>
      <c r="S36" s="170">
        <f>IF(N36&gt;0,IFERROR(GETPIVOTDATA("act_qty",RECPT!$A$43,"yymm","202112","unit","GUA","comm","F"),0),)</f>
        <v>0</v>
      </c>
      <c r="T36" s="104"/>
      <c r="U36" s="172">
        <f t="shared" si="21"/>
        <v>44531</v>
      </c>
      <c r="V36" s="167">
        <v>61.56</v>
      </c>
      <c r="W36" s="168">
        <v>3.96</v>
      </c>
      <c r="X36" s="168">
        <v>3.02</v>
      </c>
      <c r="Y36" s="168">
        <v>17.05</v>
      </c>
      <c r="Z36" s="168">
        <v>15.5</v>
      </c>
      <c r="AA36" s="168">
        <f t="shared" si="22"/>
        <v>6.98</v>
      </c>
      <c r="AB36" s="169">
        <f t="shared" si="23"/>
        <v>0.76262626262626265</v>
      </c>
      <c r="AC36" s="170">
        <f>IF(X36&gt;0,IFERROR(GETPIVOTDATA("act_qty",RECPT!$A$43,"yymm","202112","unit","BAR","comm","L"),0),)</f>
        <v>70353.100000000006</v>
      </c>
      <c r="AD36" s="171"/>
      <c r="AE36" s="172">
        <f t="shared" si="24"/>
        <v>44531</v>
      </c>
      <c r="AF36" s="167">
        <v>59.97</v>
      </c>
      <c r="AG36" s="168">
        <v>5.04</v>
      </c>
      <c r="AH36" s="168">
        <v>3.88</v>
      </c>
      <c r="AI36" s="168">
        <v>0</v>
      </c>
      <c r="AJ36" s="168">
        <v>0</v>
      </c>
      <c r="AK36" s="168">
        <f t="shared" si="25"/>
        <v>8.92</v>
      </c>
      <c r="AL36" s="169">
        <f t="shared" si="26"/>
        <v>0.76984126984126977</v>
      </c>
      <c r="AM36" s="170">
        <f>IF(AH36&gt;0,IFERROR(GETPIVOTDATA("act_qty",RECPT!$A$43,"yymm","202112","unit","BAR","comm","F"),0),)</f>
        <v>104415</v>
      </c>
      <c r="AN36" s="104"/>
      <c r="AO36" s="172">
        <f t="shared" si="27"/>
        <v>44531</v>
      </c>
      <c r="AP36" s="167">
        <v>63.2</v>
      </c>
      <c r="AQ36" s="168">
        <v>2.4700000000000002</v>
      </c>
      <c r="AR36" s="168">
        <v>2.23</v>
      </c>
      <c r="AS36" s="168">
        <v>3.21</v>
      </c>
      <c r="AT36" s="168">
        <v>14.63</v>
      </c>
      <c r="AU36" s="168">
        <f t="shared" si="28"/>
        <v>4.7</v>
      </c>
      <c r="AV36" s="169">
        <f t="shared" si="29"/>
        <v>0.90283400809716596</v>
      </c>
      <c r="AW36" s="170">
        <f>IF(AR36&gt;0,IFERROR(GETPIVOTDATA("act_qty",RECPT!$A$43,"yymm","202112","unit","KAL","comm","L"),0),)</f>
        <v>128173.1</v>
      </c>
      <c r="AX36" s="104"/>
      <c r="AY36" s="172">
        <f t="shared" si="32"/>
        <v>44531</v>
      </c>
      <c r="AZ36" s="167">
        <v>62.97</v>
      </c>
      <c r="BA36" s="168">
        <v>2.56</v>
      </c>
      <c r="BB36" s="168">
        <v>2.2599999999999998</v>
      </c>
      <c r="BC36" s="168">
        <v>0</v>
      </c>
      <c r="BD36" s="168">
        <v>0</v>
      </c>
      <c r="BE36" s="168">
        <f t="shared" si="30"/>
        <v>4.82</v>
      </c>
      <c r="BF36" s="169">
        <f t="shared" si="31"/>
        <v>0.88281249999999989</v>
      </c>
      <c r="BG36" s="170">
        <f>IF(BB36&gt;0,IFERROR(GETPIVOTDATA("act_qty",RECPT!$A$43,"yymm","202112","unit","KAL","comm","F"),0),)</f>
        <v>176815.3</v>
      </c>
    </row>
    <row r="37" spans="1:60" ht="18.75" customHeight="1" x14ac:dyDescent="0.25">
      <c r="A37" s="166">
        <f t="shared" si="33"/>
        <v>44562</v>
      </c>
      <c r="B37" s="167"/>
      <c r="C37" s="168"/>
      <c r="D37" s="168"/>
      <c r="E37" s="168"/>
      <c r="F37" s="168"/>
      <c r="G37" s="168" t="str">
        <f t="shared" si="17"/>
        <v/>
      </c>
      <c r="H37" s="169" t="str">
        <f t="shared" si="18"/>
        <v/>
      </c>
      <c r="I37" s="170">
        <f>IF(D37&gt;0,IFERROR(GETPIVOTDATA("act_qty",RECPT!$A$43,"yymm","202201","unit","GUA","comm","L"),0),)</f>
        <v>0</v>
      </c>
      <c r="J37" s="119"/>
      <c r="K37" s="166">
        <f t="shared" si="34"/>
        <v>44562</v>
      </c>
      <c r="L37" s="167"/>
      <c r="M37" s="168"/>
      <c r="N37" s="168"/>
      <c r="O37" s="168"/>
      <c r="P37" s="168"/>
      <c r="Q37" s="168" t="str">
        <f t="shared" si="19"/>
        <v/>
      </c>
      <c r="R37" s="169" t="str">
        <f t="shared" si="20"/>
        <v/>
      </c>
      <c r="S37" s="170">
        <f>IF(N37&gt;0,IFERROR(GETPIVOTDATA("act_qty",RECPT!$A$43,"yymm","202201","unit","GUA","comm","F"),0),)</f>
        <v>0</v>
      </c>
      <c r="T37" s="104"/>
      <c r="U37" s="172">
        <f t="shared" si="21"/>
        <v>44562</v>
      </c>
      <c r="V37" s="167">
        <v>61.21</v>
      </c>
      <c r="W37" s="168">
        <v>3.81</v>
      </c>
      <c r="X37" s="168">
        <v>3.69</v>
      </c>
      <c r="Y37" s="168">
        <v>14.5</v>
      </c>
      <c r="Z37" s="168">
        <v>14.5</v>
      </c>
      <c r="AA37" s="168">
        <f t="shared" si="22"/>
        <v>7.5</v>
      </c>
      <c r="AB37" s="169">
        <f t="shared" si="23"/>
        <v>0.96850393700787396</v>
      </c>
      <c r="AC37" s="170">
        <f>IF(X37&gt;0,IFERROR(GETPIVOTDATA("act_qty",RECPT!$A$43,"yymm","202201","unit","BAR","comm","L"),0),)</f>
        <v>53757.5</v>
      </c>
      <c r="AD37" s="171"/>
      <c r="AE37" s="172">
        <f t="shared" si="24"/>
        <v>44562</v>
      </c>
      <c r="AF37" s="167">
        <v>60.54</v>
      </c>
      <c r="AG37" s="168">
        <v>4.0999999999999996</v>
      </c>
      <c r="AH37" s="168">
        <v>4.13</v>
      </c>
      <c r="AI37" s="168">
        <v>0</v>
      </c>
      <c r="AJ37" s="168">
        <v>0</v>
      </c>
      <c r="AK37" s="168">
        <f t="shared" si="25"/>
        <v>8.23</v>
      </c>
      <c r="AL37" s="169">
        <f t="shared" si="26"/>
        <v>1.0073170731707317</v>
      </c>
      <c r="AM37" s="170">
        <f>IF(AH37&gt;0,IFERROR(GETPIVOTDATA("act_qty",RECPT!$A$43,"yymm","202201","unit","BAR","comm","F"),0),)</f>
        <v>100240.8</v>
      </c>
      <c r="AN37" s="104"/>
      <c r="AO37" s="172">
        <f t="shared" si="27"/>
        <v>44562</v>
      </c>
      <c r="AP37" s="167">
        <v>63.22</v>
      </c>
      <c r="AQ37" s="168">
        <v>2.46</v>
      </c>
      <c r="AR37" s="168">
        <v>2.2200000000000002</v>
      </c>
      <c r="AS37" s="168">
        <v>3.9</v>
      </c>
      <c r="AT37" s="168">
        <v>13.62</v>
      </c>
      <c r="AU37" s="168">
        <f t="shared" si="28"/>
        <v>4.68</v>
      </c>
      <c r="AV37" s="169">
        <f t="shared" si="29"/>
        <v>0.90243902439024404</v>
      </c>
      <c r="AW37" s="170">
        <f>IF(AR37&gt;0,IFERROR(GETPIVOTDATA("act_qty",RECPT!$A$43,"yymm","202201","unit","KAL","comm","L"),0),)</f>
        <v>118652.9</v>
      </c>
      <c r="AX37" s="104"/>
      <c r="AY37" s="172">
        <f t="shared" si="32"/>
        <v>44562</v>
      </c>
      <c r="AZ37" s="167">
        <v>62.97</v>
      </c>
      <c r="BA37" s="168">
        <v>2.5499999999999998</v>
      </c>
      <c r="BB37" s="168">
        <v>2.2799999999999998</v>
      </c>
      <c r="BC37" s="168">
        <v>0</v>
      </c>
      <c r="BD37" s="168">
        <v>0</v>
      </c>
      <c r="BE37" s="168">
        <f t="shared" si="30"/>
        <v>4.83</v>
      </c>
      <c r="BF37" s="169">
        <f t="shared" si="31"/>
        <v>0.89411764705882346</v>
      </c>
      <c r="BG37" s="170">
        <f>IF(BB37&gt;0,IFERROR(GETPIVOTDATA("act_qty",RECPT!$A$43,"yymm","202201","unit","KAL","comm","F"),0),)</f>
        <v>185442.5</v>
      </c>
    </row>
    <row r="38" spans="1:60" ht="21" x14ac:dyDescent="0.25">
      <c r="A38" s="166">
        <f t="shared" si="33"/>
        <v>44593</v>
      </c>
      <c r="B38" s="167"/>
      <c r="C38" s="168"/>
      <c r="D38" s="168"/>
      <c r="E38" s="168"/>
      <c r="F38" s="168"/>
      <c r="G38" s="168" t="str">
        <f t="shared" si="17"/>
        <v/>
      </c>
      <c r="H38" s="169" t="str">
        <f t="shared" si="18"/>
        <v/>
      </c>
      <c r="I38" s="170">
        <f>IF(D38&gt;0,IFERROR(GETPIVOTDATA("act_qty",RECPT!$A$43,"yymm","202202","unit","GUA","comm","L"),0),)</f>
        <v>0</v>
      </c>
      <c r="J38" s="119"/>
      <c r="K38" s="166">
        <f t="shared" si="34"/>
        <v>44593</v>
      </c>
      <c r="L38" s="167"/>
      <c r="M38" s="168"/>
      <c r="N38" s="168"/>
      <c r="O38" s="168"/>
      <c r="P38" s="168"/>
      <c r="Q38" s="168" t="str">
        <f t="shared" si="19"/>
        <v/>
      </c>
      <c r="R38" s="169" t="str">
        <f t="shared" si="20"/>
        <v/>
      </c>
      <c r="S38" s="170">
        <f>IF(N38&gt;0,IFERROR(GETPIVOTDATA("act_qty",RECPT!$A$43,"yymm","202202","unit","GUA","comm","F"),0),)</f>
        <v>0</v>
      </c>
      <c r="T38" s="104"/>
      <c r="U38" s="172">
        <f t="shared" si="21"/>
        <v>44593</v>
      </c>
      <c r="V38" s="167">
        <v>61.19</v>
      </c>
      <c r="W38" s="168">
        <v>3.11</v>
      </c>
      <c r="X38" s="168">
        <v>4.47</v>
      </c>
      <c r="Y38" s="168">
        <v>13.65</v>
      </c>
      <c r="Z38" s="168">
        <v>14.53</v>
      </c>
      <c r="AA38" s="168">
        <f t="shared" si="22"/>
        <v>7.58</v>
      </c>
      <c r="AB38" s="169">
        <f t="shared" si="23"/>
        <v>1.437299035369775</v>
      </c>
      <c r="AC38" s="170">
        <f>IF(X38&gt;0,IFERROR(GETPIVOTDATA("act_qty",RECPT!$A$43,"yymm","202202","unit","BAR","comm","L"),0),)</f>
        <v>66411.5</v>
      </c>
      <c r="AD38" s="171"/>
      <c r="AE38" s="172">
        <f t="shared" si="24"/>
        <v>44593</v>
      </c>
      <c r="AF38" s="167">
        <v>60.24</v>
      </c>
      <c r="AG38" s="168">
        <v>4.21</v>
      </c>
      <c r="AH38" s="168">
        <v>4.59</v>
      </c>
      <c r="AI38" s="168">
        <v>3.87</v>
      </c>
      <c r="AJ38" s="168">
        <v>40.33</v>
      </c>
      <c r="AK38" s="168">
        <f t="shared" si="25"/>
        <v>8.8000000000000007</v>
      </c>
      <c r="AL38" s="169">
        <f t="shared" si="26"/>
        <v>1.0902612826603326</v>
      </c>
      <c r="AM38" s="170">
        <f>IF(AH38&gt;0,IFERROR(GETPIVOTDATA("act_qty",RECPT!$A$43,"yymm","202202","unit","BAR","comm","F"),0),)</f>
        <v>75885.100000000006</v>
      </c>
      <c r="AN38" s="104"/>
      <c r="AO38" s="172">
        <f t="shared" si="27"/>
        <v>44593</v>
      </c>
      <c r="AP38" s="167">
        <v>63.23</v>
      </c>
      <c r="AQ38" s="168">
        <v>2.36</v>
      </c>
      <c r="AR38" s="168">
        <v>2.31</v>
      </c>
      <c r="AS38" s="168">
        <v>3.38</v>
      </c>
      <c r="AT38" s="168">
        <v>12.09</v>
      </c>
      <c r="AU38" s="168">
        <f t="shared" si="28"/>
        <v>4.67</v>
      </c>
      <c r="AV38" s="169">
        <f t="shared" si="29"/>
        <v>0.97881355932203395</v>
      </c>
      <c r="AW38" s="170">
        <f>IF(AR38&gt;0,IFERROR(GETPIVOTDATA("act_qty",RECPT!$A$43,"yymm","202202","unit","KAL","comm","L"),0),)</f>
        <v>118876.2</v>
      </c>
      <c r="AX38" s="104"/>
      <c r="AY38" s="172">
        <f t="shared" si="32"/>
        <v>44593</v>
      </c>
      <c r="AZ38" s="167">
        <v>62.93</v>
      </c>
      <c r="BA38" s="168">
        <v>2.57</v>
      </c>
      <c r="BB38" s="168">
        <v>2.31</v>
      </c>
      <c r="BC38" s="168">
        <v>3.61</v>
      </c>
      <c r="BD38" s="168">
        <v>37.39</v>
      </c>
      <c r="BE38" s="168">
        <f t="shared" si="30"/>
        <v>4.88</v>
      </c>
      <c r="BF38" s="169">
        <f t="shared" si="31"/>
        <v>0.89883268482490275</v>
      </c>
      <c r="BG38" s="170">
        <f>IF(BB38&gt;0,IFERROR(GETPIVOTDATA("act_qty",RECPT!$A$43,"yymm","202202","unit","KAL","comm","F"),0),)</f>
        <v>130194.2</v>
      </c>
    </row>
    <row r="39" spans="1:60" ht="21.5" thickBot="1" x14ac:dyDescent="0.3">
      <c r="A39" s="166">
        <f t="shared" si="33"/>
        <v>44621</v>
      </c>
      <c r="B39" s="183"/>
      <c r="C39" s="184"/>
      <c r="D39" s="184"/>
      <c r="E39" s="168"/>
      <c r="F39" s="168"/>
      <c r="G39" s="168" t="str">
        <f t="shared" si="17"/>
        <v/>
      </c>
      <c r="H39" s="169" t="str">
        <f t="shared" si="18"/>
        <v/>
      </c>
      <c r="I39" s="170">
        <f>IF(D39&gt;0,IFERROR(GETPIVOTDATA("act_qty",RECPT!$A$43,"yymm","202203","unit","GUA","comm","L"),0),)</f>
        <v>0</v>
      </c>
      <c r="J39" s="119"/>
      <c r="K39" s="166">
        <f t="shared" si="34"/>
        <v>44621</v>
      </c>
      <c r="L39" s="183"/>
      <c r="M39" s="184"/>
      <c r="N39" s="184"/>
      <c r="O39" s="168"/>
      <c r="P39" s="168"/>
      <c r="Q39" s="168" t="str">
        <f t="shared" si="19"/>
        <v/>
      </c>
      <c r="R39" s="169" t="str">
        <f t="shared" si="20"/>
        <v/>
      </c>
      <c r="S39" s="170">
        <f>IF(N39&gt;0,IFERROR(GETPIVOTDATA("act_qty",RECPT!$A$43,"yymm","202203","unit","GUA","comm","F"),0),)</f>
        <v>0</v>
      </c>
      <c r="T39" s="104"/>
      <c r="U39" s="172">
        <f t="shared" si="21"/>
        <v>44621</v>
      </c>
      <c r="V39" s="183">
        <v>61.03</v>
      </c>
      <c r="W39" s="184">
        <v>3.59</v>
      </c>
      <c r="X39" s="184">
        <v>4.1100000000000003</v>
      </c>
      <c r="Y39" s="168">
        <v>16.579999999999998</v>
      </c>
      <c r="Z39" s="168">
        <v>16.579999999999998</v>
      </c>
      <c r="AA39" s="168">
        <f t="shared" si="22"/>
        <v>7.7</v>
      </c>
      <c r="AB39" s="169">
        <f t="shared" si="23"/>
        <v>1.1448467966573816</v>
      </c>
      <c r="AC39" s="170">
        <f>IF(X39&gt;0,IFERROR(GETPIVOTDATA("act_qty",RECPT!$A$43,"yymm","202203","unit","BAR","comm","L"),0),)</f>
        <v>90075.3</v>
      </c>
      <c r="AD39" s="171"/>
      <c r="AE39" s="172">
        <f t="shared" si="24"/>
        <v>44621</v>
      </c>
      <c r="AF39" s="183">
        <v>60.29</v>
      </c>
      <c r="AG39" s="184">
        <v>3.9</v>
      </c>
      <c r="AH39" s="184">
        <v>4.71</v>
      </c>
      <c r="AI39" s="168">
        <v>4.32</v>
      </c>
      <c r="AJ39" s="168">
        <v>39.85</v>
      </c>
      <c r="AK39" s="168">
        <f t="shared" si="25"/>
        <v>8.61</v>
      </c>
      <c r="AL39" s="169">
        <f t="shared" si="26"/>
        <v>1.2076923076923076</v>
      </c>
      <c r="AM39" s="170">
        <f>IF(AH39&gt;0,IFERROR(GETPIVOTDATA("act_qty",RECPT!$A$43,"yymm","202203","unit","BAR","comm","F"),0),)</f>
        <v>125678.39999999999</v>
      </c>
      <c r="AN39" s="104"/>
      <c r="AO39" s="185">
        <f t="shared" si="27"/>
        <v>44621</v>
      </c>
      <c r="AP39" s="183">
        <v>63.19</v>
      </c>
      <c r="AQ39" s="184">
        <v>2.36</v>
      </c>
      <c r="AR39" s="184">
        <v>2.33</v>
      </c>
      <c r="AS39" s="168">
        <v>13.37</v>
      </c>
      <c r="AT39" s="168">
        <v>13.37</v>
      </c>
      <c r="AU39" s="168">
        <f t="shared" si="28"/>
        <v>4.6899999999999995</v>
      </c>
      <c r="AV39" s="169">
        <f t="shared" si="29"/>
        <v>0.98728813559322037</v>
      </c>
      <c r="AW39" s="170">
        <f>IF(AR39&gt;0,IFERROR(GETPIVOTDATA("act_qty",RECPT!$A$43,"yymm","202203","unit","KAL","comm","L"),0),)</f>
        <v>99106.6</v>
      </c>
      <c r="AX39" s="104"/>
      <c r="AY39" s="185">
        <f t="shared" si="32"/>
        <v>44621</v>
      </c>
      <c r="AZ39" s="183">
        <v>62.91</v>
      </c>
      <c r="BA39" s="184">
        <v>2.4300000000000002</v>
      </c>
      <c r="BB39" s="184">
        <v>2.41</v>
      </c>
      <c r="BC39" s="168">
        <v>3.74</v>
      </c>
      <c r="BD39" s="168">
        <v>36.83</v>
      </c>
      <c r="BE39" s="168">
        <f t="shared" si="30"/>
        <v>4.84</v>
      </c>
      <c r="BF39" s="169">
        <f t="shared" si="31"/>
        <v>0.99176954732510292</v>
      </c>
      <c r="BG39" s="235">
        <f>IF(BB39&gt;0,IFERROR(GETPIVOTDATA("act_qty",RECPT!$A$43,"yymm","202203","unit","KAL","comm","F"),0),)</f>
        <v>86077.6</v>
      </c>
    </row>
    <row r="40" spans="1:60" ht="21.5" thickBot="1" x14ac:dyDescent="0.3">
      <c r="A40" s="191" t="s">
        <v>42</v>
      </c>
      <c r="B40" s="192"/>
      <c r="C40" s="192"/>
      <c r="D40" s="192"/>
      <c r="E40" s="192"/>
      <c r="F40" s="192"/>
      <c r="G40" s="193" t="str">
        <f t="shared" si="17"/>
        <v/>
      </c>
      <c r="H40" s="194" t="str">
        <f t="shared" si="18"/>
        <v/>
      </c>
      <c r="I40" s="195">
        <f>SUM(I28:I39)</f>
        <v>0</v>
      </c>
      <c r="J40" s="119"/>
      <c r="K40" s="191" t="s">
        <v>42</v>
      </c>
      <c r="L40" s="192"/>
      <c r="M40" s="192"/>
      <c r="N40" s="192"/>
      <c r="O40" s="192"/>
      <c r="P40" s="192"/>
      <c r="Q40" s="193" t="str">
        <f t="shared" si="19"/>
        <v/>
      </c>
      <c r="R40" s="194" t="str">
        <f t="shared" si="20"/>
        <v/>
      </c>
      <c r="S40" s="195">
        <f>SUM(S28:S39)</f>
        <v>0</v>
      </c>
      <c r="T40" s="104"/>
      <c r="U40" s="191" t="str">
        <f t="shared" si="21"/>
        <v>CUMML</v>
      </c>
      <c r="V40" s="192">
        <v>61.4</v>
      </c>
      <c r="W40" s="192">
        <v>3.85</v>
      </c>
      <c r="X40" s="192">
        <v>3.41</v>
      </c>
      <c r="Y40" s="192">
        <v>14.27</v>
      </c>
      <c r="Z40" s="192">
        <v>16.829999999999998</v>
      </c>
      <c r="AA40" s="193">
        <f t="shared" si="22"/>
        <v>7.26</v>
      </c>
      <c r="AB40" s="194">
        <f t="shared" si="23"/>
        <v>0.88571428571428568</v>
      </c>
      <c r="AC40" s="195">
        <f>SUM(AC28:AC39)</f>
        <v>601186.93000000005</v>
      </c>
      <c r="AD40" s="171"/>
      <c r="AE40" s="196" t="str">
        <f t="shared" si="24"/>
        <v>CUMML</v>
      </c>
      <c r="AF40" s="192">
        <v>60.32</v>
      </c>
      <c r="AG40" s="192">
        <v>4.6500000000000004</v>
      </c>
      <c r="AH40" s="192">
        <v>3.94</v>
      </c>
      <c r="AI40" s="192">
        <v>1.79</v>
      </c>
      <c r="AJ40" s="192">
        <v>13.91</v>
      </c>
      <c r="AK40" s="193">
        <f t="shared" si="25"/>
        <v>8.59</v>
      </c>
      <c r="AL40" s="194">
        <f t="shared" si="26"/>
        <v>0.84731182795698912</v>
      </c>
      <c r="AM40" s="195">
        <f>SUM(AM28:AM39)</f>
        <v>1028307.91</v>
      </c>
      <c r="AN40" s="104"/>
      <c r="AO40" s="197" t="str">
        <f t="shared" si="27"/>
        <v>CUMML</v>
      </c>
      <c r="AP40" s="192">
        <v>63.16</v>
      </c>
      <c r="AQ40" s="192">
        <v>2.4700000000000002</v>
      </c>
      <c r="AR40" s="192">
        <v>2.29</v>
      </c>
      <c r="AS40" s="192">
        <v>4.74</v>
      </c>
      <c r="AT40" s="192">
        <v>12.68</v>
      </c>
      <c r="AU40" s="193">
        <f t="shared" si="28"/>
        <v>4.76</v>
      </c>
      <c r="AV40" s="194">
        <f t="shared" si="29"/>
        <v>0.92712550607287447</v>
      </c>
      <c r="AW40" s="195">
        <f>SUM(AW28:AW39)</f>
        <v>1319707.3</v>
      </c>
      <c r="AX40" s="104"/>
      <c r="AY40" s="197" t="str">
        <f t="shared" si="32"/>
        <v>CUMML</v>
      </c>
      <c r="AZ40" s="192">
        <v>62.86</v>
      </c>
      <c r="BA40" s="192">
        <v>2.65</v>
      </c>
      <c r="BB40" s="192">
        <v>2.33</v>
      </c>
      <c r="BC40" s="192">
        <v>2.16</v>
      </c>
      <c r="BD40" s="192">
        <v>21.7</v>
      </c>
      <c r="BE40" s="193">
        <f t="shared" si="30"/>
        <v>4.9800000000000004</v>
      </c>
      <c r="BF40" s="194">
        <f t="shared" si="31"/>
        <v>0.87924528301886795</v>
      </c>
      <c r="BG40" s="195">
        <f>SUM(BG28:BG39)</f>
        <v>1842522.0000000002</v>
      </c>
    </row>
    <row r="41" spans="1:60" s="7" customFormat="1" ht="15.75" customHeight="1" x14ac:dyDescent="0.4">
      <c r="A41" s="209"/>
      <c r="B41" s="209"/>
      <c r="C41" s="209"/>
      <c r="D41" s="209"/>
      <c r="E41" s="209"/>
      <c r="F41" s="209"/>
      <c r="G41" s="209"/>
      <c r="H41" s="209"/>
      <c r="I41" s="209"/>
      <c r="J41" s="209"/>
      <c r="K41" s="209"/>
      <c r="L41" s="205" t="e">
        <f>L35*1.4298+Q35</f>
        <v>#VALUE!</v>
      </c>
      <c r="M41" s="209"/>
      <c r="N41" s="209"/>
      <c r="O41" s="209"/>
      <c r="P41" s="209"/>
      <c r="Q41" s="209"/>
      <c r="R41" s="209"/>
      <c r="S41" s="209"/>
      <c r="T41" s="165"/>
      <c r="U41" s="165"/>
      <c r="V41" s="205">
        <f>V35*1.4298+AA35</f>
        <v>95.05313000000001</v>
      </c>
      <c r="W41" s="165"/>
      <c r="X41" s="165"/>
      <c r="Y41" s="165"/>
      <c r="Z41" s="165"/>
      <c r="AA41" s="165"/>
      <c r="AB41" s="165"/>
      <c r="AC41" s="165"/>
      <c r="AD41" s="165"/>
      <c r="AE41" s="165"/>
      <c r="AF41" s="205">
        <f>AF35*1.4298+AK35</f>
        <v>94.845278000000008</v>
      </c>
      <c r="AG41" s="165"/>
      <c r="AH41" s="165"/>
      <c r="AI41" s="165"/>
      <c r="AJ41" s="165"/>
      <c r="AK41" s="165"/>
      <c r="AL41" s="165"/>
      <c r="AM41" s="165"/>
      <c r="AN41" s="209"/>
      <c r="AO41" s="209"/>
      <c r="AP41" s="205">
        <f>AP35*1.4298+AU35</f>
        <v>95.011869999999988</v>
      </c>
      <c r="AQ41" s="209"/>
      <c r="AR41" s="209"/>
      <c r="AS41" s="209"/>
      <c r="AT41" s="209"/>
      <c r="AU41" s="209"/>
      <c r="AV41" s="209"/>
      <c r="AW41" s="209"/>
      <c r="AX41" s="209"/>
      <c r="AY41" s="209"/>
      <c r="AZ41" s="205">
        <f>AZ35*1.4298+BE35</f>
        <v>94.864419999999996</v>
      </c>
      <c r="BA41" s="209"/>
      <c r="BB41" s="209"/>
      <c r="BC41" s="209"/>
      <c r="BD41" s="209"/>
      <c r="BE41" s="209"/>
      <c r="BF41" s="209"/>
      <c r="BG41" s="209"/>
      <c r="BH41" s="16"/>
    </row>
    <row r="42" spans="1:60" s="18" customFormat="1" ht="26.25" customHeight="1" x14ac:dyDescent="0.4">
      <c r="A42" s="211"/>
      <c r="B42" s="212"/>
      <c r="C42" s="212"/>
      <c r="D42" s="212"/>
      <c r="E42" s="212"/>
      <c r="F42" s="212"/>
      <c r="G42" s="212"/>
      <c r="H42" s="212"/>
      <c r="I42" s="283"/>
      <c r="J42" s="212"/>
      <c r="K42" s="211"/>
      <c r="L42" s="212" t="e">
        <f>L40*1.4298+Q40</f>
        <v>#VALUE!</v>
      </c>
      <c r="M42" s="212"/>
      <c r="N42" s="212"/>
      <c r="O42" s="212"/>
      <c r="P42" s="212"/>
      <c r="Q42" s="212"/>
      <c r="R42" s="212"/>
      <c r="S42" s="283"/>
      <c r="T42" s="213"/>
      <c r="U42" s="213"/>
      <c r="V42" s="212">
        <f>V40*1.4298+AA40</f>
        <v>95.049719999999994</v>
      </c>
      <c r="W42" s="212"/>
      <c r="X42" s="212"/>
      <c r="Y42" s="212"/>
      <c r="Z42" s="212"/>
      <c r="AA42" s="212"/>
      <c r="AB42" s="212"/>
      <c r="AC42" s="283"/>
      <c r="AD42" s="213"/>
      <c r="AE42" s="213"/>
      <c r="AF42" s="212">
        <f>AF40*1.4298+AK40</f>
        <v>94.835536000000005</v>
      </c>
      <c r="AG42" s="212"/>
      <c r="AH42" s="212"/>
      <c r="AI42" s="212"/>
      <c r="AJ42" s="212"/>
      <c r="AK42" s="212"/>
      <c r="AL42" s="212"/>
      <c r="AM42" s="213"/>
      <c r="AN42" s="212"/>
      <c r="AO42" s="212"/>
      <c r="AP42" s="212">
        <f>AP40*1.4298+AU40</f>
        <v>95.066168000000005</v>
      </c>
      <c r="AQ42" s="212"/>
      <c r="AR42" s="212"/>
      <c r="AS42" s="212"/>
      <c r="AT42" s="212"/>
      <c r="AU42" s="212"/>
      <c r="AV42" s="212"/>
      <c r="AW42" s="212"/>
      <c r="AX42" s="212"/>
      <c r="AY42" s="212"/>
      <c r="AZ42" s="212">
        <f>AZ40*1.4298+BE40</f>
        <v>94.857228000000006</v>
      </c>
      <c r="BA42" s="212"/>
      <c r="BB42" s="212"/>
      <c r="BC42" s="212"/>
      <c r="BD42" s="212"/>
      <c r="BE42" s="212"/>
      <c r="BF42" s="212"/>
      <c r="BG42" s="212"/>
      <c r="BH42" s="17"/>
    </row>
    <row r="43" spans="1:60" s="12" customFormat="1" ht="18.75" customHeight="1" x14ac:dyDescent="0.25">
      <c r="A43" s="221"/>
      <c r="B43" s="205"/>
      <c r="C43" s="205"/>
      <c r="D43" s="205"/>
      <c r="E43" s="205"/>
      <c r="F43" s="205"/>
      <c r="G43" s="205"/>
      <c r="H43" s="205"/>
      <c r="I43" s="222"/>
      <c r="J43" s="212"/>
      <c r="K43" s="221"/>
      <c r="L43" s="205"/>
      <c r="M43" s="205"/>
      <c r="N43" s="205"/>
      <c r="O43" s="205"/>
      <c r="P43" s="205"/>
      <c r="Q43" s="205"/>
      <c r="R43" s="205"/>
      <c r="S43" s="213"/>
      <c r="T43" s="213"/>
      <c r="U43" s="223"/>
      <c r="V43" s="224"/>
      <c r="W43" s="224"/>
      <c r="X43" s="224"/>
      <c r="Y43" s="224"/>
      <c r="Z43" s="224"/>
      <c r="AA43" s="224"/>
      <c r="AB43" s="224"/>
      <c r="AC43" s="224"/>
      <c r="AD43" s="213"/>
      <c r="AE43" s="223"/>
      <c r="AF43" s="224"/>
      <c r="AG43" s="224"/>
      <c r="AH43" s="224"/>
      <c r="AI43" s="224"/>
      <c r="AJ43" s="224"/>
      <c r="AK43" s="224"/>
      <c r="AL43" s="224"/>
      <c r="AM43" s="213"/>
      <c r="AN43" s="213"/>
      <c r="AO43" s="223"/>
      <c r="AP43" s="224"/>
      <c r="AQ43" s="224"/>
      <c r="AR43" s="224"/>
      <c r="AS43" s="224"/>
      <c r="AT43" s="224"/>
      <c r="AU43" s="224"/>
      <c r="AV43" s="224"/>
      <c r="AW43" s="213"/>
      <c r="AX43" s="213"/>
      <c r="AY43" s="223"/>
      <c r="AZ43" s="224"/>
      <c r="BA43" s="224"/>
      <c r="BB43" s="224"/>
      <c r="BC43" s="224"/>
      <c r="BD43" s="224"/>
      <c r="BE43" s="224"/>
      <c r="BF43" s="224"/>
      <c r="BG43" s="213"/>
    </row>
    <row r="44" spans="1:60" s="19" customFormat="1" ht="29" customHeight="1" x14ac:dyDescent="0.6">
      <c r="A44" s="586" t="s">
        <v>46</v>
      </c>
      <c r="B44" s="586"/>
      <c r="C44" s="586"/>
      <c r="D44" s="585" t="s">
        <v>30</v>
      </c>
      <c r="E44" s="585"/>
      <c r="F44" s="585"/>
      <c r="G44" s="246"/>
      <c r="H44" s="246"/>
      <c r="I44" s="246"/>
      <c r="J44" s="104"/>
      <c r="K44" s="586" t="s">
        <v>46</v>
      </c>
      <c r="L44" s="586"/>
      <c r="M44" s="586"/>
      <c r="N44" s="585" t="s">
        <v>31</v>
      </c>
      <c r="O44" s="585"/>
      <c r="P44" s="585"/>
      <c r="Q44" s="246"/>
      <c r="R44" s="246"/>
      <c r="S44" s="104"/>
      <c r="T44" s="104"/>
      <c r="U44" s="586" t="s">
        <v>47</v>
      </c>
      <c r="V44" s="586"/>
      <c r="W44" s="586"/>
      <c r="X44" s="585" t="s">
        <v>30</v>
      </c>
      <c r="Y44" s="585"/>
      <c r="Z44" s="585"/>
      <c r="AA44" s="246"/>
      <c r="AB44" s="246"/>
      <c r="AC44" s="246"/>
      <c r="AD44" s="104"/>
      <c r="AE44" s="586" t="s">
        <v>47</v>
      </c>
      <c r="AF44" s="586"/>
      <c r="AG44" s="586"/>
      <c r="AH44" s="585" t="s">
        <v>31</v>
      </c>
      <c r="AI44" s="585"/>
      <c r="AJ44" s="585"/>
      <c r="AK44" s="246"/>
      <c r="AL44" s="246"/>
      <c r="AM44" s="104"/>
      <c r="AN44" s="104"/>
      <c r="AO44" s="586" t="s">
        <v>48</v>
      </c>
      <c r="AP44" s="586"/>
      <c r="AQ44" s="586"/>
      <c r="AR44" s="585" t="s">
        <v>30</v>
      </c>
      <c r="AS44" s="585"/>
      <c r="AT44" s="585"/>
      <c r="AU44" s="246"/>
      <c r="AV44" s="246"/>
      <c r="AW44" s="246"/>
      <c r="AX44" s="104"/>
      <c r="AY44" s="586" t="s">
        <v>48</v>
      </c>
      <c r="AZ44" s="586"/>
      <c r="BA44" s="586"/>
      <c r="BB44" s="585" t="s">
        <v>31</v>
      </c>
      <c r="BC44" s="585"/>
      <c r="BD44" s="585"/>
      <c r="BE44" s="246"/>
      <c r="BF44" s="246"/>
      <c r="BG44" s="246"/>
    </row>
    <row r="45" spans="1:60" ht="13.5" thickBot="1" x14ac:dyDescent="0.3">
      <c r="A45" s="103"/>
      <c r="B45" s="103"/>
      <c r="C45" s="103"/>
      <c r="D45" s="103"/>
      <c r="E45" s="103"/>
      <c r="F45" s="103"/>
      <c r="G45" s="103"/>
      <c r="H45" s="103"/>
      <c r="I45" s="103"/>
      <c r="J45" s="104"/>
      <c r="K45" s="103"/>
      <c r="L45" s="103"/>
      <c r="M45" s="103"/>
      <c r="N45" s="103"/>
      <c r="O45" s="103"/>
      <c r="P45" s="103"/>
      <c r="Q45" s="103"/>
      <c r="R45" s="103"/>
      <c r="S45" s="104"/>
      <c r="T45" s="104"/>
      <c r="U45" s="103"/>
      <c r="V45" s="103"/>
      <c r="W45" s="103"/>
      <c r="X45" s="103"/>
      <c r="Y45" s="103"/>
      <c r="Z45" s="103"/>
      <c r="AA45" s="103"/>
      <c r="AB45" s="103"/>
      <c r="AC45" s="103"/>
      <c r="AD45" s="104"/>
      <c r="AE45" s="103"/>
      <c r="AF45" s="103"/>
      <c r="AG45" s="103"/>
      <c r="AH45" s="103"/>
      <c r="AI45" s="103"/>
      <c r="AJ45" s="103"/>
      <c r="AK45" s="103"/>
      <c r="AL45" s="103"/>
      <c r="AM45" s="104"/>
      <c r="AN45" s="104"/>
      <c r="AO45" s="103"/>
      <c r="AP45" s="103"/>
      <c r="AQ45" s="103"/>
      <c r="AR45" s="103"/>
      <c r="AS45" s="103"/>
      <c r="AT45" s="103"/>
      <c r="AU45" s="103"/>
      <c r="AV45" s="103"/>
      <c r="AW45" s="103"/>
      <c r="AX45" s="104"/>
      <c r="AY45" s="103"/>
      <c r="AZ45" s="103"/>
      <c r="BA45" s="103"/>
      <c r="BB45" s="103"/>
      <c r="BC45" s="103"/>
      <c r="BD45" s="103"/>
      <c r="BE45" s="103"/>
      <c r="BF45" s="103"/>
      <c r="BG45" s="103"/>
    </row>
    <row r="46" spans="1:60" ht="25" thickBot="1" x14ac:dyDescent="0.3">
      <c r="A46" s="119"/>
      <c r="B46" s="120" t="s">
        <v>34</v>
      </c>
      <c r="C46" s="121" t="s">
        <v>35</v>
      </c>
      <c r="D46" s="121" t="s">
        <v>36</v>
      </c>
      <c r="E46" s="121" t="s">
        <v>37</v>
      </c>
      <c r="F46" s="121" t="s">
        <v>38</v>
      </c>
      <c r="G46" s="124" t="s">
        <v>39</v>
      </c>
      <c r="H46" s="121" t="s">
        <v>40</v>
      </c>
      <c r="I46" s="123" t="s">
        <v>41</v>
      </c>
      <c r="J46" s="104"/>
      <c r="K46" s="119"/>
      <c r="L46" s="120" t="s">
        <v>34</v>
      </c>
      <c r="M46" s="121" t="s">
        <v>35</v>
      </c>
      <c r="N46" s="121" t="s">
        <v>36</v>
      </c>
      <c r="O46" s="121" t="s">
        <v>37</v>
      </c>
      <c r="P46" s="121" t="s">
        <v>38</v>
      </c>
      <c r="Q46" s="124" t="s">
        <v>39</v>
      </c>
      <c r="R46" s="121" t="s">
        <v>40</v>
      </c>
      <c r="S46" s="123" t="s">
        <v>41</v>
      </c>
      <c r="T46" s="104"/>
      <c r="U46" s="119"/>
      <c r="V46" s="120" t="s">
        <v>34</v>
      </c>
      <c r="W46" s="121" t="s">
        <v>35</v>
      </c>
      <c r="X46" s="121" t="s">
        <v>36</v>
      </c>
      <c r="Y46" s="121" t="s">
        <v>37</v>
      </c>
      <c r="Z46" s="121" t="s">
        <v>38</v>
      </c>
      <c r="AA46" s="124" t="s">
        <v>39</v>
      </c>
      <c r="AB46" s="121" t="s">
        <v>40</v>
      </c>
      <c r="AC46" s="123" t="s">
        <v>41</v>
      </c>
      <c r="AD46" s="104"/>
      <c r="AE46" s="119"/>
      <c r="AF46" s="120" t="s">
        <v>34</v>
      </c>
      <c r="AG46" s="121" t="s">
        <v>35</v>
      </c>
      <c r="AH46" s="121" t="s">
        <v>36</v>
      </c>
      <c r="AI46" s="121" t="s">
        <v>37</v>
      </c>
      <c r="AJ46" s="121" t="s">
        <v>38</v>
      </c>
      <c r="AK46" s="124" t="s">
        <v>39</v>
      </c>
      <c r="AL46" s="121" t="s">
        <v>40</v>
      </c>
      <c r="AM46" s="123" t="s">
        <v>41</v>
      </c>
      <c r="AN46" s="104"/>
      <c r="AO46" s="126"/>
      <c r="AP46" s="120" t="s">
        <v>34</v>
      </c>
      <c r="AQ46" s="121" t="s">
        <v>35</v>
      </c>
      <c r="AR46" s="121" t="s">
        <v>36</v>
      </c>
      <c r="AS46" s="121" t="s">
        <v>37</v>
      </c>
      <c r="AT46" s="125" t="s">
        <v>38</v>
      </c>
      <c r="AU46" s="124" t="s">
        <v>39</v>
      </c>
      <c r="AV46" s="121" t="s">
        <v>40</v>
      </c>
      <c r="AW46" s="250" t="s">
        <v>41</v>
      </c>
      <c r="AX46" s="251"/>
      <c r="AY46" s="126"/>
      <c r="AZ46" s="120" t="s">
        <v>34</v>
      </c>
      <c r="BA46" s="121" t="s">
        <v>35</v>
      </c>
      <c r="BB46" s="121" t="s">
        <v>36</v>
      </c>
      <c r="BC46" s="121" t="s">
        <v>37</v>
      </c>
      <c r="BD46" s="125" t="s">
        <v>38</v>
      </c>
      <c r="BE46" s="124" t="s">
        <v>39</v>
      </c>
      <c r="BF46" s="121" t="s">
        <v>40</v>
      </c>
      <c r="BG46" s="250" t="s">
        <v>41</v>
      </c>
      <c r="BH46" s="20"/>
    </row>
    <row r="47" spans="1:60" ht="21.5" thickBot="1" x14ac:dyDescent="0.3">
      <c r="A47" s="132" t="str">
        <f>A5</f>
        <v>Act 20-21</v>
      </c>
      <c r="B47" s="133">
        <v>62.86</v>
      </c>
      <c r="C47" s="133">
        <v>2.58</v>
      </c>
      <c r="D47" s="133">
        <v>2.63</v>
      </c>
      <c r="E47" s="168">
        <v>6.11</v>
      </c>
      <c r="F47" s="168">
        <v>15.95</v>
      </c>
      <c r="G47" s="134">
        <f t="shared" ref="G47:G61" si="35">IF(C47&gt;0,+D47+C47,"")</f>
        <v>5.21</v>
      </c>
      <c r="H47" s="134">
        <f t="shared" ref="H47:H61" si="36">IF(C47&gt;0,+D47/C47,"")</f>
        <v>1.0193798449612403</v>
      </c>
      <c r="I47" s="135"/>
      <c r="J47" s="104"/>
      <c r="K47" s="132" t="str">
        <f>A5</f>
        <v>Act 20-21</v>
      </c>
      <c r="L47" s="133">
        <v>62.48</v>
      </c>
      <c r="M47" s="133">
        <v>2.63</v>
      </c>
      <c r="N47" s="133">
        <v>2.75</v>
      </c>
      <c r="O47" s="168">
        <v>5.71</v>
      </c>
      <c r="P47" s="168">
        <v>38.61</v>
      </c>
      <c r="Q47" s="134">
        <f t="shared" ref="Q47:Q61" si="37">IF(M47&gt;0,+N47+M47,"")</f>
        <v>5.38</v>
      </c>
      <c r="R47" s="134">
        <f t="shared" ref="R47:R61" si="38">IF(M47&gt;0,+N47/M47,"")</f>
        <v>1.0456273764258555</v>
      </c>
      <c r="S47" s="135"/>
      <c r="T47" s="104"/>
      <c r="U47" s="132" t="str">
        <f>K47</f>
        <v>Act 20-21</v>
      </c>
      <c r="V47" s="133">
        <v>63.25</v>
      </c>
      <c r="W47" s="133">
        <v>2.29</v>
      </c>
      <c r="X47" s="133">
        <v>2.36</v>
      </c>
      <c r="Y47" s="168">
        <v>3.27</v>
      </c>
      <c r="Z47" s="168">
        <v>7.08</v>
      </c>
      <c r="AA47" s="134">
        <f t="shared" ref="AA47:AA61" si="39">IF(W47&gt;0,+X47+W47,"")</f>
        <v>4.6500000000000004</v>
      </c>
      <c r="AB47" s="134">
        <f t="shared" ref="AB47:AB61" si="40">IF(W47&gt;0,+X47/W47,"")</f>
        <v>1.0305676855895196</v>
      </c>
      <c r="AC47" s="135"/>
      <c r="AD47" s="104"/>
      <c r="AE47" s="132" t="str">
        <f>K47</f>
        <v>Act 20-21</v>
      </c>
      <c r="AF47" s="139">
        <v>63.07</v>
      </c>
      <c r="AG47" s="134">
        <v>2.2999999999999998</v>
      </c>
      <c r="AH47" s="134">
        <v>2.37</v>
      </c>
      <c r="AI47" s="168">
        <v>5.84</v>
      </c>
      <c r="AJ47" s="168">
        <v>34.700000000000003</v>
      </c>
      <c r="AK47" s="134">
        <f t="shared" ref="AK47:AK61" si="41">IF(AG47&gt;0,+AH47+AG47,"")</f>
        <v>4.67</v>
      </c>
      <c r="AL47" s="134">
        <f t="shared" ref="AL47:AL61" si="42">IF(AG47&gt;0,+AH47/AG47,"")</f>
        <v>1.0304347826086957</v>
      </c>
      <c r="AM47" s="140"/>
      <c r="AN47" s="104"/>
      <c r="AO47" s="136" t="str">
        <f>AE47</f>
        <v>Act 20-21</v>
      </c>
      <c r="AP47" s="133">
        <v>62.796078285355989</v>
      </c>
      <c r="AQ47" s="133">
        <v>2.7007496596933249</v>
      </c>
      <c r="AR47" s="133">
        <v>2.5992193763894429</v>
      </c>
      <c r="AS47" s="133">
        <v>6.7853205267058083</v>
      </c>
      <c r="AT47" s="133">
        <v>15.72</v>
      </c>
      <c r="AU47" s="134">
        <f t="shared" ref="AU47:AU61" si="43">IF(AQ47&gt;0,+AR47+AQ47,"")</f>
        <v>5.2999690360827678</v>
      </c>
      <c r="AV47" s="134">
        <f t="shared" ref="AV47:AV48" si="44">IF(AQ47=0,0,AR47/AQ47)</f>
        <v>0.96240662923367326</v>
      </c>
      <c r="AW47" s="140"/>
      <c r="AX47" s="104"/>
      <c r="AY47" s="136" t="str">
        <f>+AO47</f>
        <v>Act 20-21</v>
      </c>
      <c r="AZ47" s="133">
        <v>61.888860512375857</v>
      </c>
      <c r="BA47" s="133">
        <v>3.4879286407420671</v>
      </c>
      <c r="BB47" s="133">
        <v>2.8581006097917419</v>
      </c>
      <c r="BC47" s="133"/>
      <c r="BD47" s="133"/>
      <c r="BE47" s="134">
        <f t="shared" ref="BE47:BE61" si="45">IF(BA47&gt;0,+BB47+BA47,"")</f>
        <v>6.3460292505338085</v>
      </c>
      <c r="BF47" s="134">
        <f t="shared" ref="BF47:BF48" si="46">IF(BA47=0,0,BB47/BA47)</f>
        <v>0.81942634273150516</v>
      </c>
      <c r="BG47" s="140"/>
    </row>
    <row r="48" spans="1:60" ht="21" x14ac:dyDescent="0.25">
      <c r="A48" s="145" t="str">
        <f>A6</f>
        <v>APP 21-22</v>
      </c>
      <c r="B48" s="146">
        <f t="array" ref="B48:F48">BSP!B48:F48</f>
        <v>62.5</v>
      </c>
      <c r="C48" s="147">
        <v>2.4</v>
      </c>
      <c r="D48" s="147">
        <v>2.4</v>
      </c>
      <c r="E48" s="147">
        <v>5</v>
      </c>
      <c r="F48" s="147">
        <v>10</v>
      </c>
      <c r="G48" s="147">
        <f t="shared" si="35"/>
        <v>4.8</v>
      </c>
      <c r="H48" s="148">
        <f t="shared" si="36"/>
        <v>1</v>
      </c>
      <c r="I48" s="149"/>
      <c r="J48" s="153"/>
      <c r="K48" s="145" t="str">
        <f>A6</f>
        <v>APP 21-22</v>
      </c>
      <c r="L48" s="146">
        <f t="array" ref="L48:P48">BSP!L48:P48</f>
        <v>62.2</v>
      </c>
      <c r="M48" s="147">
        <v>3</v>
      </c>
      <c r="N48" s="147">
        <v>3</v>
      </c>
      <c r="O48" s="147">
        <v>5</v>
      </c>
      <c r="P48" s="147">
        <v>40</v>
      </c>
      <c r="Q48" s="147">
        <f t="shared" si="37"/>
        <v>6</v>
      </c>
      <c r="R48" s="148">
        <f t="shared" si="38"/>
        <v>1</v>
      </c>
      <c r="S48" s="149"/>
      <c r="T48" s="104"/>
      <c r="U48" s="145" t="str">
        <f>K48</f>
        <v>APP 21-22</v>
      </c>
      <c r="V48" s="146">
        <f t="array" ref="V48:Z48">BSP!V48:AA48</f>
        <v>63</v>
      </c>
      <c r="W48" s="147">
        <v>2.5</v>
      </c>
      <c r="X48" s="147">
        <v>2.2000000000000002</v>
      </c>
      <c r="Y48" s="147">
        <v>10</v>
      </c>
      <c r="Z48" s="147">
        <v>10</v>
      </c>
      <c r="AA48" s="147">
        <f t="shared" si="39"/>
        <v>4.7</v>
      </c>
      <c r="AB48" s="148">
        <f t="shared" si="40"/>
        <v>0.88000000000000012</v>
      </c>
      <c r="AC48" s="149"/>
      <c r="AD48" s="153"/>
      <c r="AE48" s="145" t="str">
        <f>K48</f>
        <v>APP 21-22</v>
      </c>
      <c r="AF48" s="147">
        <f t="array" ref="AF48:AJ48">BSP!AF48:AJ48</f>
        <v>63</v>
      </c>
      <c r="AG48" s="147">
        <v>2.8</v>
      </c>
      <c r="AH48" s="147">
        <v>2.4</v>
      </c>
      <c r="AI48" s="147">
        <v>5</v>
      </c>
      <c r="AJ48" s="147">
        <v>40</v>
      </c>
      <c r="AK48" s="147">
        <f t="shared" si="41"/>
        <v>5.1999999999999993</v>
      </c>
      <c r="AL48" s="154">
        <f t="shared" si="42"/>
        <v>0.85714285714285721</v>
      </c>
      <c r="AM48" s="155"/>
      <c r="AN48" s="104"/>
      <c r="AO48" s="156" t="str">
        <f t="shared" ref="AO48:AO61" si="47">K48</f>
        <v>APP 21-22</v>
      </c>
      <c r="AP48" s="146">
        <v>62.697014925373132</v>
      </c>
      <c r="AQ48" s="147">
        <v>2.6779850746268656</v>
      </c>
      <c r="AR48" s="147">
        <v>2.4588619402985072</v>
      </c>
      <c r="AS48" s="147">
        <v>10</v>
      </c>
      <c r="AT48" s="147">
        <v>10</v>
      </c>
      <c r="AU48" s="147">
        <f t="shared" si="43"/>
        <v>5.1368470149253724</v>
      </c>
      <c r="AV48" s="148">
        <f t="shared" si="44"/>
        <v>0.91817611815521794</v>
      </c>
      <c r="AW48" s="155">
        <f t="shared" ref="AW48:AW60" si="48">+I6+I27+I48+AC6+AC27+AC48+AW6+AW27</f>
        <v>0</v>
      </c>
      <c r="AX48" s="152"/>
      <c r="AY48" s="156" t="str">
        <f>+AO48</f>
        <v>APP 21-22</v>
      </c>
      <c r="AZ48" s="146">
        <v>62.18045064377683</v>
      </c>
      <c r="BA48" s="147">
        <v>3.3954506437768237</v>
      </c>
      <c r="BB48" s="147">
        <v>2.8984549356223175</v>
      </c>
      <c r="BC48" s="147">
        <v>5</v>
      </c>
      <c r="BD48" s="147">
        <v>40</v>
      </c>
      <c r="BE48" s="147">
        <f t="shared" si="45"/>
        <v>6.2939055793991407</v>
      </c>
      <c r="BF48" s="148">
        <f t="shared" si="46"/>
        <v>0.85362894051621718</v>
      </c>
      <c r="BG48" s="155">
        <f t="shared" ref="BG48:BG60" si="49">+S6+S27+S48+AM6+AM27+AM48+BG6+BG27</f>
        <v>0</v>
      </c>
    </row>
    <row r="49" spans="1:59" ht="21" x14ac:dyDescent="0.25">
      <c r="A49" s="166">
        <f>A7</f>
        <v>44287</v>
      </c>
      <c r="B49" s="167">
        <v>62.7</v>
      </c>
      <c r="C49" s="168">
        <v>2.85</v>
      </c>
      <c r="D49" s="168">
        <v>2.5499999999999998</v>
      </c>
      <c r="E49" s="168">
        <v>9.5</v>
      </c>
      <c r="F49" s="168">
        <v>17</v>
      </c>
      <c r="G49" s="168">
        <f t="shared" si="35"/>
        <v>5.4</v>
      </c>
      <c r="H49" s="169">
        <f t="shared" si="36"/>
        <v>0.89473684210526305</v>
      </c>
      <c r="I49" s="170">
        <f>IF(D49&gt;0,IFERROR(GETPIVOTDATA("act_qty",RECPT!$A$43,"yymm","202104","unit","TAL","comm","L"),0),)</f>
        <v>51437</v>
      </c>
      <c r="J49" s="171"/>
      <c r="K49" s="166">
        <f>A7</f>
        <v>44287</v>
      </c>
      <c r="L49" s="167">
        <v>62</v>
      </c>
      <c r="M49" s="168">
        <v>3.45</v>
      </c>
      <c r="N49" s="168">
        <v>2.9</v>
      </c>
      <c r="O49" s="168">
        <v>6.2</v>
      </c>
      <c r="P49" s="168">
        <v>38.700000000000003</v>
      </c>
      <c r="Q49" s="168">
        <f t="shared" si="37"/>
        <v>6.35</v>
      </c>
      <c r="R49" s="169">
        <f t="shared" si="38"/>
        <v>0.84057971014492749</v>
      </c>
      <c r="S49" s="170">
        <f>IF(N49&gt;0,IFERROR(GETPIVOTDATA("act_qty",RECPT!$A$43,"yymm","202104","unit","TAL","comm","F"),0),)</f>
        <v>99125</v>
      </c>
      <c r="T49" s="104"/>
      <c r="U49" s="166">
        <f>A7</f>
        <v>44287</v>
      </c>
      <c r="V49" s="167"/>
      <c r="W49" s="168"/>
      <c r="X49" s="168"/>
      <c r="Y49" s="168"/>
      <c r="Z49" s="168"/>
      <c r="AA49" s="168" t="str">
        <f t="shared" si="39"/>
        <v/>
      </c>
      <c r="AB49" s="169" t="str">
        <f t="shared" si="40"/>
        <v/>
      </c>
      <c r="AC49" s="170">
        <f>IF(X49&gt;0,IFERROR(GETPIVOTDATA("act_qty",RECPT!$A$43,"yymm","202104","unit","MPR","comm","L"),0),)</f>
        <v>0</v>
      </c>
      <c r="AD49" s="171"/>
      <c r="AE49" s="166">
        <f>A7</f>
        <v>44287</v>
      </c>
      <c r="AF49" s="167"/>
      <c r="AG49" s="168"/>
      <c r="AH49" s="168"/>
      <c r="AI49" s="168"/>
      <c r="AJ49" s="168"/>
      <c r="AK49" s="168" t="str">
        <f t="shared" si="41"/>
        <v/>
      </c>
      <c r="AL49" s="169" t="str">
        <f t="shared" si="42"/>
        <v/>
      </c>
      <c r="AM49" s="170">
        <f>IF(AH49&gt;0,IFERROR(GETPIVOTDATA("act_qty",RECPT!$A$43,"yymm","202104","unit","MPR","comm","F"),0),)</f>
        <v>0</v>
      </c>
      <c r="AN49" s="104"/>
      <c r="AO49" s="172">
        <f t="shared" si="47"/>
        <v>44287</v>
      </c>
      <c r="AP49" s="167">
        <f t="shared" ref="AP49:AP60" si="50">IF(AW49=0,0,(B7*$I7+B28*$I28+B49*$I49+V7*$AC7+V28*$AC28+V49*$AC49+AP7*$AW7+AP28*$AW28)/$AW49)</f>
        <v>62.998673557328402</v>
      </c>
      <c r="AQ49" s="168">
        <f t="shared" ref="AQ49:AQ60" si="51">IF(AW49=0,0,(C7*$I7+C28*$I28+C49*$I49+W7*$AC7+W28*$AC28+W49*$AC49+AQ7*$AW7+AQ28*$AW28)/$AW49)</f>
        <v>2.6289441634026822</v>
      </c>
      <c r="AR49" s="168">
        <f t="shared" ref="AR49:AR60" si="52">IF(AW49=0,0,(D7*$I7+D28*$I28+D49*$I49+X7*$AC7+X28*$AC28+X49*$AC49+AR7*$AW7+AR28*$AW28)/$AW49)</f>
        <v>2.4162558342667673</v>
      </c>
      <c r="AS49" s="168">
        <f t="shared" ref="AS49:AS60" si="53">IF(AW49=0,0,(E7*$I7+E28*$I28+E49*$I49+Y7*$AC7+Y28*$AC28+Y49*$AC49+AS7*$AW7+AS28*$AW28)/$AW49)</f>
        <v>6.728469954588248</v>
      </c>
      <c r="AT49" s="168">
        <f t="shared" ref="AT49:AT60" si="54">IF(AW49=0,0,(F7*$I7+F28*$I28+F49*$I49+Z7*$AC7+Z28*$AC28+Z49*$AC49+AT7*$AW7+AT28*$AW28)/$AW49)</f>
        <v>12.513243194427652</v>
      </c>
      <c r="AU49" s="168">
        <f t="shared" si="43"/>
        <v>5.0451999976694495</v>
      </c>
      <c r="AV49" s="169">
        <f t="shared" ref="AV49:AV60" si="55">IF(AQ49=0,0,AR49/AQ49)</f>
        <v>0.91909743383038256</v>
      </c>
      <c r="AW49" s="170">
        <f t="shared" si="48"/>
        <v>205959.9</v>
      </c>
      <c r="AX49" s="104"/>
      <c r="AY49" s="172">
        <f t="shared" ref="AY49:AY60" si="56">AO49</f>
        <v>44287</v>
      </c>
      <c r="AZ49" s="167">
        <f t="shared" ref="AZ49:AZ60" si="57">IF(BG49=0,0,((L7*$S7+L28*$S28+L49*$S49+AF7*$AM7+AF28*$AM28+AF49*$AM49+AZ7*$BG7+AZ28*$BG28)/$BG49))</f>
        <v>61.874834374720933</v>
      </c>
      <c r="BA49" s="168">
        <f t="shared" ref="BA49:BA60" si="58">IF(BG49=0,0,((M7*$S7+M28*$S28+M49*$S49+AG7*$AM7+AG28*$AM28+AG49*$AM49+BA7*$BG7+BA28*$BG28)/$BG49))</f>
        <v>3.6906194942150279</v>
      </c>
      <c r="BB49" s="168">
        <f t="shared" ref="BB49:BB60" si="59">IF(BG49=0,0,((N7*$S7+N28*$S28+N49*$S49+AH7*$AM7+AH28*$AM28+AH49*$AM49+BB7*$BG7+BB28*$BG28)/$BG49))</f>
        <v>2.7768204782912562</v>
      </c>
      <c r="BC49" s="168">
        <f t="shared" ref="BC49:BC60" si="60">IF(BG49=0,0,((O7*$S7+O28*$S28+O49*$S49+AI7*$AM7+AI28*$AM28+AI49*$AM49+BC7*$BG7+BC28*$BG28)/$BG49))</f>
        <v>6.1294792725777008</v>
      </c>
      <c r="BD49" s="168">
        <f t="shared" ref="BD49:BD60" si="61">IF(BG49=0,0,((P7*$S7+P28*$S28+P49*$S49+AJ7*$AM7+AJ28*$AM28+AJ49*$AM49+BD7*$BG7+BD28*$BG28)/$BG49))</f>
        <v>38.623822529249587</v>
      </c>
      <c r="BE49" s="168">
        <f t="shared" si="45"/>
        <v>6.4674399725062841</v>
      </c>
      <c r="BF49" s="169">
        <f t="shared" ref="BF49:BF60" si="62">IF(BA49=0,0,BB49/BA49)</f>
        <v>0.75239955856838303</v>
      </c>
      <c r="BG49" s="170">
        <f t="shared" si="49"/>
        <v>406492.9</v>
      </c>
    </row>
    <row r="50" spans="1:59" ht="21" x14ac:dyDescent="0.25">
      <c r="A50" s="166">
        <f t="shared" ref="A50:A60" si="63">A8</f>
        <v>44317</v>
      </c>
      <c r="B50" s="167">
        <v>62.8</v>
      </c>
      <c r="C50" s="168">
        <v>2.2999999999999998</v>
      </c>
      <c r="D50" s="168">
        <v>3</v>
      </c>
      <c r="E50" s="168">
        <v>5</v>
      </c>
      <c r="F50" s="168">
        <v>15</v>
      </c>
      <c r="G50" s="168">
        <f t="shared" si="35"/>
        <v>5.3</v>
      </c>
      <c r="H50" s="169">
        <f t="shared" si="36"/>
        <v>1.3043478260869565</v>
      </c>
      <c r="I50" s="170">
        <f>IF(D50&gt;0,IFERROR(GETPIVOTDATA("act_qty",RECPT!$A$43,"yymm","202105","unit","TAL","comm","L"),0),)</f>
        <v>43372</v>
      </c>
      <c r="J50" s="171"/>
      <c r="K50" s="166">
        <f t="shared" ref="K50:K60" si="64">A8</f>
        <v>44317</v>
      </c>
      <c r="L50" s="167">
        <v>62.8</v>
      </c>
      <c r="M50" s="168">
        <v>2.8</v>
      </c>
      <c r="N50" s="168">
        <v>2.2000000000000002</v>
      </c>
      <c r="O50" s="168">
        <v>6</v>
      </c>
      <c r="P50" s="168">
        <v>40</v>
      </c>
      <c r="Q50" s="168">
        <f t="shared" si="37"/>
        <v>5</v>
      </c>
      <c r="R50" s="169">
        <f t="shared" si="38"/>
        <v>0.78571428571428581</v>
      </c>
      <c r="S50" s="170">
        <f>IF(N50&gt;0,IFERROR(GETPIVOTDATA("act_qty",RECPT!$A$43,"yymm","202105","unit","TAL","comm","F"),0),)</f>
        <v>91102</v>
      </c>
      <c r="T50" s="104"/>
      <c r="U50" s="166">
        <f t="shared" ref="U50:U60" si="65">A8</f>
        <v>44317</v>
      </c>
      <c r="V50" s="167"/>
      <c r="W50" s="168"/>
      <c r="X50" s="168"/>
      <c r="Y50" s="168"/>
      <c r="Z50" s="168"/>
      <c r="AA50" s="168" t="str">
        <f t="shared" si="39"/>
        <v/>
      </c>
      <c r="AB50" s="169" t="str">
        <f t="shared" si="40"/>
        <v/>
      </c>
      <c r="AC50" s="170">
        <f>IF(X50&gt;0,IFERROR(GETPIVOTDATA("act_qty",RECPT!$A$43,"yymm","202105","unit","MPR","comm","L"),0),)</f>
        <v>0</v>
      </c>
      <c r="AD50" s="171"/>
      <c r="AE50" s="166">
        <f t="shared" ref="AE50:AE60" si="66">A8</f>
        <v>44317</v>
      </c>
      <c r="AF50" s="167"/>
      <c r="AG50" s="168"/>
      <c r="AH50" s="168"/>
      <c r="AI50" s="168"/>
      <c r="AJ50" s="168"/>
      <c r="AK50" s="168" t="str">
        <f t="shared" si="41"/>
        <v/>
      </c>
      <c r="AL50" s="169" t="str">
        <f t="shared" si="42"/>
        <v/>
      </c>
      <c r="AM50" s="170">
        <f>IF(AH50&gt;0,IFERROR(GETPIVOTDATA("act_qty",RECPT!$A$43,"yymm","202105","unit","MPR","comm","F"),0),)</f>
        <v>0</v>
      </c>
      <c r="AN50" s="104"/>
      <c r="AO50" s="172">
        <f t="shared" si="47"/>
        <v>44317</v>
      </c>
      <c r="AP50" s="167">
        <f t="shared" si="50"/>
        <v>62.90605160304446</v>
      </c>
      <c r="AQ50" s="168">
        <f t="shared" si="51"/>
        <v>2.594740142457677</v>
      </c>
      <c r="AR50" s="168">
        <f t="shared" si="52"/>
        <v>2.5505824217805175</v>
      </c>
      <c r="AS50" s="168">
        <f t="shared" si="53"/>
        <v>6.2205826704372065</v>
      </c>
      <c r="AT50" s="168">
        <f t="shared" si="54"/>
        <v>12.454354543748885</v>
      </c>
      <c r="AU50" s="168">
        <f t="shared" si="43"/>
        <v>5.1453225642381941</v>
      </c>
      <c r="AV50" s="169">
        <f t="shared" si="55"/>
        <v>0.98298183314983734</v>
      </c>
      <c r="AW50" s="170">
        <f t="shared" si="48"/>
        <v>221188.5</v>
      </c>
      <c r="AX50" s="104"/>
      <c r="AY50" s="172">
        <f t="shared" si="56"/>
        <v>44317</v>
      </c>
      <c r="AZ50" s="167">
        <f t="shared" si="57"/>
        <v>61.927023715997308</v>
      </c>
      <c r="BA50" s="168">
        <f t="shared" si="58"/>
        <v>3.5525570788307714</v>
      </c>
      <c r="BB50" s="168">
        <f t="shared" si="59"/>
        <v>2.7804560489030505</v>
      </c>
      <c r="BC50" s="168">
        <f t="shared" si="60"/>
        <v>5.8937017149841129</v>
      </c>
      <c r="BD50" s="168">
        <f t="shared" si="61"/>
        <v>39.001938012576957</v>
      </c>
      <c r="BE50" s="168">
        <f t="shared" si="45"/>
        <v>6.333013127733822</v>
      </c>
      <c r="BF50" s="169">
        <f t="shared" si="62"/>
        <v>0.78266330060435307</v>
      </c>
      <c r="BG50" s="170">
        <f t="shared" si="49"/>
        <v>371297.9</v>
      </c>
    </row>
    <row r="51" spans="1:59" ht="21" x14ac:dyDescent="0.25">
      <c r="A51" s="166">
        <f t="shared" si="63"/>
        <v>44348</v>
      </c>
      <c r="B51" s="167">
        <v>62.72</v>
      </c>
      <c r="C51" s="168">
        <v>2.94</v>
      </c>
      <c r="D51" s="168">
        <v>2.48</v>
      </c>
      <c r="E51" s="168">
        <v>6.7</v>
      </c>
      <c r="F51" s="168">
        <v>16.2</v>
      </c>
      <c r="G51" s="168">
        <f t="shared" si="35"/>
        <v>5.42</v>
      </c>
      <c r="H51" s="169">
        <f t="shared" si="36"/>
        <v>0.84353741496598644</v>
      </c>
      <c r="I51" s="170">
        <f>IF(D51&gt;0,IFERROR(GETPIVOTDATA("act_qty",RECPT!$A$43,"yymm","202106","unit","TAL","comm","L"),0),)</f>
        <v>33330</v>
      </c>
      <c r="J51" s="171"/>
      <c r="K51" s="166">
        <f t="shared" si="64"/>
        <v>44348</v>
      </c>
      <c r="L51" s="167">
        <v>62.38</v>
      </c>
      <c r="M51" s="168">
        <v>3.06</v>
      </c>
      <c r="N51" s="168">
        <v>2.67</v>
      </c>
      <c r="O51" s="168">
        <v>4</v>
      </c>
      <c r="P51" s="168">
        <v>37.5</v>
      </c>
      <c r="Q51" s="168">
        <f t="shared" si="37"/>
        <v>5.73</v>
      </c>
      <c r="R51" s="169">
        <f t="shared" si="38"/>
        <v>0.87254901960784315</v>
      </c>
      <c r="S51" s="170">
        <f>IF(N51&gt;0,IFERROR(GETPIVOTDATA("act_qty",RECPT!$A$43,"yymm","202106","unit","TAL","comm","F"),0),)</f>
        <v>80261</v>
      </c>
      <c r="T51" s="104"/>
      <c r="U51" s="166">
        <f t="shared" si="65"/>
        <v>44348</v>
      </c>
      <c r="V51" s="167"/>
      <c r="W51" s="168"/>
      <c r="X51" s="168"/>
      <c r="Y51" s="168"/>
      <c r="Z51" s="168"/>
      <c r="AA51" s="168" t="str">
        <f t="shared" si="39"/>
        <v/>
      </c>
      <c r="AB51" s="169" t="str">
        <f t="shared" si="40"/>
        <v/>
      </c>
      <c r="AC51" s="170">
        <f>IF(X51&gt;0,IFERROR(GETPIVOTDATA("act_qty",RECPT!$A$43,"yymm","202106","unit","MPR","comm","L"),0),)</f>
        <v>0</v>
      </c>
      <c r="AD51" s="171"/>
      <c r="AE51" s="166">
        <f t="shared" si="66"/>
        <v>44348</v>
      </c>
      <c r="AF51" s="167"/>
      <c r="AG51" s="168"/>
      <c r="AH51" s="168"/>
      <c r="AI51" s="168"/>
      <c r="AJ51" s="168"/>
      <c r="AK51" s="168" t="str">
        <f t="shared" si="41"/>
        <v/>
      </c>
      <c r="AL51" s="169" t="str">
        <f t="shared" si="42"/>
        <v/>
      </c>
      <c r="AM51" s="170">
        <f>IF(AH51&gt;0,IFERROR(GETPIVOTDATA("act_qty",RECPT!$A$43,"yymm","202106","unit","MPR","comm","F"),0),)</f>
        <v>0</v>
      </c>
      <c r="AN51" s="104"/>
      <c r="AO51" s="172">
        <f t="shared" si="47"/>
        <v>44348</v>
      </c>
      <c r="AP51" s="167">
        <f t="shared" si="50"/>
        <v>62.414027012429798</v>
      </c>
      <c r="AQ51" s="168">
        <f t="shared" si="51"/>
        <v>3.2444371843923148</v>
      </c>
      <c r="AR51" s="168">
        <f t="shared" si="52"/>
        <v>2.6053546703327828</v>
      </c>
      <c r="AS51" s="168">
        <f t="shared" si="53"/>
        <v>7.7835100295731721</v>
      </c>
      <c r="AT51" s="168">
        <f t="shared" si="54"/>
        <v>15.302455744107082</v>
      </c>
      <c r="AU51" s="168">
        <f t="shared" si="43"/>
        <v>5.8497918547250976</v>
      </c>
      <c r="AV51" s="169">
        <f t="shared" si="55"/>
        <v>0.80302207201486242</v>
      </c>
      <c r="AW51" s="170">
        <f t="shared" si="48"/>
        <v>132383.5</v>
      </c>
      <c r="AX51" s="104"/>
      <c r="AY51" s="172">
        <f t="shared" si="56"/>
        <v>44348</v>
      </c>
      <c r="AZ51" s="167">
        <f t="shared" si="57"/>
        <v>61.080783091435556</v>
      </c>
      <c r="BA51" s="168">
        <f t="shared" si="58"/>
        <v>4.5202084611481057</v>
      </c>
      <c r="BB51" s="168">
        <f t="shared" si="59"/>
        <v>3.0509881332375741</v>
      </c>
      <c r="BC51" s="168">
        <f t="shared" si="60"/>
        <v>6.0195150850604833</v>
      </c>
      <c r="BD51" s="168">
        <f t="shared" si="61"/>
        <v>38.995357642867319</v>
      </c>
      <c r="BE51" s="168">
        <f t="shared" si="45"/>
        <v>7.5711965943856798</v>
      </c>
      <c r="BF51" s="169">
        <f t="shared" si="62"/>
        <v>0.67496624535379091</v>
      </c>
      <c r="BG51" s="170">
        <f t="shared" si="49"/>
        <v>294208.3</v>
      </c>
    </row>
    <row r="52" spans="1:59" ht="21" x14ac:dyDescent="0.25">
      <c r="A52" s="166">
        <f t="shared" si="63"/>
        <v>44378</v>
      </c>
      <c r="B52" s="167">
        <v>62.76</v>
      </c>
      <c r="C52" s="168">
        <v>2.66</v>
      </c>
      <c r="D52" s="168">
        <v>2.67</v>
      </c>
      <c r="E52" s="168">
        <v>9.6</v>
      </c>
      <c r="F52" s="168">
        <v>16.899999999999999</v>
      </c>
      <c r="G52" s="168">
        <f t="shared" si="35"/>
        <v>5.33</v>
      </c>
      <c r="H52" s="169">
        <f t="shared" si="36"/>
        <v>1.0037593984962405</v>
      </c>
      <c r="I52" s="170">
        <f>IF(D52&gt;0,IFERROR(GETPIVOTDATA("act_qty",RECPT!$A$43,"yymm","202107","unit","TAL","comm","L"),0),)</f>
        <v>56042</v>
      </c>
      <c r="J52" s="171"/>
      <c r="K52" s="166">
        <f t="shared" si="64"/>
        <v>44378</v>
      </c>
      <c r="L52" s="167">
        <v>62.27</v>
      </c>
      <c r="M52" s="168">
        <v>3</v>
      </c>
      <c r="N52" s="168">
        <v>2.82</v>
      </c>
      <c r="O52" s="168">
        <v>0</v>
      </c>
      <c r="P52" s="168">
        <v>0</v>
      </c>
      <c r="Q52" s="168">
        <f t="shared" si="37"/>
        <v>5.82</v>
      </c>
      <c r="R52" s="169">
        <f t="shared" si="38"/>
        <v>0.94</v>
      </c>
      <c r="S52" s="170">
        <f>IF(N52&gt;0,IFERROR(GETPIVOTDATA("act_qty",RECPT!$A$43,"yymm","202107","unit","TAL","comm","F"),0),)</f>
        <v>90871</v>
      </c>
      <c r="T52" s="104"/>
      <c r="U52" s="166">
        <f t="shared" si="65"/>
        <v>44378</v>
      </c>
      <c r="V52" s="167"/>
      <c r="W52" s="168"/>
      <c r="X52" s="168"/>
      <c r="Y52" s="168"/>
      <c r="Z52" s="168"/>
      <c r="AA52" s="168" t="str">
        <f t="shared" si="39"/>
        <v/>
      </c>
      <c r="AB52" s="169" t="str">
        <f t="shared" si="40"/>
        <v/>
      </c>
      <c r="AC52" s="170">
        <f>IF(X52&gt;0,IFERROR(GETPIVOTDATA("act_qty",RECPT!$A$43,"yymm","202107","unit","MPR","comm","L"),0),)</f>
        <v>0</v>
      </c>
      <c r="AD52" s="171"/>
      <c r="AE52" s="166">
        <f t="shared" si="66"/>
        <v>44378</v>
      </c>
      <c r="AF52" s="167"/>
      <c r="AG52" s="168"/>
      <c r="AH52" s="168"/>
      <c r="AI52" s="168"/>
      <c r="AJ52" s="168"/>
      <c r="AK52" s="168" t="str">
        <f t="shared" si="41"/>
        <v/>
      </c>
      <c r="AL52" s="169" t="str">
        <f t="shared" si="42"/>
        <v/>
      </c>
      <c r="AM52" s="170">
        <f>IF(AH52&gt;0,IFERROR(GETPIVOTDATA("act_qty",RECPT!$A$43,"yymm","202107","unit","MPR","comm","F"),0),)</f>
        <v>0</v>
      </c>
      <c r="AN52" s="104"/>
      <c r="AO52" s="172">
        <f t="shared" si="47"/>
        <v>44378</v>
      </c>
      <c r="AP52" s="167">
        <f t="shared" si="50"/>
        <v>62.444237323060669</v>
      </c>
      <c r="AQ52" s="168">
        <f t="shared" si="51"/>
        <v>3.1392570457496376</v>
      </c>
      <c r="AR52" s="168">
        <f t="shared" si="52"/>
        <v>2.6352770484864689</v>
      </c>
      <c r="AS52" s="168">
        <f t="shared" si="53"/>
        <v>8.1629988352554808</v>
      </c>
      <c r="AT52" s="168">
        <f t="shared" si="54"/>
        <v>14.462617031365362</v>
      </c>
      <c r="AU52" s="168">
        <f t="shared" si="43"/>
        <v>5.7745340942361061</v>
      </c>
      <c r="AV52" s="169">
        <f t="shared" si="55"/>
        <v>0.83945883057090631</v>
      </c>
      <c r="AW52" s="170">
        <f t="shared" si="48"/>
        <v>251385.60000000001</v>
      </c>
      <c r="AX52" s="104"/>
      <c r="AY52" s="172">
        <f t="shared" si="56"/>
        <v>44378</v>
      </c>
      <c r="AZ52" s="167">
        <f t="shared" si="57"/>
        <v>62.170286266188917</v>
      </c>
      <c r="BA52" s="168">
        <f t="shared" si="58"/>
        <v>3.2840415703929837</v>
      </c>
      <c r="BB52" s="168">
        <f t="shared" si="59"/>
        <v>2.7022717056121048</v>
      </c>
      <c r="BC52" s="168">
        <f t="shared" si="60"/>
        <v>2.4378150746095653</v>
      </c>
      <c r="BD52" s="168">
        <f t="shared" si="61"/>
        <v>25.062495022769856</v>
      </c>
      <c r="BE52" s="168">
        <f t="shared" si="45"/>
        <v>5.9863132760050881</v>
      </c>
      <c r="BF52" s="169">
        <f t="shared" si="62"/>
        <v>0.82284942126622906</v>
      </c>
      <c r="BG52" s="170">
        <f t="shared" si="49"/>
        <v>352856.9</v>
      </c>
    </row>
    <row r="53" spans="1:59" ht="21" x14ac:dyDescent="0.25">
      <c r="A53" s="166">
        <f t="shared" si="63"/>
        <v>44409</v>
      </c>
      <c r="B53" s="167">
        <v>62.53</v>
      </c>
      <c r="C53" s="168">
        <v>2.99</v>
      </c>
      <c r="D53" s="168">
        <v>2.79</v>
      </c>
      <c r="E53" s="168">
        <v>7.5</v>
      </c>
      <c r="F53" s="168">
        <v>16.3</v>
      </c>
      <c r="G53" s="168">
        <f t="shared" si="35"/>
        <v>5.78</v>
      </c>
      <c r="H53" s="169">
        <f t="shared" si="36"/>
        <v>0.93311036789297652</v>
      </c>
      <c r="I53" s="170">
        <f>IF(D53&gt;0,IFERROR(GETPIVOTDATA("act_qty",RECPT!$A$43,"yymm","202108","unit","TAL","comm","L"),0),)</f>
        <v>29374</v>
      </c>
      <c r="J53" s="171"/>
      <c r="K53" s="166">
        <f t="shared" si="64"/>
        <v>44409</v>
      </c>
      <c r="L53" s="167">
        <v>62.43</v>
      </c>
      <c r="M53" s="168">
        <v>3.01</v>
      </c>
      <c r="N53" s="168">
        <v>2.54</v>
      </c>
      <c r="O53" s="168">
        <v>0</v>
      </c>
      <c r="P53" s="168">
        <v>0</v>
      </c>
      <c r="Q53" s="168">
        <f t="shared" si="37"/>
        <v>5.55</v>
      </c>
      <c r="R53" s="169">
        <f t="shared" si="38"/>
        <v>0.84385382059800673</v>
      </c>
      <c r="S53" s="170">
        <f>IF(N53&gt;0,IFERROR(GETPIVOTDATA("act_qty",RECPT!$A$43,"yymm","202108","unit","TAL","comm","F"),0),)</f>
        <v>103429</v>
      </c>
      <c r="T53" s="104"/>
      <c r="U53" s="166">
        <f t="shared" si="65"/>
        <v>44409</v>
      </c>
      <c r="V53" s="167"/>
      <c r="W53" s="168"/>
      <c r="X53" s="168"/>
      <c r="Y53" s="168"/>
      <c r="Z53" s="168"/>
      <c r="AA53" s="168" t="str">
        <f t="shared" si="39"/>
        <v/>
      </c>
      <c r="AB53" s="169" t="str">
        <f t="shared" si="40"/>
        <v/>
      </c>
      <c r="AC53" s="170">
        <f>IF(X53&gt;0,IFERROR(GETPIVOTDATA("act_qty",RECPT!$A$43,"yymm","202108","unit","MPR","comm","L"),0),)</f>
        <v>0</v>
      </c>
      <c r="AD53" s="171"/>
      <c r="AE53" s="166">
        <f t="shared" si="66"/>
        <v>44409</v>
      </c>
      <c r="AF53" s="167"/>
      <c r="AG53" s="168"/>
      <c r="AH53" s="168"/>
      <c r="AI53" s="168"/>
      <c r="AJ53" s="168"/>
      <c r="AK53" s="168" t="str">
        <f t="shared" si="41"/>
        <v/>
      </c>
      <c r="AL53" s="169" t="str">
        <f t="shared" si="42"/>
        <v/>
      </c>
      <c r="AM53" s="170">
        <f>IF(AH53&gt;0,IFERROR(GETPIVOTDATA("act_qty",RECPT!$A$43,"yymm","202108","unit","MPR","comm","F"),0),)</f>
        <v>0</v>
      </c>
      <c r="AN53" s="104"/>
      <c r="AO53" s="172">
        <f t="shared" si="47"/>
        <v>44409</v>
      </c>
      <c r="AP53" s="167">
        <f t="shared" si="50"/>
        <v>61.653346534190419</v>
      </c>
      <c r="AQ53" s="168">
        <f t="shared" si="51"/>
        <v>4.3656387564024302</v>
      </c>
      <c r="AR53" s="168">
        <f t="shared" si="52"/>
        <v>2.5575036934283286</v>
      </c>
      <c r="AS53" s="168">
        <f t="shared" si="53"/>
        <v>8.8438245627807639</v>
      </c>
      <c r="AT53" s="168">
        <f t="shared" si="54"/>
        <v>14.968625025785098</v>
      </c>
      <c r="AU53" s="168">
        <f t="shared" si="43"/>
        <v>6.9231424498307588</v>
      </c>
      <c r="AV53" s="169">
        <f t="shared" si="55"/>
        <v>0.585825771698957</v>
      </c>
      <c r="AW53" s="170">
        <f t="shared" si="48"/>
        <v>239479.4</v>
      </c>
      <c r="AX53" s="104"/>
      <c r="AY53" s="172">
        <f t="shared" si="56"/>
        <v>44409</v>
      </c>
      <c r="AZ53" s="167">
        <f t="shared" si="57"/>
        <v>61.668358485268861</v>
      </c>
      <c r="BA53" s="168">
        <f t="shared" si="58"/>
        <v>3.8845734604693027</v>
      </c>
      <c r="BB53" s="168">
        <f t="shared" si="59"/>
        <v>2.7854996832126018</v>
      </c>
      <c r="BC53" s="168">
        <f t="shared" si="60"/>
        <v>1.4909990506674502</v>
      </c>
      <c r="BD53" s="168">
        <f t="shared" si="61"/>
        <v>15.448406830526633</v>
      </c>
      <c r="BE53" s="168">
        <f t="shared" si="45"/>
        <v>6.6700731436819041</v>
      </c>
      <c r="BF53" s="169">
        <f t="shared" si="62"/>
        <v>0.7170670632332643</v>
      </c>
      <c r="BG53" s="170">
        <f t="shared" si="49"/>
        <v>437043.9</v>
      </c>
    </row>
    <row r="54" spans="1:59" ht="21" x14ac:dyDescent="0.25">
      <c r="A54" s="166">
        <f t="shared" si="63"/>
        <v>44440</v>
      </c>
      <c r="B54" s="167">
        <v>62.69</v>
      </c>
      <c r="C54" s="168">
        <v>3.07</v>
      </c>
      <c r="D54" s="168">
        <v>2.37</v>
      </c>
      <c r="E54" s="168">
        <v>5.67</v>
      </c>
      <c r="F54" s="168">
        <v>16.829999999999998</v>
      </c>
      <c r="G54" s="168">
        <f t="shared" si="35"/>
        <v>5.4399999999999995</v>
      </c>
      <c r="H54" s="169">
        <f t="shared" si="36"/>
        <v>0.77198697068403921</v>
      </c>
      <c r="I54" s="170">
        <f>IF(D54&gt;0,IFERROR(GETPIVOTDATA("act_qty",RECPT!$A$43,"yymm","202109","unit","TAL","comm","L"),0),)</f>
        <v>27310</v>
      </c>
      <c r="J54" s="171"/>
      <c r="K54" s="166">
        <f t="shared" si="64"/>
        <v>44440</v>
      </c>
      <c r="L54" s="167">
        <v>62.59</v>
      </c>
      <c r="M54" s="168">
        <v>2.87</v>
      </c>
      <c r="N54" s="168">
        <v>2.5</v>
      </c>
      <c r="O54" s="168">
        <v>0</v>
      </c>
      <c r="P54" s="168">
        <v>0</v>
      </c>
      <c r="Q54" s="168">
        <f t="shared" si="37"/>
        <v>5.37</v>
      </c>
      <c r="R54" s="169">
        <f t="shared" si="38"/>
        <v>0.87108013937282225</v>
      </c>
      <c r="S54" s="170">
        <f>IF(N54&gt;0,IFERROR(GETPIVOTDATA("act_qty",RECPT!$A$43,"yymm","202109","unit","TAL","comm","F"),0),)</f>
        <v>95655</v>
      </c>
      <c r="T54" s="104"/>
      <c r="U54" s="166">
        <f t="shared" si="65"/>
        <v>44440</v>
      </c>
      <c r="V54" s="167"/>
      <c r="W54" s="168"/>
      <c r="X54" s="168"/>
      <c r="Y54" s="168"/>
      <c r="Z54" s="168"/>
      <c r="AA54" s="168" t="str">
        <f t="shared" si="39"/>
        <v/>
      </c>
      <c r="AB54" s="169" t="str">
        <f t="shared" si="40"/>
        <v/>
      </c>
      <c r="AC54" s="170">
        <f>IF(X54&gt;0,IFERROR(GETPIVOTDATA("act_qty",RECPT!$A$43,"yymm","202109","unit","MPR","comm","L"),0),)</f>
        <v>0</v>
      </c>
      <c r="AD54" s="171"/>
      <c r="AE54" s="166">
        <f t="shared" si="66"/>
        <v>44440</v>
      </c>
      <c r="AF54" s="167"/>
      <c r="AG54" s="168"/>
      <c r="AH54" s="168"/>
      <c r="AI54" s="168"/>
      <c r="AJ54" s="168"/>
      <c r="AK54" s="168" t="str">
        <f t="shared" si="41"/>
        <v/>
      </c>
      <c r="AL54" s="169" t="str">
        <f t="shared" si="42"/>
        <v/>
      </c>
      <c r="AM54" s="170">
        <f>IF(AH54&gt;0,IFERROR(GETPIVOTDATA("act_qty",RECPT!$A$43,"yymm","202109","unit","MPR","comm","F"),0),)</f>
        <v>0</v>
      </c>
      <c r="AN54" s="104"/>
      <c r="AO54" s="172">
        <f t="shared" si="47"/>
        <v>44440</v>
      </c>
      <c r="AP54" s="167">
        <f t="shared" si="50"/>
        <v>61.668212910580998</v>
      </c>
      <c r="AQ54" s="168">
        <f t="shared" si="51"/>
        <v>4.3392742799371895</v>
      </c>
      <c r="AR54" s="168">
        <f t="shared" si="52"/>
        <v>2.5659436856030453</v>
      </c>
      <c r="AS54" s="168">
        <f t="shared" si="53"/>
        <v>6.8109860397083191</v>
      </c>
      <c r="AT54" s="168">
        <f t="shared" si="54"/>
        <v>17.327388543526425</v>
      </c>
      <c r="AU54" s="168">
        <f t="shared" si="43"/>
        <v>6.9052179655402348</v>
      </c>
      <c r="AV54" s="169">
        <f t="shared" si="55"/>
        <v>0.591330144182586</v>
      </c>
      <c r="AW54" s="170">
        <f t="shared" si="48"/>
        <v>232445</v>
      </c>
      <c r="AX54" s="104"/>
      <c r="AY54" s="172">
        <f t="shared" si="56"/>
        <v>44440</v>
      </c>
      <c r="AZ54" s="167">
        <f t="shared" si="57"/>
        <v>61.866480919043653</v>
      </c>
      <c r="BA54" s="168">
        <f t="shared" si="58"/>
        <v>3.7716426194434169</v>
      </c>
      <c r="BB54" s="168">
        <f t="shared" si="59"/>
        <v>2.5384665721267261</v>
      </c>
      <c r="BC54" s="168">
        <f t="shared" si="60"/>
        <v>1.3402675219233382</v>
      </c>
      <c r="BD54" s="168">
        <f t="shared" si="61"/>
        <v>16.529966103721172</v>
      </c>
      <c r="BE54" s="168">
        <f t="shared" si="45"/>
        <v>6.3101091915701435</v>
      </c>
      <c r="BF54" s="169">
        <f t="shared" si="62"/>
        <v>0.67304005926768551</v>
      </c>
      <c r="BG54" s="170">
        <f t="shared" si="49"/>
        <v>388125.2</v>
      </c>
    </row>
    <row r="55" spans="1:59" ht="21" x14ac:dyDescent="0.25">
      <c r="A55" s="166">
        <f t="shared" si="63"/>
        <v>44470</v>
      </c>
      <c r="B55" s="167">
        <v>62.8</v>
      </c>
      <c r="C55" s="168">
        <v>2.85</v>
      </c>
      <c r="D55" s="168">
        <v>2.35</v>
      </c>
      <c r="E55" s="168">
        <v>4</v>
      </c>
      <c r="F55" s="168">
        <v>16.5</v>
      </c>
      <c r="G55" s="168">
        <f t="shared" si="35"/>
        <v>5.2</v>
      </c>
      <c r="H55" s="169">
        <f t="shared" si="36"/>
        <v>0.82456140350877194</v>
      </c>
      <c r="I55" s="170">
        <f>IF(D55&gt;0,IFERROR(GETPIVOTDATA("act_qty",RECPT!$A$43,"yymm","202110","unit","TAL","comm","L"),0),)</f>
        <v>15062.8</v>
      </c>
      <c r="J55" s="119"/>
      <c r="K55" s="166">
        <f t="shared" si="64"/>
        <v>44470</v>
      </c>
      <c r="L55" s="167">
        <v>62.49</v>
      </c>
      <c r="M55" s="168">
        <v>2.94</v>
      </c>
      <c r="N55" s="168">
        <v>2.54</v>
      </c>
      <c r="O55" s="168">
        <v>8</v>
      </c>
      <c r="P55" s="168">
        <v>17</v>
      </c>
      <c r="Q55" s="168">
        <f t="shared" si="37"/>
        <v>5.48</v>
      </c>
      <c r="R55" s="169">
        <f t="shared" si="38"/>
        <v>0.86394557823129259</v>
      </c>
      <c r="S55" s="170">
        <f>IF(N55&gt;0,IFERROR(GETPIVOTDATA("act_qty",RECPT!$A$43,"yymm","202110","unit","TAL","comm","F"),0),)</f>
        <v>121213.8</v>
      </c>
      <c r="T55" s="104"/>
      <c r="U55" s="166">
        <f t="shared" si="65"/>
        <v>44470</v>
      </c>
      <c r="V55" s="167"/>
      <c r="W55" s="168"/>
      <c r="X55" s="168"/>
      <c r="Y55" s="168"/>
      <c r="Z55" s="168"/>
      <c r="AA55" s="168" t="str">
        <f t="shared" si="39"/>
        <v/>
      </c>
      <c r="AB55" s="169" t="str">
        <f t="shared" si="40"/>
        <v/>
      </c>
      <c r="AC55" s="170">
        <f>IF(X55&gt;0,IFERROR(GETPIVOTDATA("act_qty",RECPT!$A$43,"yymm","202110","unit","MPR","comm","L"),0),)</f>
        <v>0</v>
      </c>
      <c r="AD55" s="119"/>
      <c r="AE55" s="166">
        <f t="shared" si="66"/>
        <v>44470</v>
      </c>
      <c r="AF55" s="167"/>
      <c r="AG55" s="168"/>
      <c r="AH55" s="168"/>
      <c r="AI55" s="168"/>
      <c r="AJ55" s="168"/>
      <c r="AK55" s="168" t="str">
        <f t="shared" si="41"/>
        <v/>
      </c>
      <c r="AL55" s="169" t="str">
        <f t="shared" si="42"/>
        <v/>
      </c>
      <c r="AM55" s="170">
        <f>IF(AH55&gt;0,IFERROR(GETPIVOTDATA("act_qty",RECPT!$A$43,"yymm","202110","unit","MPR","comm","F"),0),)</f>
        <v>0</v>
      </c>
      <c r="AN55" s="104"/>
      <c r="AO55" s="172">
        <f t="shared" si="47"/>
        <v>44470</v>
      </c>
      <c r="AP55" s="167">
        <f t="shared" si="50"/>
        <v>60.693646272164244</v>
      </c>
      <c r="AQ55" s="168">
        <f t="shared" si="51"/>
        <v>5.96713885903341</v>
      </c>
      <c r="AR55" s="168">
        <f t="shared" si="52"/>
        <v>2.2740283092361397</v>
      </c>
      <c r="AS55" s="168">
        <f t="shared" si="53"/>
        <v>8.3695546467915616</v>
      </c>
      <c r="AT55" s="168">
        <f t="shared" si="54"/>
        <v>16.915604584785047</v>
      </c>
      <c r="AU55" s="168">
        <f t="shared" si="43"/>
        <v>8.2411671682695502</v>
      </c>
      <c r="AV55" s="169">
        <f t="shared" si="55"/>
        <v>0.38109190400246518</v>
      </c>
      <c r="AW55" s="170">
        <f t="shared" si="48"/>
        <v>226935.83000000002</v>
      </c>
      <c r="AX55" s="104"/>
      <c r="AY55" s="172">
        <f t="shared" si="56"/>
        <v>44470</v>
      </c>
      <c r="AZ55" s="167">
        <f t="shared" si="57"/>
        <v>61.892484908473357</v>
      </c>
      <c r="BA55" s="168">
        <f t="shared" si="58"/>
        <v>3.6999664656733722</v>
      </c>
      <c r="BB55" s="168">
        <f t="shared" si="59"/>
        <v>2.6582322217280541</v>
      </c>
      <c r="BC55" s="168">
        <f t="shared" si="60"/>
        <v>2.1586665927900239</v>
      </c>
      <c r="BD55" s="168">
        <f t="shared" si="61"/>
        <v>4.5871665096788004</v>
      </c>
      <c r="BE55" s="168">
        <f t="shared" si="45"/>
        <v>6.3581986874014262</v>
      </c>
      <c r="BF55" s="169">
        <f t="shared" si="62"/>
        <v>0.71844765253683762</v>
      </c>
      <c r="BG55" s="170">
        <f t="shared" si="49"/>
        <v>449217.31000000006</v>
      </c>
    </row>
    <row r="56" spans="1:59" ht="21" x14ac:dyDescent="0.25">
      <c r="A56" s="166">
        <f t="shared" si="63"/>
        <v>44501</v>
      </c>
      <c r="B56" s="167">
        <v>62.79</v>
      </c>
      <c r="C56" s="168">
        <v>2.79</v>
      </c>
      <c r="D56" s="168">
        <v>2.42</v>
      </c>
      <c r="E56" s="168">
        <v>5.83</v>
      </c>
      <c r="F56" s="168">
        <v>14.58</v>
      </c>
      <c r="G56" s="168">
        <f t="shared" si="35"/>
        <v>5.21</v>
      </c>
      <c r="H56" s="169">
        <f t="shared" si="36"/>
        <v>0.86738351254480284</v>
      </c>
      <c r="I56" s="170">
        <f>IF(D56&gt;0,IFERROR(GETPIVOTDATA("act_qty",RECPT!$A$43,"yymm","202111","unit","TAL","comm","L"),0),)</f>
        <v>37197.300000000003</v>
      </c>
      <c r="J56" s="119"/>
      <c r="K56" s="166">
        <f t="shared" si="64"/>
        <v>44501</v>
      </c>
      <c r="L56" s="167">
        <v>62.52</v>
      </c>
      <c r="M56" s="168">
        <v>3.09</v>
      </c>
      <c r="N56" s="168">
        <v>2.35</v>
      </c>
      <c r="O56" s="168">
        <v>0</v>
      </c>
      <c r="P56" s="168">
        <v>0</v>
      </c>
      <c r="Q56" s="168">
        <f t="shared" si="37"/>
        <v>5.4399999999999995</v>
      </c>
      <c r="R56" s="169">
        <f t="shared" si="38"/>
        <v>0.76051779935275088</v>
      </c>
      <c r="S56" s="170">
        <f>IF(N56&gt;0,IFERROR(GETPIVOTDATA("act_qty",RECPT!$A$43,"yymm","202111","unit","TAL","comm","F"),0),)</f>
        <v>81590.399999999994</v>
      </c>
      <c r="T56" s="104"/>
      <c r="U56" s="166">
        <f t="shared" si="65"/>
        <v>44501</v>
      </c>
      <c r="V56" s="167"/>
      <c r="W56" s="168"/>
      <c r="X56" s="168"/>
      <c r="Y56" s="168"/>
      <c r="Z56" s="168"/>
      <c r="AA56" s="168" t="str">
        <f t="shared" si="39"/>
        <v/>
      </c>
      <c r="AB56" s="169" t="str">
        <f t="shared" si="40"/>
        <v/>
      </c>
      <c r="AC56" s="170">
        <f>IF(X56&gt;0,IFERROR(GETPIVOTDATA("act_qty",RECPT!$A$43,"yymm","202111","unit","MPR","comm","L"),0),)</f>
        <v>0</v>
      </c>
      <c r="AD56" s="119"/>
      <c r="AE56" s="166">
        <f t="shared" si="66"/>
        <v>44501</v>
      </c>
      <c r="AF56" s="167"/>
      <c r="AG56" s="168"/>
      <c r="AH56" s="168"/>
      <c r="AI56" s="168"/>
      <c r="AJ56" s="168"/>
      <c r="AK56" s="168" t="str">
        <f t="shared" si="41"/>
        <v/>
      </c>
      <c r="AL56" s="169" t="str">
        <f t="shared" si="42"/>
        <v/>
      </c>
      <c r="AM56" s="170">
        <f>IF(AH56&gt;0,IFERROR(GETPIVOTDATA("act_qty",RECPT!$A$43,"yymm","202111","unit","MPR","comm","F"),0),)</f>
        <v>0</v>
      </c>
      <c r="AN56" s="104"/>
      <c r="AO56" s="172">
        <f t="shared" si="47"/>
        <v>44501</v>
      </c>
      <c r="AP56" s="167">
        <f t="shared" si="50"/>
        <v>62.500899129654194</v>
      </c>
      <c r="AQ56" s="168">
        <f t="shared" si="51"/>
        <v>3.1993712168519948</v>
      </c>
      <c r="AR56" s="168">
        <f t="shared" si="52"/>
        <v>2.4592540279660233</v>
      </c>
      <c r="AS56" s="168">
        <f t="shared" si="53"/>
        <v>7.1096093467261792</v>
      </c>
      <c r="AT56" s="168">
        <f t="shared" si="54"/>
        <v>15.328704278460981</v>
      </c>
      <c r="AU56" s="168">
        <f t="shared" si="43"/>
        <v>5.6586252448180181</v>
      </c>
      <c r="AV56" s="169">
        <f t="shared" si="55"/>
        <v>0.76866792293824349</v>
      </c>
      <c r="AW56" s="170">
        <f t="shared" si="48"/>
        <v>225473.60000000003</v>
      </c>
      <c r="AX56" s="104"/>
      <c r="AY56" s="172">
        <f t="shared" si="56"/>
        <v>44501</v>
      </c>
      <c r="AZ56" s="167">
        <f t="shared" si="57"/>
        <v>61.580468035087371</v>
      </c>
      <c r="BA56" s="168">
        <f t="shared" si="58"/>
        <v>4.0188057571665086</v>
      </c>
      <c r="BB56" s="168">
        <f t="shared" si="59"/>
        <v>2.7760832523765098</v>
      </c>
      <c r="BC56" s="168">
        <f t="shared" si="60"/>
        <v>0</v>
      </c>
      <c r="BD56" s="168">
        <f t="shared" si="61"/>
        <v>0</v>
      </c>
      <c r="BE56" s="168">
        <f t="shared" si="45"/>
        <v>6.7948890095430183</v>
      </c>
      <c r="BF56" s="169">
        <f t="shared" si="62"/>
        <v>0.69077318490103135</v>
      </c>
      <c r="BG56" s="170">
        <f t="shared" si="49"/>
        <v>519206.8</v>
      </c>
    </row>
    <row r="57" spans="1:59" ht="21" x14ac:dyDescent="0.25">
      <c r="A57" s="166">
        <f t="shared" si="63"/>
        <v>44531</v>
      </c>
      <c r="B57" s="167">
        <v>62.44</v>
      </c>
      <c r="C57" s="168">
        <v>3.24</v>
      </c>
      <c r="D57" s="168">
        <v>2.66</v>
      </c>
      <c r="E57" s="168">
        <v>7.67</v>
      </c>
      <c r="F57" s="168">
        <v>14.58</v>
      </c>
      <c r="G57" s="168">
        <f t="shared" si="35"/>
        <v>5.9</v>
      </c>
      <c r="H57" s="169">
        <f t="shared" si="36"/>
        <v>0.82098765432098764</v>
      </c>
      <c r="I57" s="170">
        <f>IF(D57&gt;0,IFERROR(GETPIVOTDATA("act_qty",RECPT!$A$43,"yymm","202112","unit","TAL","comm","L"),0),)</f>
        <v>25614.400000000001</v>
      </c>
      <c r="J57" s="119"/>
      <c r="K57" s="166">
        <f t="shared" si="64"/>
        <v>44531</v>
      </c>
      <c r="L57" s="167">
        <v>62.55</v>
      </c>
      <c r="M57" s="168">
        <v>3.05</v>
      </c>
      <c r="N57" s="168">
        <v>2.36</v>
      </c>
      <c r="O57" s="168">
        <v>0</v>
      </c>
      <c r="P57" s="168">
        <v>0</v>
      </c>
      <c r="Q57" s="168">
        <f t="shared" si="37"/>
        <v>5.41</v>
      </c>
      <c r="R57" s="169">
        <f t="shared" si="38"/>
        <v>0.77377049180327873</v>
      </c>
      <c r="S57" s="170">
        <f>IF(N57&gt;0,IFERROR(GETPIVOTDATA("act_qty",RECPT!$A$43,"yymm","202112","unit","TAL","comm","F"),0),)</f>
        <v>29324</v>
      </c>
      <c r="T57" s="104"/>
      <c r="U57" s="166">
        <f t="shared" si="65"/>
        <v>44531</v>
      </c>
      <c r="V57" s="167"/>
      <c r="W57" s="168"/>
      <c r="X57" s="168"/>
      <c r="Y57" s="168"/>
      <c r="Z57" s="168"/>
      <c r="AA57" s="168" t="str">
        <f t="shared" si="39"/>
        <v/>
      </c>
      <c r="AB57" s="169" t="str">
        <f t="shared" si="40"/>
        <v/>
      </c>
      <c r="AC57" s="170">
        <f>IF(X57&gt;0,IFERROR(GETPIVOTDATA("act_qty",RECPT!$A$43,"yymm","202112","unit","MPR","comm","L"),0),)</f>
        <v>0</v>
      </c>
      <c r="AD57" s="119"/>
      <c r="AE57" s="166">
        <f t="shared" si="66"/>
        <v>44531</v>
      </c>
      <c r="AF57" s="167"/>
      <c r="AG57" s="168"/>
      <c r="AH57" s="168"/>
      <c r="AI57" s="168"/>
      <c r="AJ57" s="168"/>
      <c r="AK57" s="168" t="str">
        <f t="shared" si="41"/>
        <v/>
      </c>
      <c r="AL57" s="169" t="str">
        <f t="shared" si="42"/>
        <v/>
      </c>
      <c r="AM57" s="170">
        <f>IF(AH57&gt;0,IFERROR(GETPIVOTDATA("act_qty",RECPT!$A$43,"yymm","202112","unit","MPR","comm","F"),0),)</f>
        <v>0</v>
      </c>
      <c r="AN57" s="104"/>
      <c r="AO57" s="172">
        <f t="shared" si="47"/>
        <v>44531</v>
      </c>
      <c r="AP57" s="167">
        <f t="shared" si="50"/>
        <v>62.572845126270742</v>
      </c>
      <c r="AQ57" s="168">
        <f t="shared" si="51"/>
        <v>3.049233336143057</v>
      </c>
      <c r="AR57" s="168">
        <f t="shared" si="52"/>
        <v>2.5378568085752771</v>
      </c>
      <c r="AS57" s="168">
        <f t="shared" si="53"/>
        <v>8.1586284596918794</v>
      </c>
      <c r="AT57" s="168">
        <f t="shared" si="54"/>
        <v>14.991681878686665</v>
      </c>
      <c r="AU57" s="168">
        <f t="shared" si="43"/>
        <v>5.5870901447183341</v>
      </c>
      <c r="AV57" s="169">
        <f t="shared" si="55"/>
        <v>0.83229340913128846</v>
      </c>
      <c r="AW57" s="170">
        <f t="shared" si="48"/>
        <v>227780.40000000002</v>
      </c>
      <c r="AX57" s="104"/>
      <c r="AY57" s="172">
        <f t="shared" si="56"/>
        <v>44531</v>
      </c>
      <c r="AZ57" s="167">
        <f t="shared" si="57"/>
        <v>61.142760714285714</v>
      </c>
      <c r="BA57" s="168">
        <f t="shared" si="58"/>
        <v>4.612913594598913</v>
      </c>
      <c r="BB57" s="168">
        <f t="shared" si="59"/>
        <v>2.7658283057686162</v>
      </c>
      <c r="BC57" s="168">
        <f t="shared" si="60"/>
        <v>0</v>
      </c>
      <c r="BD57" s="168">
        <f t="shared" si="61"/>
        <v>0</v>
      </c>
      <c r="BE57" s="168">
        <f t="shared" si="45"/>
        <v>7.3787419003675296</v>
      </c>
      <c r="BF57" s="169">
        <f t="shared" si="62"/>
        <v>0.59958380946198964</v>
      </c>
      <c r="BG57" s="170">
        <f t="shared" si="49"/>
        <v>500640</v>
      </c>
    </row>
    <row r="58" spans="1:59" ht="21" x14ac:dyDescent="0.25">
      <c r="A58" s="166">
        <f t="shared" si="63"/>
        <v>44562</v>
      </c>
      <c r="B58" s="167">
        <v>62.85</v>
      </c>
      <c r="C58" s="168">
        <v>2.63</v>
      </c>
      <c r="D58" s="168">
        <v>2.5499999999999998</v>
      </c>
      <c r="E58" s="168">
        <v>6.33</v>
      </c>
      <c r="F58" s="168">
        <v>13</v>
      </c>
      <c r="G58" s="168">
        <f t="shared" si="35"/>
        <v>5.18</v>
      </c>
      <c r="H58" s="169">
        <f t="shared" si="36"/>
        <v>0.96958174904942962</v>
      </c>
      <c r="I58" s="170">
        <f>IF(D58&gt;0,IFERROR(GETPIVOTDATA("act_qty",RECPT!$A$43,"yymm","202201","unit","TAL","comm","L"),0),)</f>
        <v>22142.9</v>
      </c>
      <c r="J58" s="119"/>
      <c r="K58" s="166">
        <f t="shared" si="64"/>
        <v>44562</v>
      </c>
      <c r="L58" s="167">
        <v>62.48</v>
      </c>
      <c r="M58" s="168">
        <v>3.02</v>
      </c>
      <c r="N58" s="168">
        <v>2.48</v>
      </c>
      <c r="O58" s="168">
        <v>0</v>
      </c>
      <c r="P58" s="168">
        <v>0</v>
      </c>
      <c r="Q58" s="168">
        <f t="shared" si="37"/>
        <v>5.5</v>
      </c>
      <c r="R58" s="169">
        <f t="shared" si="38"/>
        <v>0.82119205298013243</v>
      </c>
      <c r="S58" s="170">
        <f>IF(N58&gt;0,IFERROR(GETPIVOTDATA("act_qty",RECPT!$A$43,"yymm","202201","unit","TAL","comm","F"),0),)</f>
        <v>29603.599999999999</v>
      </c>
      <c r="T58" s="104"/>
      <c r="U58" s="166">
        <f t="shared" si="65"/>
        <v>44562</v>
      </c>
      <c r="V58" s="167"/>
      <c r="W58" s="168"/>
      <c r="X58" s="168"/>
      <c r="Y58" s="168"/>
      <c r="Z58" s="168"/>
      <c r="AA58" s="168" t="str">
        <f t="shared" si="39"/>
        <v/>
      </c>
      <c r="AB58" s="169" t="str">
        <f t="shared" si="40"/>
        <v/>
      </c>
      <c r="AC58" s="170">
        <f>IF(X58&gt;0,IFERROR(GETPIVOTDATA("act_qty",RECPT!$A$43,"yymm","202201","unit","MPR","comm","L"),0),)</f>
        <v>0</v>
      </c>
      <c r="AD58" s="119"/>
      <c r="AE58" s="166">
        <f t="shared" si="66"/>
        <v>44562</v>
      </c>
      <c r="AF58" s="167"/>
      <c r="AG58" s="168"/>
      <c r="AH58" s="168"/>
      <c r="AI58" s="168"/>
      <c r="AJ58" s="168"/>
      <c r="AK58" s="168" t="str">
        <f t="shared" si="41"/>
        <v/>
      </c>
      <c r="AL58" s="169" t="str">
        <f t="shared" si="42"/>
        <v/>
      </c>
      <c r="AM58" s="170">
        <f>IF(AH58&gt;0,IFERROR(GETPIVOTDATA("act_qty",RECPT!$A$43,"yymm","202201","unit","MPR","comm","F"),0),)</f>
        <v>0</v>
      </c>
      <c r="AN58" s="104"/>
      <c r="AO58" s="172">
        <f t="shared" si="47"/>
        <v>44562</v>
      </c>
      <c r="AP58" s="167">
        <f t="shared" si="50"/>
        <v>62.460237853665696</v>
      </c>
      <c r="AQ58" s="168">
        <f t="shared" si="51"/>
        <v>3.0764788442352344</v>
      </c>
      <c r="AR58" s="168">
        <f t="shared" si="52"/>
        <v>2.6668307115675214</v>
      </c>
      <c r="AS58" s="168">
        <f t="shared" si="53"/>
        <v>7.8640873264759019</v>
      </c>
      <c r="AT58" s="168">
        <f t="shared" si="54"/>
        <v>13.793222218983347</v>
      </c>
      <c r="AU58" s="168">
        <f t="shared" si="43"/>
        <v>5.7433095558027558</v>
      </c>
      <c r="AV58" s="169">
        <f t="shared" si="55"/>
        <v>0.86684513256597895</v>
      </c>
      <c r="AW58" s="170">
        <f t="shared" si="48"/>
        <v>212693.8</v>
      </c>
      <c r="AX58" s="104"/>
      <c r="AY58" s="172">
        <f t="shared" si="56"/>
        <v>44562</v>
      </c>
      <c r="AZ58" s="167">
        <f t="shared" si="57"/>
        <v>61.661810212465447</v>
      </c>
      <c r="BA58" s="168">
        <f t="shared" si="58"/>
        <v>3.8534654150654024</v>
      </c>
      <c r="BB58" s="168">
        <f t="shared" si="59"/>
        <v>2.8285583635744405</v>
      </c>
      <c r="BC58" s="168">
        <f t="shared" si="60"/>
        <v>0</v>
      </c>
      <c r="BD58" s="168">
        <f t="shared" si="61"/>
        <v>0</v>
      </c>
      <c r="BE58" s="168">
        <f t="shared" si="45"/>
        <v>6.6820237786398433</v>
      </c>
      <c r="BF58" s="169">
        <f t="shared" si="62"/>
        <v>0.73402977810985059</v>
      </c>
      <c r="BG58" s="170">
        <f t="shared" si="49"/>
        <v>463331.8</v>
      </c>
    </row>
    <row r="59" spans="1:59" ht="21" x14ac:dyDescent="0.25">
      <c r="A59" s="166">
        <f t="shared" si="63"/>
        <v>44593</v>
      </c>
      <c r="B59" s="167">
        <v>62.78</v>
      </c>
      <c r="C59" s="168">
        <v>2.8</v>
      </c>
      <c r="D59" s="168">
        <v>2.54</v>
      </c>
      <c r="E59" s="168">
        <v>5.25</v>
      </c>
      <c r="F59" s="168">
        <v>13.63</v>
      </c>
      <c r="G59" s="168">
        <f t="shared" si="35"/>
        <v>5.34</v>
      </c>
      <c r="H59" s="169">
        <f t="shared" si="36"/>
        <v>0.90714285714285725</v>
      </c>
      <c r="I59" s="170">
        <f>IF(D59&gt;0,IFERROR(GETPIVOTDATA("act_qty",RECPT!$A$43,"yymm","202202","unit","TAL","comm","L"),0),)</f>
        <v>29782.6</v>
      </c>
      <c r="J59" s="119"/>
      <c r="K59" s="166">
        <f t="shared" si="64"/>
        <v>44593</v>
      </c>
      <c r="L59" s="167">
        <v>62.5</v>
      </c>
      <c r="M59" s="168">
        <v>2.87</v>
      </c>
      <c r="N59" s="168">
        <v>2.54</v>
      </c>
      <c r="O59" s="168">
        <v>5</v>
      </c>
      <c r="P59" s="168">
        <v>36.71</v>
      </c>
      <c r="Q59" s="168">
        <f t="shared" si="37"/>
        <v>5.41</v>
      </c>
      <c r="R59" s="169">
        <f t="shared" si="38"/>
        <v>0.8850174216027874</v>
      </c>
      <c r="S59" s="170">
        <f>IF(N59&gt;0,IFERROR(GETPIVOTDATA("act_qty",RECPT!$A$43,"yymm","202202","unit","TAL","comm","F"),0),)</f>
        <v>37044.1</v>
      </c>
      <c r="T59" s="104"/>
      <c r="U59" s="166">
        <f t="shared" si="65"/>
        <v>44593</v>
      </c>
      <c r="V59" s="167"/>
      <c r="W59" s="168"/>
      <c r="X59" s="168"/>
      <c r="Y59" s="168"/>
      <c r="Z59" s="168"/>
      <c r="AA59" s="168" t="str">
        <f t="shared" si="39"/>
        <v/>
      </c>
      <c r="AB59" s="169" t="str">
        <f t="shared" si="40"/>
        <v/>
      </c>
      <c r="AC59" s="170">
        <f>IF(X59&gt;0,IFERROR(GETPIVOTDATA("act_qty",RECPT!$A$43,"yymm","202202","unit","MPR","comm","L"),0),)</f>
        <v>0</v>
      </c>
      <c r="AD59" s="119"/>
      <c r="AE59" s="166">
        <f t="shared" si="66"/>
        <v>44593</v>
      </c>
      <c r="AF59" s="167"/>
      <c r="AG59" s="168"/>
      <c r="AH59" s="168"/>
      <c r="AI59" s="168"/>
      <c r="AJ59" s="168"/>
      <c r="AK59" s="168" t="str">
        <f t="shared" si="41"/>
        <v/>
      </c>
      <c r="AL59" s="169" t="str">
        <f t="shared" si="42"/>
        <v/>
      </c>
      <c r="AM59" s="170">
        <f>IF(AH59&gt;0,IFERROR(GETPIVOTDATA("act_qty",RECPT!$A$43,"yymm","202202","unit","MPR","comm","F"),0),)</f>
        <v>0</v>
      </c>
      <c r="AN59" s="104"/>
      <c r="AO59" s="172">
        <f t="shared" si="47"/>
        <v>44593</v>
      </c>
      <c r="AP59" s="167">
        <f t="shared" si="50"/>
        <v>62.537753650783024</v>
      </c>
      <c r="AQ59" s="168">
        <f t="shared" si="51"/>
        <v>2.6525228123083475</v>
      </c>
      <c r="AR59" s="168">
        <f t="shared" si="52"/>
        <v>3.0088358597165668</v>
      </c>
      <c r="AS59" s="168">
        <f t="shared" si="53"/>
        <v>6.8102252193817554</v>
      </c>
      <c r="AT59" s="168">
        <f t="shared" si="54"/>
        <v>13.056703742915687</v>
      </c>
      <c r="AU59" s="168">
        <f t="shared" si="43"/>
        <v>5.6613586720249138</v>
      </c>
      <c r="AV59" s="169">
        <f t="shared" si="55"/>
        <v>1.1343298710777681</v>
      </c>
      <c r="AW59" s="170">
        <f t="shared" si="48"/>
        <v>215070.3</v>
      </c>
      <c r="AX59" s="104"/>
      <c r="AY59" s="172">
        <f t="shared" si="56"/>
        <v>44593</v>
      </c>
      <c r="AZ59" s="167">
        <f t="shared" si="57"/>
        <v>61.585527144833648</v>
      </c>
      <c r="BA59" s="168">
        <f t="shared" si="58"/>
        <v>3.7846134347078371</v>
      </c>
      <c r="BB59" s="168">
        <f t="shared" si="59"/>
        <v>3.0179606682441782</v>
      </c>
      <c r="BC59" s="168">
        <f t="shared" si="60"/>
        <v>5.4988601962837977</v>
      </c>
      <c r="BD59" s="168">
        <f t="shared" si="61"/>
        <v>38.19453533754865</v>
      </c>
      <c r="BE59" s="168">
        <f t="shared" si="45"/>
        <v>6.8025741029520148</v>
      </c>
      <c r="BF59" s="169">
        <f t="shared" si="62"/>
        <v>0.79742904270410842</v>
      </c>
      <c r="BG59" s="170">
        <f t="shared" si="49"/>
        <v>386685</v>
      </c>
    </row>
    <row r="60" spans="1:59" ht="21.5" thickBot="1" x14ac:dyDescent="0.3">
      <c r="A60" s="166">
        <f t="shared" si="63"/>
        <v>44621</v>
      </c>
      <c r="B60" s="183">
        <v>62.7</v>
      </c>
      <c r="C60" s="184">
        <v>2.62</v>
      </c>
      <c r="D60" s="184">
        <v>2.71</v>
      </c>
      <c r="E60" s="168">
        <v>7.67</v>
      </c>
      <c r="F60" s="168">
        <v>15.75</v>
      </c>
      <c r="G60" s="168">
        <f t="shared" si="35"/>
        <v>5.33</v>
      </c>
      <c r="H60" s="169">
        <f t="shared" si="36"/>
        <v>1.0343511450381679</v>
      </c>
      <c r="I60" s="170">
        <f>IF(D60&gt;0,IFERROR(GETPIVOTDATA("act_qty",RECPT!$A$43,"yymm","202203","unit","TAL","comm","L"),0),)</f>
        <v>40347.9</v>
      </c>
      <c r="J60" s="119"/>
      <c r="K60" s="166">
        <f t="shared" si="64"/>
        <v>44621</v>
      </c>
      <c r="L60" s="183">
        <v>62.29</v>
      </c>
      <c r="M60" s="184">
        <v>2.65</v>
      </c>
      <c r="N60" s="184">
        <v>3.06</v>
      </c>
      <c r="O60" s="168">
        <v>3.6</v>
      </c>
      <c r="P60" s="168">
        <v>38.200000000000003</v>
      </c>
      <c r="Q60" s="168">
        <f t="shared" si="37"/>
        <v>5.71</v>
      </c>
      <c r="R60" s="169">
        <f t="shared" si="38"/>
        <v>1.1547169811320754</v>
      </c>
      <c r="S60" s="170">
        <f>IF(N60&gt;0,IFERROR(GETPIVOTDATA("act_qty",RECPT!$A$43,"yymm","202203","unit","TAL","comm","F"),0),)</f>
        <v>44209.7</v>
      </c>
      <c r="T60" s="104"/>
      <c r="U60" s="166">
        <f t="shared" si="65"/>
        <v>44621</v>
      </c>
      <c r="V60" s="183"/>
      <c r="W60" s="184"/>
      <c r="X60" s="184"/>
      <c r="Y60" s="168"/>
      <c r="Z60" s="168"/>
      <c r="AA60" s="168" t="str">
        <f t="shared" si="39"/>
        <v/>
      </c>
      <c r="AB60" s="169" t="str">
        <f t="shared" si="40"/>
        <v/>
      </c>
      <c r="AC60" s="170">
        <f>IF(X60&gt;0,IFERROR(GETPIVOTDATA("act_qty",RECPT!$A$43,"yymm","202203","unit","MPR","comm","L"),0),)</f>
        <v>0</v>
      </c>
      <c r="AD60" s="119"/>
      <c r="AE60" s="166">
        <f t="shared" si="66"/>
        <v>44621</v>
      </c>
      <c r="AF60" s="183"/>
      <c r="AG60" s="184"/>
      <c r="AH60" s="184"/>
      <c r="AI60" s="168"/>
      <c r="AJ60" s="168"/>
      <c r="AK60" s="168" t="str">
        <f t="shared" si="41"/>
        <v/>
      </c>
      <c r="AL60" s="169" t="str">
        <f t="shared" si="42"/>
        <v/>
      </c>
      <c r="AM60" s="170">
        <f>IF(AH60&gt;0,IFERROR(GETPIVOTDATA("act_qty",RECPT!$A$43,"yymm","202203","unit","MPR","comm","F"),0),)</f>
        <v>0</v>
      </c>
      <c r="AN60" s="104"/>
      <c r="AO60" s="185">
        <f t="shared" si="47"/>
        <v>44621</v>
      </c>
      <c r="AP60" s="183">
        <f t="shared" si="50"/>
        <v>61.95769716349691</v>
      </c>
      <c r="AQ60" s="184">
        <f t="shared" si="51"/>
        <v>3.4107257092952454</v>
      </c>
      <c r="AR60" s="184">
        <f t="shared" si="52"/>
        <v>2.9971772088544371</v>
      </c>
      <c r="AS60" s="184">
        <f t="shared" si="53"/>
        <v>14.178196894793791</v>
      </c>
      <c r="AT60" s="184">
        <f t="shared" si="54"/>
        <v>15.405949922929096</v>
      </c>
      <c r="AU60" s="168">
        <f t="shared" si="43"/>
        <v>6.4079029181496825</v>
      </c>
      <c r="AV60" s="169">
        <f t="shared" si="55"/>
        <v>0.87875058398458561</v>
      </c>
      <c r="AW60" s="170">
        <f t="shared" si="48"/>
        <v>265534.69999999995</v>
      </c>
      <c r="AX60" s="104"/>
      <c r="AY60" s="185">
        <f t="shared" si="56"/>
        <v>44621</v>
      </c>
      <c r="AZ60" s="183">
        <f t="shared" si="57"/>
        <v>61.187851564103418</v>
      </c>
      <c r="BA60" s="184">
        <f t="shared" si="58"/>
        <v>3.7091339044825666</v>
      </c>
      <c r="BB60" s="184">
        <f t="shared" si="59"/>
        <v>3.6338533355509743</v>
      </c>
      <c r="BC60" s="184">
        <f t="shared" si="60"/>
        <v>5.2455232487164594</v>
      </c>
      <c r="BD60" s="184">
        <f t="shared" si="61"/>
        <v>38.622268551022003</v>
      </c>
      <c r="BE60" s="168">
        <f t="shared" si="45"/>
        <v>7.3429872400335405</v>
      </c>
      <c r="BF60" s="169">
        <f t="shared" si="62"/>
        <v>0.979704003449265</v>
      </c>
      <c r="BG60" s="170">
        <f t="shared" si="49"/>
        <v>375173.4</v>
      </c>
    </row>
    <row r="61" spans="1:59" ht="21.5" thickBot="1" x14ac:dyDescent="0.3">
      <c r="A61" s="191" t="s">
        <v>42</v>
      </c>
      <c r="B61" s="192">
        <v>62.72</v>
      </c>
      <c r="C61" s="192">
        <v>2.78</v>
      </c>
      <c r="D61" s="192">
        <v>2.61</v>
      </c>
      <c r="E61" s="192">
        <v>7.18</v>
      </c>
      <c r="F61" s="192">
        <v>15.97</v>
      </c>
      <c r="G61" s="193">
        <f t="shared" si="35"/>
        <v>5.39</v>
      </c>
      <c r="H61" s="194">
        <f t="shared" si="36"/>
        <v>0.9388489208633094</v>
      </c>
      <c r="I61" s="195">
        <f>SUM(I49:I60)</f>
        <v>411012.9</v>
      </c>
      <c r="J61" s="119"/>
      <c r="K61" s="191" t="s">
        <v>42</v>
      </c>
      <c r="L61" s="192">
        <v>62.46</v>
      </c>
      <c r="M61" s="192">
        <v>2.98</v>
      </c>
      <c r="N61" s="192">
        <v>2.56</v>
      </c>
      <c r="O61" s="192">
        <v>3.01</v>
      </c>
      <c r="P61" s="192">
        <v>16.52</v>
      </c>
      <c r="Q61" s="193">
        <f t="shared" si="37"/>
        <v>5.54</v>
      </c>
      <c r="R61" s="194">
        <f t="shared" si="38"/>
        <v>0.85906040268456374</v>
      </c>
      <c r="S61" s="195">
        <f>SUM(S49:S60)</f>
        <v>903428.6</v>
      </c>
      <c r="T61" s="104"/>
      <c r="U61" s="191" t="s">
        <v>42</v>
      </c>
      <c r="V61" s="192"/>
      <c r="W61" s="192"/>
      <c r="X61" s="192"/>
      <c r="Y61" s="192"/>
      <c r="Z61" s="192"/>
      <c r="AA61" s="193" t="str">
        <f t="shared" si="39"/>
        <v/>
      </c>
      <c r="AB61" s="194" t="str">
        <f t="shared" si="40"/>
        <v/>
      </c>
      <c r="AC61" s="195">
        <f>SUM(AC49:AC60)</f>
        <v>0</v>
      </c>
      <c r="AD61" s="171"/>
      <c r="AE61" s="196" t="s">
        <v>42</v>
      </c>
      <c r="AF61" s="192"/>
      <c r="AG61" s="192"/>
      <c r="AH61" s="192"/>
      <c r="AI61" s="192"/>
      <c r="AJ61" s="192"/>
      <c r="AK61" s="193" t="str">
        <f t="shared" si="41"/>
        <v/>
      </c>
      <c r="AL61" s="194" t="str">
        <f t="shared" si="42"/>
        <v/>
      </c>
      <c r="AM61" s="195">
        <f>SUM(AM49:AM60)</f>
        <v>0</v>
      </c>
      <c r="AN61" s="104"/>
      <c r="AO61" s="196" t="str">
        <f t="shared" si="47"/>
        <v>CUMML</v>
      </c>
      <c r="AP61" s="192">
        <f>+(B19*$I19+B40*$I40+B61*$I61+V19*$AC19+V40*$AC40+V61*$AC61+AP19*$AW19+AP40*$AW40)/$AW61</f>
        <v>62.228064557914806</v>
      </c>
      <c r="AQ61" s="192">
        <f>+(C19*$I19+C40*$I40+C61*$I61+W19*$AC19+W40*$AC40+W61*$AC61+AQ19*$AW19+AQ40*$AW40)/$AW61</f>
        <v>3.4883578119700354</v>
      </c>
      <c r="AR61" s="192">
        <f>+(D19*$I19+D40*$I40+D61*$I61+X19*$AC19+X40*$AC40+X61*$AC61+AR19*$AW19+AR40*$AW40)/$AW61</f>
        <v>2.600188475528308</v>
      </c>
      <c r="AS61" s="192">
        <f>+(E19*$I19+E40*$I40+E61*$I61+Y19*$AC19+Y40*$AC40+Y61*$AC61+AS19*$AW19+AS40*$AW40)/$AW61</f>
        <v>8.193234669896297</v>
      </c>
      <c r="AT61" s="192">
        <f>+(F19*$I19+F40*$I40+F61*$I61+Z19*$AC19+Z40*$AC40+Z61*$AC61+AT19*$AW19+AT40*$AW40)/$AW61</f>
        <v>14.833258642289524</v>
      </c>
      <c r="AU61" s="193">
        <f t="shared" si="43"/>
        <v>6.0885462874983434</v>
      </c>
      <c r="AV61" s="194">
        <f>IF(AQ61&gt;0,+AR61/AQ61,"")</f>
        <v>0.7453904145400333</v>
      </c>
      <c r="AW61" s="195">
        <f>SUM(AW49:AW60)</f>
        <v>2656330.5299999993</v>
      </c>
      <c r="AX61" s="104"/>
      <c r="AY61" s="196" t="s">
        <v>42</v>
      </c>
      <c r="AZ61" s="192">
        <f>+(L19*$S19+L40*$S40+L61*$S61+AF19*$AM19+AF40*$AM40+AF61*$AM61+AZ19*$BG19+AZ40*$BG40)/$BG61</f>
        <v>61.603356009202557</v>
      </c>
      <c r="BA61" s="192">
        <f>+(M19*$S19+M40*$S40+M61*$S61+AG19*$AM19+AG40*$AM40+AG61*$AM61+BA19*$BG19+BA40*$BG40)/$BG61</f>
        <v>3.9085333127441517</v>
      </c>
      <c r="BB61" s="192">
        <f>+(N19*$S19+N40*$S40+N61*$S61+AH19*$AM19+AH40*$AM40+AH61*$AM61+BB19*$BG19+BB40*$BG40)/$BG61</f>
        <v>2.8572312029590581</v>
      </c>
      <c r="BC61" s="192">
        <f>+(O19*$S19+O40*$S40+O61*$S61+AI19*$AM19+AI40*$AM40+AI61*$AM61+BC19*$BG19+BC40*$BG40)/$BG61</f>
        <v>2.6057727667741171</v>
      </c>
      <c r="BD61" s="192">
        <f>+(P19*$S19+P40*$S40+P61*$S61+AJ19*$AM19+AJ40*$AM40+AJ61*$AM61+BD19*$BG19+BD40*$BG40)/$BG61</f>
        <v>18.42356596107096</v>
      </c>
      <c r="BE61" s="193">
        <f t="shared" si="45"/>
        <v>6.7657645157032098</v>
      </c>
      <c r="BF61" s="194">
        <f>IF(BA61&gt;0,+BB61/BA61,"")</f>
        <v>0.73102388398297102</v>
      </c>
      <c r="BG61" s="195">
        <f>SUM(BG49:BG60)</f>
        <v>4944279.41</v>
      </c>
    </row>
    <row r="62" spans="1:59" ht="21" x14ac:dyDescent="0.25">
      <c r="A62" s="5"/>
      <c r="B62" s="5"/>
      <c r="C62" s="5"/>
      <c r="D62" s="5"/>
      <c r="E62" s="5"/>
      <c r="F62" s="5"/>
      <c r="G62" s="5"/>
      <c r="H62" s="5"/>
      <c r="I62" s="21"/>
      <c r="J62" s="5"/>
      <c r="K62" s="5"/>
      <c r="L62" s="205">
        <f>L56*1.4298+Q56</f>
        <v>94.831096000000002</v>
      </c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</row>
    <row r="63" spans="1:59" ht="21" x14ac:dyDescent="0.35">
      <c r="A63" s="22"/>
      <c r="B63" s="10"/>
      <c r="C63" s="10"/>
      <c r="D63" s="10"/>
      <c r="E63" s="10"/>
      <c r="F63" s="10"/>
      <c r="G63" s="10"/>
      <c r="H63" s="10"/>
      <c r="I63" s="23"/>
      <c r="J63" s="5"/>
      <c r="K63" s="22"/>
      <c r="L63" s="212">
        <f>L61*1.4298+Q61</f>
        <v>94.845308000000003</v>
      </c>
      <c r="M63" s="10"/>
      <c r="N63" s="10"/>
      <c r="O63" s="10"/>
      <c r="P63" s="10"/>
      <c r="Q63" s="10"/>
      <c r="R63" s="10"/>
      <c r="S63" s="23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</row>
    <row r="64" spans="1:59" ht="34.5" customHeight="1" x14ac:dyDescent="0.45">
      <c r="A64" s="588"/>
      <c r="B64" s="588"/>
      <c r="C64" s="588"/>
      <c r="D64" s="588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14"/>
      <c r="R64" s="14"/>
      <c r="S64" s="14"/>
      <c r="T64" s="24"/>
      <c r="U64" s="13"/>
      <c r="V64" s="14"/>
      <c r="W64" s="14"/>
      <c r="X64" s="14"/>
      <c r="Y64" s="14"/>
      <c r="Z64" s="14"/>
      <c r="AA64" s="14"/>
      <c r="AB64" s="24"/>
      <c r="AC64" s="24"/>
      <c r="AD64" s="24"/>
      <c r="AE64" s="24"/>
      <c r="AF64" s="24"/>
      <c r="AG64" s="24"/>
      <c r="AH64" s="24"/>
      <c r="AI64" s="25"/>
      <c r="AJ64" s="11"/>
      <c r="AK64" s="24"/>
      <c r="AL64" s="24"/>
      <c r="AM64" s="24"/>
      <c r="AN64" s="24"/>
      <c r="AO64" s="24"/>
      <c r="AP64" s="10"/>
      <c r="AQ64" s="10"/>
      <c r="AR64" s="10"/>
      <c r="AS64" s="10"/>
      <c r="AT64" s="10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</row>
    <row r="65" spans="1:59" s="371" customFormat="1" ht="29.25" customHeight="1" x14ac:dyDescent="0.5">
      <c r="A65" s="591" t="s">
        <v>49</v>
      </c>
      <c r="B65" s="591"/>
      <c r="C65" s="591" t="s">
        <v>50</v>
      </c>
      <c r="D65" s="591"/>
      <c r="E65" s="591"/>
      <c r="F65" s="591"/>
      <c r="G65" s="24"/>
      <c r="H65" s="29"/>
      <c r="I65" s="29"/>
      <c r="J65" s="24"/>
      <c r="K65" s="592" t="s">
        <v>51</v>
      </c>
      <c r="L65" s="592"/>
      <c r="M65" s="591" t="s">
        <v>52</v>
      </c>
      <c r="N65" s="591"/>
      <c r="O65" s="591"/>
      <c r="P65" s="591"/>
      <c r="Q65" s="29"/>
      <c r="R65" s="364"/>
      <c r="S65" s="364"/>
      <c r="T65" s="365"/>
      <c r="U65" s="366"/>
      <c r="V65" s="367"/>
      <c r="W65" s="367"/>
      <c r="X65" s="366"/>
      <c r="Y65" s="368"/>
      <c r="Z65" s="369"/>
      <c r="AA65" s="364"/>
      <c r="AB65" s="365"/>
      <c r="AC65" s="365"/>
      <c r="AD65" s="365"/>
      <c r="AE65" s="366"/>
      <c r="AF65" s="367"/>
      <c r="AG65" s="367"/>
      <c r="AH65" s="364"/>
      <c r="AI65" s="369"/>
      <c r="AJ65" s="369"/>
      <c r="AK65" s="365"/>
      <c r="AL65" s="365"/>
      <c r="AM65" s="365"/>
      <c r="AN65" s="365"/>
      <c r="AO65" s="365"/>
      <c r="AP65" s="365"/>
      <c r="AQ65" s="365"/>
      <c r="AR65" s="365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</row>
    <row r="66" spans="1:59" ht="29" thickBot="1" x14ac:dyDescent="0.7">
      <c r="A66" s="28"/>
      <c r="B66" s="28"/>
      <c r="C66" s="28"/>
      <c r="D66" s="28"/>
      <c r="E66" s="28"/>
      <c r="F66" s="28"/>
      <c r="G66" s="24"/>
      <c r="H66" s="11"/>
      <c r="I66" s="31"/>
      <c r="J66" s="24"/>
      <c r="K66" s="32">
        <f t="shared" ref="K66:K67" si="67">AE42</f>
        <v>0</v>
      </c>
      <c r="L66" s="32">
        <f>AF42</f>
        <v>94.835536000000005</v>
      </c>
      <c r="M66" s="32">
        <f>AG42</f>
        <v>0</v>
      </c>
      <c r="N66" s="32">
        <f>AH42</f>
        <v>0</v>
      </c>
      <c r="O66" s="32">
        <f>AI42</f>
        <v>0</v>
      </c>
      <c r="P66" s="32">
        <f>AJ42</f>
        <v>0</v>
      </c>
      <c r="Q66" s="11"/>
      <c r="R66" s="11"/>
      <c r="S66" s="11"/>
      <c r="T66" s="24"/>
      <c r="U66" s="11"/>
      <c r="V66" s="11"/>
      <c r="W66" s="11"/>
      <c r="X66" s="11"/>
      <c r="Y66" s="11"/>
      <c r="Z66" s="11"/>
      <c r="AA66" s="29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</row>
    <row r="67" spans="1:59" ht="21.5" thickBot="1" x14ac:dyDescent="0.5">
      <c r="A67" s="448"/>
      <c r="B67" s="449" t="s">
        <v>53</v>
      </c>
      <c r="C67" s="450" t="s">
        <v>54</v>
      </c>
      <c r="D67" s="450" t="s">
        <v>55</v>
      </c>
      <c r="E67" s="450" t="s">
        <v>37</v>
      </c>
      <c r="F67" s="451" t="s">
        <v>38</v>
      </c>
      <c r="G67" s="452" t="s">
        <v>41</v>
      </c>
      <c r="H67" s="453"/>
      <c r="I67" s="453"/>
      <c r="J67" s="454"/>
      <c r="K67" s="455">
        <f t="shared" si="67"/>
        <v>0</v>
      </c>
      <c r="L67" s="449" t="s">
        <v>53</v>
      </c>
      <c r="M67" s="450" t="s">
        <v>54</v>
      </c>
      <c r="N67" s="450" t="s">
        <v>55</v>
      </c>
      <c r="O67" s="450" t="s">
        <v>37</v>
      </c>
      <c r="P67" s="451" t="s">
        <v>38</v>
      </c>
      <c r="Q67" s="452" t="s">
        <v>41</v>
      </c>
      <c r="R67" s="24"/>
      <c r="S67" s="24"/>
      <c r="T67" s="24"/>
      <c r="U67" s="38"/>
      <c r="V67" s="39"/>
      <c r="W67" s="39"/>
      <c r="X67" s="39"/>
      <c r="Y67" s="39"/>
      <c r="Z67" s="39"/>
      <c r="AA67" s="29"/>
      <c r="AB67" s="39"/>
      <c r="AC67" s="24"/>
      <c r="AD67" s="24"/>
      <c r="AE67" s="38"/>
      <c r="AF67" s="39"/>
      <c r="AG67" s="39"/>
      <c r="AH67" s="39"/>
      <c r="AI67" s="39"/>
      <c r="AJ67" s="39"/>
      <c r="AK67" s="39"/>
      <c r="AL67" s="24"/>
      <c r="AM67" s="24"/>
      <c r="AN67" s="24"/>
      <c r="AO67" s="24"/>
      <c r="AP67" s="24"/>
      <c r="AQ67" s="24"/>
      <c r="AR67" s="24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</row>
    <row r="68" spans="1:59" ht="21" thickBot="1" x14ac:dyDescent="0.5">
      <c r="A68" s="456" t="str">
        <f t="shared" ref="A68:A69" si="68">A5</f>
        <v>Act 20-21</v>
      </c>
      <c r="B68" s="457">
        <v>49.25</v>
      </c>
      <c r="C68" s="458">
        <v>2.95</v>
      </c>
      <c r="D68" s="458">
        <v>3.45</v>
      </c>
      <c r="E68" s="458"/>
      <c r="F68" s="459"/>
      <c r="G68" s="460"/>
      <c r="H68" s="453"/>
      <c r="I68" s="453"/>
      <c r="J68" s="454"/>
      <c r="K68" s="456" t="str">
        <f>A68</f>
        <v>Act 20-21</v>
      </c>
      <c r="L68" s="457"/>
      <c r="M68" s="458"/>
      <c r="N68" s="458"/>
      <c r="O68" s="458"/>
      <c r="P68" s="459"/>
      <c r="Q68" s="460"/>
      <c r="R68" s="24"/>
      <c r="S68" s="24"/>
      <c r="T68" s="24"/>
      <c r="U68" s="44"/>
      <c r="V68" s="44"/>
      <c r="W68" s="44"/>
      <c r="X68" s="44"/>
      <c r="Y68" s="44"/>
      <c r="Z68" s="44"/>
      <c r="AA68" s="29"/>
      <c r="AB68" s="45"/>
      <c r="AC68" s="24"/>
      <c r="AD68" s="24"/>
      <c r="AE68" s="44"/>
      <c r="AF68" s="46"/>
      <c r="AG68" s="46"/>
      <c r="AH68" s="46"/>
      <c r="AI68" s="46"/>
      <c r="AJ68" s="46"/>
      <c r="AK68" s="45"/>
      <c r="AL68" s="24"/>
      <c r="AM68" s="24"/>
      <c r="AN68" s="24"/>
      <c r="AO68" s="24"/>
      <c r="AP68" s="24"/>
      <c r="AQ68" s="24"/>
      <c r="AR68" s="24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</row>
    <row r="69" spans="1:59" ht="21" thickBot="1" x14ac:dyDescent="0.5">
      <c r="A69" s="461" t="str">
        <f t="shared" si="68"/>
        <v>APP 21-22</v>
      </c>
      <c r="B69" s="449">
        <v>50</v>
      </c>
      <c r="C69" s="450">
        <v>2.25</v>
      </c>
      <c r="D69" s="450">
        <v>3.5</v>
      </c>
      <c r="E69" s="450">
        <v>5</v>
      </c>
      <c r="F69" s="451">
        <v>5</v>
      </c>
      <c r="G69" s="462"/>
      <c r="H69" s="453"/>
      <c r="I69" s="453"/>
      <c r="J69" s="454"/>
      <c r="K69" s="461" t="str">
        <f t="shared" ref="K69:K82" si="69">A69</f>
        <v>APP 21-22</v>
      </c>
      <c r="L69" s="449">
        <v>30</v>
      </c>
      <c r="M69" s="450">
        <v>18</v>
      </c>
      <c r="N69" s="450">
        <v>5</v>
      </c>
      <c r="O69" s="450">
        <v>5</v>
      </c>
      <c r="P69" s="451">
        <v>10</v>
      </c>
      <c r="Q69" s="462"/>
      <c r="R69" s="24"/>
      <c r="S69" s="24"/>
      <c r="T69" s="24"/>
      <c r="U69" s="48"/>
      <c r="V69" s="49"/>
      <c r="W69" s="49"/>
      <c r="X69" s="49"/>
      <c r="Y69" s="49"/>
      <c r="Z69" s="49"/>
      <c r="AA69" s="29"/>
      <c r="AB69" s="8"/>
      <c r="AC69" s="24"/>
      <c r="AD69" s="24"/>
      <c r="AE69" s="50"/>
      <c r="AF69" s="51"/>
      <c r="AG69" s="51"/>
      <c r="AH69" s="51"/>
      <c r="AI69" s="51"/>
      <c r="AJ69" s="51"/>
      <c r="AK69" s="8"/>
      <c r="AL69" s="24"/>
      <c r="AM69" s="24"/>
      <c r="AN69" s="24"/>
      <c r="AO69" s="24"/>
      <c r="AP69" s="24"/>
      <c r="AQ69" s="24"/>
      <c r="AR69" s="24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</row>
    <row r="70" spans="1:59" ht="21" x14ac:dyDescent="0.45">
      <c r="A70" s="463">
        <f>A7</f>
        <v>44287</v>
      </c>
      <c r="B70" s="464">
        <v>49.48</v>
      </c>
      <c r="C70" s="465">
        <v>2.73</v>
      </c>
      <c r="D70" s="465">
        <v>3.49</v>
      </c>
      <c r="E70" s="465">
        <v>0</v>
      </c>
      <c r="F70" s="466">
        <v>6</v>
      </c>
      <c r="G70" s="467">
        <f>IF(B70&gt;0,IFERROR(GETPIVOTDATA("act_qty",RECPT!$A$43,"yymm","202104","unit","KTR","comm","LS"),0),)</f>
        <v>16108</v>
      </c>
      <c r="H70" s="453"/>
      <c r="I70" s="453"/>
      <c r="J70" s="454"/>
      <c r="K70" s="463">
        <f t="shared" si="69"/>
        <v>44287</v>
      </c>
      <c r="L70" s="464"/>
      <c r="M70" s="465"/>
      <c r="N70" s="465"/>
      <c r="O70" s="465"/>
      <c r="P70" s="466"/>
      <c r="Q70" s="467">
        <f>IF(L70&gt;0,IFERROR(GETPIVOTDATA("act_qty",RECPT!$A$43,"yymm","202104","unit","TDM","comm","BD"),0),)</f>
        <v>0</v>
      </c>
      <c r="R70" s="24"/>
      <c r="S70" s="24"/>
      <c r="T70" s="24"/>
      <c r="U70" s="9"/>
      <c r="V70" s="15"/>
      <c r="W70" s="15"/>
      <c r="X70" s="15"/>
      <c r="Y70" s="15"/>
      <c r="Z70" s="15"/>
      <c r="AA70" s="29"/>
      <c r="AB70" s="23"/>
      <c r="AC70" s="24"/>
      <c r="AD70" s="24"/>
      <c r="AE70" s="9"/>
      <c r="AF70" s="10"/>
      <c r="AG70" s="10"/>
      <c r="AH70" s="10"/>
      <c r="AI70" s="10"/>
      <c r="AJ70" s="10"/>
      <c r="AK70" s="23"/>
      <c r="AL70" s="24"/>
      <c r="AM70" s="24"/>
      <c r="AN70" s="24"/>
      <c r="AO70" s="24"/>
      <c r="AP70" s="24"/>
      <c r="AQ70" s="24"/>
      <c r="AR70" s="24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</row>
    <row r="71" spans="1:59" ht="21" x14ac:dyDescent="0.45">
      <c r="A71" s="448">
        <f t="shared" ref="A71:A82" si="70">A8</f>
        <v>44317</v>
      </c>
      <c r="B71" s="464"/>
      <c r="C71" s="468"/>
      <c r="D71" s="468"/>
      <c r="E71" s="468"/>
      <c r="F71" s="469"/>
      <c r="G71" s="470">
        <f>IF(B71&gt;0,IFERROR(GETPIVOTDATA("act_qty",RECPT!$A$43,"yymm","202105","unit","KTR","comm","LS"),0),)</f>
        <v>0</v>
      </c>
      <c r="H71" s="453"/>
      <c r="I71" s="453"/>
      <c r="J71" s="454"/>
      <c r="K71" s="448">
        <f t="shared" si="69"/>
        <v>44317</v>
      </c>
      <c r="L71" s="464"/>
      <c r="M71" s="468"/>
      <c r="N71" s="468"/>
      <c r="O71" s="468"/>
      <c r="P71" s="469"/>
      <c r="Q71" s="470">
        <f>IF(L71&gt;0,IFERROR(GETPIVOTDATA("act_qty",RECPT!$A$43,"yymm","202105","unit","TDM","comm","BD"),0),)</f>
        <v>0</v>
      </c>
      <c r="R71" s="24"/>
      <c r="S71" s="24"/>
      <c r="T71" s="24"/>
      <c r="U71" s="9"/>
      <c r="V71" s="15"/>
      <c r="W71" s="15"/>
      <c r="X71" s="15"/>
      <c r="Y71" s="15"/>
      <c r="Z71" s="15"/>
      <c r="AA71" s="29"/>
      <c r="AB71" s="10"/>
      <c r="AC71" s="24"/>
      <c r="AD71" s="24"/>
      <c r="AE71" s="9"/>
      <c r="AF71" s="10"/>
      <c r="AG71" s="10"/>
      <c r="AH71" s="10"/>
      <c r="AI71" s="10"/>
      <c r="AJ71" s="10"/>
      <c r="AK71" s="23"/>
      <c r="AL71" s="24"/>
      <c r="AM71" s="24"/>
      <c r="AN71" s="24"/>
      <c r="AO71" s="24"/>
      <c r="AP71" s="24"/>
      <c r="AQ71" s="24"/>
      <c r="AR71" s="24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</row>
    <row r="72" spans="1:59" ht="21" x14ac:dyDescent="0.45">
      <c r="A72" s="448">
        <f t="shared" si="70"/>
        <v>44348</v>
      </c>
      <c r="B72" s="464"/>
      <c r="C72" s="468"/>
      <c r="D72" s="468"/>
      <c r="E72" s="468"/>
      <c r="F72" s="469"/>
      <c r="G72" s="470">
        <f>IF(B72&gt;0,IFERROR(GETPIVOTDATA("act_qty",RECPT!$A$43,"yymm","202106","unit","KTR","comm","LS"),0),)</f>
        <v>0</v>
      </c>
      <c r="H72" s="453"/>
      <c r="I72" s="453"/>
      <c r="J72" s="454"/>
      <c r="K72" s="448">
        <f t="shared" si="69"/>
        <v>44348</v>
      </c>
      <c r="L72" s="464"/>
      <c r="M72" s="468"/>
      <c r="N72" s="468"/>
      <c r="O72" s="468"/>
      <c r="P72" s="469"/>
      <c r="Q72" s="470">
        <f>IF(L72&gt;0,IFERROR(GETPIVOTDATA("act_qty",RECPT!$A$43,"yymm","202106","unit","TDM","comm","BD"),0),)</f>
        <v>0</v>
      </c>
      <c r="R72" s="24"/>
      <c r="S72" s="24"/>
      <c r="T72" s="24"/>
      <c r="U72" s="9"/>
      <c r="V72" s="15"/>
      <c r="W72" s="15"/>
      <c r="X72" s="15"/>
      <c r="Y72" s="15"/>
      <c r="Z72" s="15"/>
      <c r="AA72" s="29"/>
      <c r="AB72" s="10"/>
      <c r="AC72" s="24"/>
      <c r="AD72" s="24"/>
      <c r="AE72" s="9"/>
      <c r="AF72" s="10"/>
      <c r="AG72" s="10"/>
      <c r="AH72" s="10"/>
      <c r="AI72" s="10"/>
      <c r="AJ72" s="10"/>
      <c r="AK72" s="23"/>
      <c r="AL72" s="24"/>
      <c r="AM72" s="24"/>
      <c r="AN72" s="24"/>
      <c r="AO72" s="24"/>
      <c r="AP72" s="24"/>
      <c r="AQ72" s="24"/>
      <c r="AR72" s="24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</row>
    <row r="73" spans="1:59" ht="21" x14ac:dyDescent="0.45">
      <c r="A73" s="448">
        <f t="shared" si="70"/>
        <v>44378</v>
      </c>
      <c r="B73" s="464"/>
      <c r="C73" s="468"/>
      <c r="D73" s="468"/>
      <c r="E73" s="468"/>
      <c r="F73" s="469"/>
      <c r="G73" s="470">
        <f>IF(B73&gt;0,IFERROR(GETPIVOTDATA("act_qty",RECPT!$A$43,"yymm","202107","unit","KTR","comm","LS"),0),)</f>
        <v>0</v>
      </c>
      <c r="H73" s="453"/>
      <c r="I73" s="453"/>
      <c r="J73" s="454"/>
      <c r="K73" s="448">
        <f t="shared" si="69"/>
        <v>44378</v>
      </c>
      <c r="L73" s="464"/>
      <c r="M73" s="468"/>
      <c r="N73" s="468"/>
      <c r="O73" s="468"/>
      <c r="P73" s="469"/>
      <c r="Q73" s="470">
        <f>IF(L73&gt;0,IFERROR(GETPIVOTDATA("act_qty",RECPT!$A$43,"yymm","202107","unit","TDM","comm","BD"),0),)</f>
        <v>0</v>
      </c>
      <c r="R73" s="24"/>
      <c r="S73" s="24"/>
      <c r="T73" s="24"/>
      <c r="U73" s="9"/>
      <c r="V73" s="15"/>
      <c r="W73" s="15"/>
      <c r="X73" s="15"/>
      <c r="Y73" s="15"/>
      <c r="Z73" s="15"/>
      <c r="AA73" s="29"/>
      <c r="AB73" s="10"/>
      <c r="AC73" s="24"/>
      <c r="AD73" s="24"/>
      <c r="AE73" s="9"/>
      <c r="AF73" s="10"/>
      <c r="AG73" s="10"/>
      <c r="AH73" s="10"/>
      <c r="AI73" s="10"/>
      <c r="AJ73" s="10"/>
      <c r="AK73" s="23"/>
      <c r="AL73" s="24"/>
      <c r="AM73" s="24"/>
      <c r="AN73" s="24"/>
      <c r="AO73" s="24"/>
      <c r="AP73" s="24"/>
      <c r="AQ73" s="24"/>
      <c r="AR73" s="24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</row>
    <row r="74" spans="1:59" ht="21" x14ac:dyDescent="0.45">
      <c r="A74" s="448">
        <f t="shared" si="70"/>
        <v>44409</v>
      </c>
      <c r="B74" s="464"/>
      <c r="C74" s="468"/>
      <c r="D74" s="468"/>
      <c r="E74" s="468"/>
      <c r="F74" s="469"/>
      <c r="G74" s="470">
        <f>IF(B74&gt;0,IFERROR(GETPIVOTDATA("act_qty",RECPT!$A$43,"yymm","202108","unit","KTR","comm","LS"),0),)</f>
        <v>0</v>
      </c>
      <c r="H74" s="453"/>
      <c r="I74" s="453"/>
      <c r="J74" s="454"/>
      <c r="K74" s="448">
        <f t="shared" si="69"/>
        <v>44409</v>
      </c>
      <c r="L74" s="464"/>
      <c r="M74" s="468"/>
      <c r="N74" s="468"/>
      <c r="O74" s="468"/>
      <c r="P74" s="469"/>
      <c r="Q74" s="470">
        <f>IF(L74&gt;0,IFERROR(GETPIVOTDATA("act_qty",RECPT!$A$43,"yymm","202108","unit","TDM","comm","BD"),0),)</f>
        <v>0</v>
      </c>
      <c r="R74" s="24"/>
      <c r="S74" s="24"/>
      <c r="T74" s="24"/>
      <c r="U74" s="9"/>
      <c r="V74" s="15"/>
      <c r="W74" s="15"/>
      <c r="X74" s="15"/>
      <c r="Y74" s="15"/>
      <c r="Z74" s="15"/>
      <c r="AA74" s="29"/>
      <c r="AB74" s="10"/>
      <c r="AC74" s="24"/>
      <c r="AD74" s="24"/>
      <c r="AE74" s="9"/>
      <c r="AF74" s="10"/>
      <c r="AG74" s="10"/>
      <c r="AH74" s="10"/>
      <c r="AI74" s="10"/>
      <c r="AJ74" s="10"/>
      <c r="AK74" s="23"/>
      <c r="AL74" s="24"/>
      <c r="AM74" s="24"/>
      <c r="AN74" s="24"/>
      <c r="AO74" s="24"/>
      <c r="AP74" s="24"/>
      <c r="AQ74" s="24"/>
      <c r="AR74" s="24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</row>
    <row r="75" spans="1:59" ht="21" x14ac:dyDescent="0.45">
      <c r="A75" s="448">
        <f t="shared" si="70"/>
        <v>44440</v>
      </c>
      <c r="B75" s="464"/>
      <c r="C75" s="468"/>
      <c r="D75" s="468"/>
      <c r="E75" s="468"/>
      <c r="F75" s="469"/>
      <c r="G75" s="470">
        <f>IF(B75&gt;0,IFERROR(GETPIVOTDATA("act_qty",RECPT!$A$43,"yymm","202109","unit","KTR","comm","LS"),0),)</f>
        <v>0</v>
      </c>
      <c r="H75" s="453"/>
      <c r="I75" s="453"/>
      <c r="J75" s="454"/>
      <c r="K75" s="448">
        <f t="shared" si="69"/>
        <v>44440</v>
      </c>
      <c r="L75" s="464"/>
      <c r="M75" s="468"/>
      <c r="N75" s="468"/>
      <c r="O75" s="468"/>
      <c r="P75" s="469"/>
      <c r="Q75" s="470">
        <f>IF(L75&gt;0,IFERROR(GETPIVOTDATA("act_qty",RECPT!$A$43,"yymm","202109","unit","TDM","comm","BD"),0),)</f>
        <v>0</v>
      </c>
      <c r="R75" s="24"/>
      <c r="S75" s="24"/>
      <c r="T75" s="24"/>
      <c r="U75" s="9"/>
      <c r="V75" s="15"/>
      <c r="W75" s="15"/>
      <c r="X75" s="15"/>
      <c r="Y75" s="15"/>
      <c r="Z75" s="15"/>
      <c r="AA75" s="29"/>
      <c r="AB75" s="10"/>
      <c r="AC75" s="24"/>
      <c r="AD75" s="24"/>
      <c r="AE75" s="9"/>
      <c r="AF75" s="10"/>
      <c r="AG75" s="10"/>
      <c r="AH75" s="10"/>
      <c r="AI75" s="10"/>
      <c r="AJ75" s="10"/>
      <c r="AK75" s="23"/>
      <c r="AL75" s="24"/>
      <c r="AM75" s="24"/>
      <c r="AN75" s="24"/>
      <c r="AO75" s="24"/>
      <c r="AP75" s="24"/>
      <c r="AQ75" s="24"/>
      <c r="AR75" s="24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</row>
    <row r="76" spans="1:59" ht="21" x14ac:dyDescent="0.45">
      <c r="A76" s="448">
        <f t="shared" si="70"/>
        <v>44470</v>
      </c>
      <c r="B76" s="464"/>
      <c r="C76" s="468"/>
      <c r="D76" s="468"/>
      <c r="E76" s="468"/>
      <c r="F76" s="469"/>
      <c r="G76" s="470">
        <f>IF(B76&gt;0,IFERROR(GETPIVOTDATA("act_qty",RECPT!$A$43,"yymm","202110","unit","KTR","comm","LS"),0),)</f>
        <v>0</v>
      </c>
      <c r="H76" s="453"/>
      <c r="I76" s="453"/>
      <c r="J76" s="454"/>
      <c r="K76" s="448">
        <f t="shared" si="69"/>
        <v>44470</v>
      </c>
      <c r="L76" s="464"/>
      <c r="M76" s="468"/>
      <c r="N76" s="468"/>
      <c r="O76" s="468"/>
      <c r="P76" s="469"/>
      <c r="Q76" s="470">
        <f>IF(L76&gt;0,IFERROR(GETPIVOTDATA("act_qty",RECPT!$A$43,"yymm","202110","unit","TDM","comm","BD"),0),)</f>
        <v>0</v>
      </c>
      <c r="R76" s="24"/>
      <c r="S76" s="24"/>
      <c r="T76" s="24"/>
      <c r="U76" s="9"/>
      <c r="V76" s="15"/>
      <c r="W76" s="15"/>
      <c r="X76" s="15"/>
      <c r="Y76" s="15"/>
      <c r="Z76" s="15"/>
      <c r="AA76" s="29"/>
      <c r="AB76" s="10"/>
      <c r="AC76" s="24"/>
      <c r="AD76" s="24"/>
      <c r="AE76" s="9"/>
      <c r="AF76" s="10"/>
      <c r="AG76" s="10"/>
      <c r="AH76" s="10"/>
      <c r="AI76" s="10"/>
      <c r="AJ76" s="10"/>
      <c r="AK76" s="23"/>
      <c r="AL76" s="24"/>
      <c r="AM76" s="24"/>
      <c r="AN76" s="24"/>
      <c r="AO76" s="24"/>
      <c r="AP76" s="24"/>
      <c r="AQ76" s="24"/>
      <c r="AR76" s="24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</row>
    <row r="77" spans="1:59" ht="21" x14ac:dyDescent="0.45">
      <c r="A77" s="448">
        <f t="shared" si="70"/>
        <v>44501</v>
      </c>
      <c r="B77" s="464"/>
      <c r="C77" s="468"/>
      <c r="D77" s="468"/>
      <c r="E77" s="468"/>
      <c r="F77" s="471"/>
      <c r="G77" s="470">
        <f>IF(B77&gt;0,IFERROR(GETPIVOTDATA("act_qty",RECPT!$A$43,"yymm","202111","unit","KTR","comm","LS"),0),)</f>
        <v>0</v>
      </c>
      <c r="H77" s="453"/>
      <c r="I77" s="453"/>
      <c r="J77" s="454"/>
      <c r="K77" s="448">
        <f t="shared" si="69"/>
        <v>44501</v>
      </c>
      <c r="L77" s="464"/>
      <c r="M77" s="468"/>
      <c r="N77" s="468"/>
      <c r="O77" s="468"/>
      <c r="P77" s="471"/>
      <c r="Q77" s="470">
        <f>IF(L77&gt;0,IFERROR(GETPIVOTDATA("act_qty",RECPT!$A$43,"yymm","202111","unit","TDM","comm","BD"),0),)</f>
        <v>0</v>
      </c>
      <c r="R77" s="24"/>
      <c r="S77" s="24"/>
      <c r="T77" s="24"/>
      <c r="U77" s="9"/>
      <c r="V77" s="15"/>
      <c r="W77" s="15"/>
      <c r="X77" s="15"/>
      <c r="Y77" s="15"/>
      <c r="Z77" s="15"/>
      <c r="AA77" s="29"/>
      <c r="AB77" s="10"/>
      <c r="AC77" s="24"/>
      <c r="AD77" s="24"/>
      <c r="AE77" s="9"/>
      <c r="AF77" s="10"/>
      <c r="AG77" s="10"/>
      <c r="AH77" s="10"/>
      <c r="AI77" s="10"/>
      <c r="AJ77" s="10"/>
      <c r="AK77" s="23"/>
      <c r="AL77" s="24"/>
      <c r="AM77" s="24"/>
      <c r="AN77" s="24"/>
      <c r="AO77" s="24"/>
      <c r="AP77" s="24"/>
      <c r="AQ77" s="24"/>
      <c r="AR77" s="24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</row>
    <row r="78" spans="1:59" ht="21" x14ac:dyDescent="0.45">
      <c r="A78" s="448">
        <f t="shared" si="70"/>
        <v>44531</v>
      </c>
      <c r="B78" s="464"/>
      <c r="C78" s="468"/>
      <c r="D78" s="468"/>
      <c r="E78" s="468"/>
      <c r="F78" s="471"/>
      <c r="G78" s="470">
        <f>IF(B78&gt;0,IFERROR(GETPIVOTDATA("act_qty",RECPT!$A$43,"yymm","202112","unit","KTR","comm","LS"),0),)</f>
        <v>0</v>
      </c>
      <c r="H78" s="453"/>
      <c r="I78" s="453"/>
      <c r="J78" s="454"/>
      <c r="K78" s="448">
        <f t="shared" si="69"/>
        <v>44531</v>
      </c>
      <c r="L78" s="464"/>
      <c r="M78" s="468"/>
      <c r="N78" s="468"/>
      <c r="O78" s="468"/>
      <c r="P78" s="471"/>
      <c r="Q78" s="470">
        <f>IF(L78&gt;0,IFERROR(GETPIVOTDATA("act_qty",RECPT!$A$43,"yymm","202112","unit","TDM","comm","BD"),0),)</f>
        <v>0</v>
      </c>
      <c r="R78" s="24"/>
      <c r="S78" s="24"/>
      <c r="T78" s="24"/>
      <c r="U78" s="9"/>
      <c r="V78" s="15"/>
      <c r="W78" s="15"/>
      <c r="X78" s="15"/>
      <c r="Y78" s="15"/>
      <c r="Z78" s="15"/>
      <c r="AA78" s="29"/>
      <c r="AB78" s="10"/>
      <c r="AC78" s="24"/>
      <c r="AD78" s="24"/>
      <c r="AE78" s="9"/>
      <c r="AF78" s="10"/>
      <c r="AG78" s="10"/>
      <c r="AH78" s="10"/>
      <c r="AI78" s="10"/>
      <c r="AJ78" s="10"/>
      <c r="AK78" s="23"/>
      <c r="AL78" s="24"/>
      <c r="AM78" s="24"/>
      <c r="AN78" s="24"/>
      <c r="AO78" s="24"/>
      <c r="AP78" s="24"/>
      <c r="AQ78" s="24"/>
      <c r="AR78" s="24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</row>
    <row r="79" spans="1:59" ht="21" x14ac:dyDescent="0.45">
      <c r="A79" s="448">
        <f t="shared" si="70"/>
        <v>44562</v>
      </c>
      <c r="B79" s="464"/>
      <c r="C79" s="468"/>
      <c r="D79" s="468"/>
      <c r="E79" s="468"/>
      <c r="F79" s="471"/>
      <c r="G79" s="470">
        <f>IF(B79&gt;0,IFERROR(GETPIVOTDATA("act_qty",RECPT!$A$43,"yymm","202201","unit","KTR","comm","LS"),0),)</f>
        <v>0</v>
      </c>
      <c r="H79" s="453"/>
      <c r="I79" s="453"/>
      <c r="J79" s="454"/>
      <c r="K79" s="448">
        <f t="shared" si="69"/>
        <v>44562</v>
      </c>
      <c r="L79" s="464"/>
      <c r="M79" s="468"/>
      <c r="N79" s="468"/>
      <c r="O79" s="468"/>
      <c r="P79" s="471"/>
      <c r="Q79" s="470">
        <f>IF(L79&gt;0,IFERROR(GETPIVOTDATA("act_qty",RECPT!$A$43,"yymm","202201","unit","TDM","comm","BD"),0),)</f>
        <v>0</v>
      </c>
      <c r="R79" s="24"/>
      <c r="S79" s="24"/>
      <c r="T79" s="24"/>
      <c r="U79" s="9"/>
      <c r="V79" s="15"/>
      <c r="W79" s="15"/>
      <c r="X79" s="15"/>
      <c r="Y79" s="15"/>
      <c r="Z79" s="15"/>
      <c r="AA79" s="29"/>
      <c r="AB79" s="10"/>
      <c r="AC79" s="24"/>
      <c r="AD79" s="24"/>
      <c r="AE79" s="9"/>
      <c r="AF79" s="10"/>
      <c r="AG79" s="10"/>
      <c r="AH79" s="10"/>
      <c r="AI79" s="10"/>
      <c r="AJ79" s="10"/>
      <c r="AK79" s="23"/>
      <c r="AL79" s="24"/>
      <c r="AM79" s="24"/>
      <c r="AN79" s="24"/>
      <c r="AO79" s="24"/>
      <c r="AP79" s="24"/>
      <c r="AQ79" s="24"/>
      <c r="AR79" s="24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</row>
    <row r="80" spans="1:59" ht="21" x14ac:dyDescent="0.45">
      <c r="A80" s="448">
        <f t="shared" si="70"/>
        <v>44593</v>
      </c>
      <c r="B80" s="464"/>
      <c r="C80" s="468"/>
      <c r="D80" s="468"/>
      <c r="E80" s="468"/>
      <c r="F80" s="471"/>
      <c r="G80" s="470">
        <f>IF(B80&gt;0,IFERROR(GETPIVOTDATA("act_qty",RECPT!$A$43,"yymm","202202","unit","KTR","comm","LS"),0),)</f>
        <v>0</v>
      </c>
      <c r="H80" s="453"/>
      <c r="I80" s="453"/>
      <c r="J80" s="454"/>
      <c r="K80" s="448">
        <f t="shared" si="69"/>
        <v>44593</v>
      </c>
      <c r="L80" s="464"/>
      <c r="M80" s="468"/>
      <c r="N80" s="468"/>
      <c r="O80" s="468"/>
      <c r="P80" s="471"/>
      <c r="Q80" s="470">
        <f>IF(L80&gt;0,IFERROR(GETPIVOTDATA("act_qty",RECPT!$A$43,"yymm","202202","unit","TDM","comm","BD"),0),)</f>
        <v>0</v>
      </c>
      <c r="R80" s="24"/>
      <c r="S80" s="24"/>
      <c r="T80" s="24"/>
      <c r="U80" s="9"/>
      <c r="V80" s="15"/>
      <c r="W80" s="15"/>
      <c r="X80" s="15"/>
      <c r="Y80" s="15"/>
      <c r="Z80" s="15"/>
      <c r="AA80" s="29"/>
      <c r="AB80" s="10"/>
      <c r="AC80" s="24"/>
      <c r="AD80" s="24"/>
      <c r="AE80" s="9"/>
      <c r="AF80" s="10"/>
      <c r="AG80" s="10"/>
      <c r="AH80" s="10"/>
      <c r="AI80" s="10"/>
      <c r="AJ80" s="10"/>
      <c r="AK80" s="23"/>
      <c r="AL80" s="24"/>
      <c r="AM80" s="24"/>
      <c r="AN80" s="24"/>
      <c r="AO80" s="24"/>
      <c r="AP80" s="24"/>
      <c r="AQ80" s="24"/>
      <c r="AR80" s="24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</row>
    <row r="81" spans="1:59" ht="21.5" thickBot="1" x14ac:dyDescent="0.5">
      <c r="A81" s="456">
        <f t="shared" si="70"/>
        <v>44621</v>
      </c>
      <c r="B81" s="464"/>
      <c r="C81" s="472"/>
      <c r="D81" s="472"/>
      <c r="E81" s="472"/>
      <c r="F81" s="473"/>
      <c r="G81" s="474">
        <f>IF(B81&gt;0,IFERROR(GETPIVOTDATA("act_qty",RECPT!$A$43,"yymm","202203","unit","KTR","comm","LS"),0),)</f>
        <v>0</v>
      </c>
      <c r="H81" s="453"/>
      <c r="I81" s="453"/>
      <c r="J81" s="454"/>
      <c r="K81" s="456">
        <f t="shared" si="69"/>
        <v>44621</v>
      </c>
      <c r="L81" s="464"/>
      <c r="M81" s="472"/>
      <c r="N81" s="472"/>
      <c r="O81" s="472"/>
      <c r="P81" s="473"/>
      <c r="Q81" s="474">
        <f>IF(L81&gt;0,IFERROR(GETPIVOTDATA("act_qty",RECPT!$A$43,"yymm","202203","unit","TDM","comm","BD"),0),)</f>
        <v>0</v>
      </c>
      <c r="R81" s="24"/>
      <c r="S81" s="24"/>
      <c r="T81" s="24"/>
      <c r="U81" s="9"/>
      <c r="V81" s="15"/>
      <c r="W81" s="15"/>
      <c r="X81" s="15"/>
      <c r="Y81" s="15"/>
      <c r="Z81" s="15"/>
      <c r="AA81" s="29"/>
      <c r="AB81" s="10"/>
      <c r="AC81" s="24"/>
      <c r="AD81" s="24"/>
      <c r="AE81" s="9"/>
      <c r="AF81" s="10"/>
      <c r="AG81" s="10"/>
      <c r="AH81" s="10"/>
      <c r="AI81" s="10"/>
      <c r="AJ81" s="10"/>
      <c r="AK81" s="23"/>
      <c r="AL81" s="24"/>
      <c r="AM81" s="24"/>
      <c r="AN81" s="24"/>
      <c r="AO81" s="24"/>
      <c r="AP81" s="24"/>
      <c r="AQ81" s="24"/>
      <c r="AR81" s="24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1:59" ht="21" thickBot="1" x14ac:dyDescent="0.5">
      <c r="A82" s="461" t="str">
        <f t="shared" si="70"/>
        <v>CUMML</v>
      </c>
      <c r="B82" s="449"/>
      <c r="C82" s="450"/>
      <c r="D82" s="450"/>
      <c r="E82" s="450"/>
      <c r="F82" s="451"/>
      <c r="G82" s="475">
        <f>SUM(G70:G81)</f>
        <v>16108</v>
      </c>
      <c r="H82" s="453"/>
      <c r="I82" s="453"/>
      <c r="J82" s="454"/>
      <c r="K82" s="461" t="str">
        <f t="shared" si="69"/>
        <v>CUMML</v>
      </c>
      <c r="L82" s="449"/>
      <c r="M82" s="450"/>
      <c r="N82" s="450"/>
      <c r="O82" s="450"/>
      <c r="P82" s="451"/>
      <c r="Q82" s="475">
        <f>SUM(Q70:Q81)</f>
        <v>0</v>
      </c>
      <c r="R82" s="24"/>
      <c r="S82" s="24"/>
      <c r="T82" s="24"/>
      <c r="U82" s="65"/>
      <c r="V82" s="10"/>
      <c r="W82" s="10"/>
      <c r="X82" s="10"/>
      <c r="Y82" s="10"/>
      <c r="Z82" s="10"/>
      <c r="AA82" s="24"/>
      <c r="AB82" s="23"/>
      <c r="AC82" s="24"/>
      <c r="AD82" s="24"/>
      <c r="AE82" s="9"/>
      <c r="AF82" s="10"/>
      <c r="AG82" s="10"/>
      <c r="AH82" s="10"/>
      <c r="AI82" s="10"/>
      <c r="AJ82" s="10"/>
      <c r="AK82" s="23"/>
      <c r="AL82" s="24"/>
      <c r="AM82" s="24"/>
      <c r="AN82" s="24"/>
      <c r="AO82" s="24"/>
      <c r="AP82" s="24"/>
      <c r="AQ82" s="24"/>
      <c r="AR82" s="24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</row>
    <row r="83" spans="1:59" ht="18" customHeight="1" x14ac:dyDescent="0.35">
      <c r="A83" s="24"/>
      <c r="B83" s="24"/>
      <c r="C83" s="24"/>
      <c r="D83" s="24"/>
      <c r="E83" s="24"/>
      <c r="F83" s="24"/>
      <c r="G83" s="24"/>
      <c r="H83" s="24"/>
      <c r="I83" s="37"/>
      <c r="J83" s="24"/>
      <c r="K83" s="24"/>
      <c r="L83" s="24"/>
      <c r="M83" s="24"/>
      <c r="N83" s="24"/>
      <c r="O83" s="24"/>
      <c r="P83" s="24"/>
      <c r="Q83" s="11"/>
      <c r="R83" s="24"/>
      <c r="S83" s="24"/>
      <c r="T83" s="24"/>
      <c r="U83" s="24"/>
      <c r="V83" s="24"/>
      <c r="W83" s="24"/>
      <c r="X83" s="24"/>
      <c r="Y83" s="24"/>
      <c r="Z83" s="24"/>
      <c r="AA83" s="29"/>
      <c r="AB83" s="24"/>
      <c r="AC83" s="5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</row>
    <row r="84" spans="1:59" ht="19.5" x14ac:dyDescent="0.35">
      <c r="A84" s="9"/>
      <c r="B84" s="10"/>
      <c r="C84" s="10"/>
      <c r="D84" s="10"/>
      <c r="E84" s="10"/>
      <c r="F84" s="10"/>
      <c r="G84" s="24"/>
      <c r="H84" s="24"/>
      <c r="I84" s="37"/>
      <c r="J84" s="24"/>
      <c r="K84" s="9"/>
      <c r="L84" s="10"/>
      <c r="M84" s="10"/>
      <c r="N84" s="10"/>
      <c r="O84" s="10"/>
      <c r="P84" s="10"/>
      <c r="Q84" s="11"/>
      <c r="R84" s="24"/>
      <c r="S84" s="24"/>
      <c r="T84" s="24"/>
      <c r="U84" s="9"/>
      <c r="V84" s="10"/>
      <c r="W84" s="10"/>
      <c r="X84" s="10"/>
      <c r="Y84" s="10"/>
      <c r="Z84" s="10"/>
      <c r="AA84" s="29"/>
      <c r="AB84" s="24"/>
      <c r="AC84" s="5"/>
      <c r="AD84" s="24"/>
      <c r="AE84" s="9"/>
      <c r="AF84" s="10"/>
      <c r="AG84" s="10"/>
      <c r="AH84" s="10"/>
      <c r="AI84" s="66"/>
      <c r="AJ84" s="66"/>
      <c r="AK84" s="24"/>
      <c r="AL84" s="24"/>
      <c r="AM84" s="24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1:59" ht="21.75" customHeight="1" x14ac:dyDescent="0.35">
      <c r="A85" s="67"/>
      <c r="B85" s="68"/>
      <c r="C85" s="68"/>
      <c r="D85" s="68"/>
      <c r="E85" s="68"/>
      <c r="F85" s="68"/>
      <c r="G85" s="24"/>
      <c r="H85" s="24"/>
      <c r="I85" s="37"/>
      <c r="J85" s="24"/>
      <c r="K85" s="67"/>
      <c r="L85" s="68"/>
      <c r="M85" s="68"/>
      <c r="N85" s="68"/>
      <c r="O85" s="68"/>
      <c r="P85" s="68"/>
      <c r="Q85" s="11"/>
      <c r="R85" s="24"/>
      <c r="S85" s="24"/>
      <c r="T85" s="24"/>
      <c r="U85" s="67"/>
      <c r="V85" s="68"/>
      <c r="W85" s="68"/>
      <c r="X85" s="68"/>
      <c r="Y85" s="68"/>
      <c r="Z85" s="68"/>
      <c r="AA85" s="29"/>
      <c r="AB85" s="24"/>
      <c r="AC85" s="5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</row>
    <row r="86" spans="1:59" ht="17.5" x14ac:dyDescent="0.35">
      <c r="A86" s="24"/>
      <c r="B86" s="24"/>
      <c r="C86" s="24"/>
      <c r="D86" s="24"/>
      <c r="E86" s="24"/>
      <c r="F86" s="24"/>
      <c r="G86" s="24"/>
      <c r="H86" s="24"/>
      <c r="I86" s="37"/>
      <c r="J86" s="24"/>
      <c r="K86" s="24"/>
      <c r="L86" s="24"/>
      <c r="M86" s="24"/>
      <c r="N86" s="24"/>
      <c r="O86" s="24"/>
      <c r="P86" s="24"/>
      <c r="Q86" s="11"/>
      <c r="R86" s="24"/>
      <c r="S86" s="24"/>
      <c r="T86" s="24"/>
      <c r="U86" s="24"/>
      <c r="V86" s="24"/>
      <c r="W86" s="24"/>
      <c r="X86" s="24"/>
      <c r="Y86" s="24"/>
      <c r="Z86" s="24"/>
      <c r="AA86" s="29"/>
      <c r="AB86" s="24"/>
      <c r="AC86" s="5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</row>
    <row r="87" spans="1:59" ht="17.5" x14ac:dyDescent="0.35">
      <c r="A87" s="24"/>
      <c r="B87" s="24"/>
      <c r="C87" s="24"/>
      <c r="D87" s="24"/>
      <c r="E87" s="24"/>
      <c r="F87" s="24"/>
      <c r="G87" s="24"/>
      <c r="H87" s="24"/>
      <c r="I87" s="37"/>
      <c r="J87" s="24"/>
      <c r="K87" s="24"/>
      <c r="L87" s="24"/>
      <c r="M87" s="24"/>
      <c r="N87" s="24"/>
      <c r="O87" s="24"/>
      <c r="P87" s="24"/>
      <c r="Q87" s="11"/>
      <c r="R87" s="24"/>
      <c r="S87" s="24"/>
      <c r="T87" s="24"/>
      <c r="U87" s="24"/>
      <c r="V87" s="24"/>
      <c r="W87" s="24"/>
      <c r="X87" s="24"/>
      <c r="Y87" s="24"/>
      <c r="Z87" s="24"/>
      <c r="AA87" s="29"/>
      <c r="AB87" s="24"/>
      <c r="AC87" s="5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</row>
    <row r="88" spans="1:59" ht="19.5" x14ac:dyDescent="0.35">
      <c r="A88" s="595"/>
      <c r="B88" s="595"/>
      <c r="C88" s="595"/>
      <c r="D88" s="595"/>
      <c r="E88" s="595"/>
      <c r="F88" s="595"/>
      <c r="G88" s="24"/>
      <c r="H88" s="14"/>
      <c r="I88" s="14"/>
      <c r="J88" s="22"/>
      <c r="K88" s="595"/>
      <c r="L88" s="595"/>
      <c r="M88" s="595"/>
      <c r="N88" s="595"/>
      <c r="O88" s="595"/>
      <c r="P88" s="595"/>
      <c r="Q88" s="11"/>
      <c r="R88" s="24"/>
      <c r="S88" s="24"/>
      <c r="T88" s="24"/>
      <c r="U88" s="24"/>
      <c r="V88" s="24"/>
      <c r="W88" s="24"/>
      <c r="X88" s="24"/>
      <c r="Y88" s="24"/>
      <c r="Z88" s="24"/>
      <c r="AA88" s="29"/>
      <c r="AB88" s="24"/>
      <c r="AC88" s="5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</row>
    <row r="89" spans="1:59" ht="19.5" x14ac:dyDescent="0.35">
      <c r="A89" s="22"/>
      <c r="B89" s="30"/>
      <c r="C89" s="30"/>
      <c r="D89" s="22"/>
      <c r="E89" s="25"/>
      <c r="F89" s="11"/>
      <c r="G89" s="24"/>
      <c r="H89" s="24"/>
      <c r="I89" s="37"/>
      <c r="J89" s="24"/>
      <c r="K89" s="22"/>
      <c r="L89" s="30"/>
      <c r="M89" s="30"/>
      <c r="N89" s="22"/>
      <c r="O89" s="25"/>
      <c r="P89" s="11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5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</row>
    <row r="90" spans="1:59" ht="21" customHeight="1" x14ac:dyDescent="0.35">
      <c r="A90" s="11"/>
      <c r="B90" s="11"/>
      <c r="C90" s="11"/>
      <c r="D90" s="11"/>
      <c r="E90" s="11"/>
      <c r="F90" s="11"/>
      <c r="G90" s="24"/>
      <c r="H90" s="24"/>
      <c r="I90" s="37"/>
      <c r="J90" s="24"/>
      <c r="K90" s="594"/>
      <c r="L90" s="594"/>
      <c r="M90" s="594"/>
      <c r="N90" s="594"/>
      <c r="O90" s="594"/>
      <c r="P90" s="59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5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</row>
    <row r="91" spans="1:59" ht="20.5" x14ac:dyDescent="0.4">
      <c r="A91" s="38"/>
      <c r="B91" s="39"/>
      <c r="C91" s="39"/>
      <c r="D91" s="39"/>
      <c r="E91" s="39"/>
      <c r="F91" s="39"/>
      <c r="G91" s="24"/>
      <c r="H91" s="24"/>
      <c r="I91" s="37"/>
      <c r="J91" s="24"/>
      <c r="K91" s="38"/>
      <c r="L91" s="39"/>
      <c r="M91" s="39"/>
      <c r="N91" s="39"/>
      <c r="O91" s="39"/>
      <c r="P91" s="39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5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</row>
    <row r="92" spans="1:59" ht="20.5" x14ac:dyDescent="0.4">
      <c r="A92" s="69"/>
      <c r="B92" s="70"/>
      <c r="C92" s="70"/>
      <c r="D92" s="70"/>
      <c r="E92" s="70"/>
      <c r="F92" s="70"/>
      <c r="G92" s="24"/>
      <c r="H92" s="24"/>
      <c r="I92" s="37"/>
      <c r="J92" s="24"/>
      <c r="K92" s="69"/>
      <c r="L92" s="71"/>
      <c r="M92" s="71"/>
      <c r="N92" s="71"/>
      <c r="O92" s="71"/>
      <c r="P92" s="71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5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</row>
    <row r="93" spans="1:59" ht="19.5" x14ac:dyDescent="0.35">
      <c r="A93" s="48"/>
      <c r="B93" s="72"/>
      <c r="C93" s="72"/>
      <c r="D93" s="72"/>
      <c r="E93" s="72"/>
      <c r="F93" s="72"/>
      <c r="G93" s="24"/>
      <c r="H93" s="24"/>
      <c r="I93" s="37"/>
      <c r="J93" s="24"/>
      <c r="K93" s="48"/>
      <c r="L93" s="72"/>
      <c r="M93" s="72"/>
      <c r="N93" s="72"/>
      <c r="O93" s="72"/>
      <c r="P93" s="72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5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</row>
    <row r="94" spans="1:59" ht="20.5" x14ac:dyDescent="0.4">
      <c r="A94" s="56"/>
      <c r="B94" s="15"/>
      <c r="C94" s="15"/>
      <c r="D94" s="15"/>
      <c r="E94" s="15"/>
      <c r="F94" s="15"/>
      <c r="G94" s="24"/>
      <c r="H94" s="24"/>
      <c r="I94" s="37"/>
      <c r="J94" s="24"/>
      <c r="K94" s="56"/>
      <c r="L94" s="15"/>
      <c r="M94" s="15"/>
      <c r="N94" s="15"/>
      <c r="O94" s="15"/>
      <c r="P94" s="15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5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</row>
    <row r="95" spans="1:59" ht="20.5" x14ac:dyDescent="0.4">
      <c r="A95" s="56"/>
      <c r="B95" s="15"/>
      <c r="C95" s="15"/>
      <c r="D95" s="15"/>
      <c r="E95" s="15"/>
      <c r="F95" s="15"/>
      <c r="G95" s="24"/>
      <c r="H95" s="24"/>
      <c r="I95" s="37"/>
      <c r="J95" s="24"/>
      <c r="K95" s="56"/>
      <c r="L95" s="15"/>
      <c r="M95" s="15"/>
      <c r="N95" s="15"/>
      <c r="O95" s="15"/>
      <c r="P95" s="15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5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</row>
    <row r="96" spans="1:59" ht="20.5" x14ac:dyDescent="0.4">
      <c r="A96" s="56"/>
      <c r="B96" s="15"/>
      <c r="C96" s="15"/>
      <c r="D96" s="15"/>
      <c r="E96" s="15"/>
      <c r="F96" s="15"/>
      <c r="G96" s="24"/>
      <c r="H96" s="24"/>
      <c r="I96" s="37"/>
      <c r="J96" s="24"/>
      <c r="K96" s="56"/>
      <c r="L96" s="15"/>
      <c r="M96" s="15"/>
      <c r="N96" s="15"/>
      <c r="O96" s="15"/>
      <c r="P96" s="15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5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</row>
    <row r="97" spans="1:59" ht="20.5" x14ac:dyDescent="0.4">
      <c r="A97" s="56"/>
      <c r="B97" s="15"/>
      <c r="C97" s="15"/>
      <c r="D97" s="15"/>
      <c r="E97" s="15"/>
      <c r="F97" s="15"/>
      <c r="G97" s="24"/>
      <c r="H97" s="24"/>
      <c r="I97" s="37"/>
      <c r="J97" s="24"/>
      <c r="K97" s="56"/>
      <c r="L97" s="15"/>
      <c r="M97" s="15"/>
      <c r="N97" s="15"/>
      <c r="O97" s="15"/>
      <c r="P97" s="15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5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</row>
    <row r="98" spans="1:59" ht="20.5" x14ac:dyDescent="0.4">
      <c r="A98" s="56"/>
      <c r="B98" s="15"/>
      <c r="C98" s="15"/>
      <c r="D98" s="15"/>
      <c r="E98" s="15"/>
      <c r="F98" s="15"/>
      <c r="G98" s="24"/>
      <c r="H98" s="24"/>
      <c r="I98" s="37"/>
      <c r="J98" s="24"/>
      <c r="K98" s="56"/>
      <c r="L98" s="15"/>
      <c r="M98" s="15"/>
      <c r="N98" s="15"/>
      <c r="O98" s="15"/>
      <c r="P98" s="15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5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</row>
    <row r="99" spans="1:59" ht="20.5" x14ac:dyDescent="0.4">
      <c r="A99" s="56"/>
      <c r="B99" s="15"/>
      <c r="C99" s="15"/>
      <c r="D99" s="15"/>
      <c r="E99" s="15"/>
      <c r="F99" s="15"/>
      <c r="G99" s="24"/>
      <c r="H99" s="24"/>
      <c r="I99" s="37"/>
      <c r="J99" s="24"/>
      <c r="K99" s="56"/>
      <c r="L99" s="15"/>
      <c r="M99" s="15"/>
      <c r="N99" s="15"/>
      <c r="O99" s="15"/>
      <c r="P99" s="15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5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</row>
    <row r="100" spans="1:59" ht="18.75" customHeight="1" x14ac:dyDescent="0.4">
      <c r="A100" s="56"/>
      <c r="B100" s="15"/>
      <c r="C100" s="15"/>
      <c r="D100" s="15"/>
      <c r="E100" s="15"/>
      <c r="F100" s="15"/>
      <c r="G100" s="24"/>
      <c r="H100" s="24"/>
      <c r="I100" s="37"/>
      <c r="J100" s="24"/>
      <c r="K100" s="56"/>
      <c r="L100" s="15"/>
      <c r="M100" s="15"/>
      <c r="N100" s="15"/>
      <c r="O100" s="15"/>
      <c r="P100" s="15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5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</row>
    <row r="101" spans="1:59" ht="20.5" x14ac:dyDescent="0.4">
      <c r="A101" s="56"/>
      <c r="B101" s="15"/>
      <c r="C101" s="15"/>
      <c r="D101" s="15"/>
      <c r="E101" s="15"/>
      <c r="F101" s="15"/>
      <c r="G101" s="24"/>
      <c r="H101" s="24"/>
      <c r="I101" s="37"/>
      <c r="J101" s="24"/>
      <c r="K101" s="56"/>
      <c r="L101" s="15"/>
      <c r="M101" s="15"/>
      <c r="N101" s="15"/>
      <c r="O101" s="15"/>
      <c r="P101" s="15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5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</row>
    <row r="102" spans="1:59" ht="20.5" x14ac:dyDescent="0.4">
      <c r="A102" s="56"/>
      <c r="B102" s="15"/>
      <c r="C102" s="15"/>
      <c r="D102" s="15"/>
      <c r="E102" s="15"/>
      <c r="F102" s="15"/>
      <c r="G102" s="24"/>
      <c r="H102" s="24"/>
      <c r="I102" s="37"/>
      <c r="J102" s="24"/>
      <c r="K102" s="56"/>
      <c r="L102" s="15"/>
      <c r="M102" s="15"/>
      <c r="N102" s="15"/>
      <c r="O102" s="15"/>
      <c r="P102" s="15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5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</row>
    <row r="103" spans="1:59" ht="20.5" x14ac:dyDescent="0.4">
      <c r="A103" s="56"/>
      <c r="B103" s="15"/>
      <c r="C103" s="15"/>
      <c r="D103" s="15"/>
      <c r="E103" s="15"/>
      <c r="F103" s="15"/>
      <c r="G103" s="24"/>
      <c r="H103" s="24"/>
      <c r="I103" s="37"/>
      <c r="J103" s="24"/>
      <c r="K103" s="56"/>
      <c r="L103" s="15"/>
      <c r="M103" s="15"/>
      <c r="N103" s="15"/>
      <c r="O103" s="15"/>
      <c r="P103" s="15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5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</row>
    <row r="104" spans="1:59" ht="20.5" x14ac:dyDescent="0.4">
      <c r="A104" s="56"/>
      <c r="B104" s="15"/>
      <c r="C104" s="15"/>
      <c r="D104" s="15"/>
      <c r="E104" s="15"/>
      <c r="F104" s="15"/>
      <c r="G104" s="24"/>
      <c r="H104" s="24"/>
      <c r="I104" s="37"/>
      <c r="J104" s="24"/>
      <c r="K104" s="56"/>
      <c r="L104" s="15"/>
      <c r="M104" s="15"/>
      <c r="N104" s="15"/>
      <c r="O104" s="15"/>
      <c r="P104" s="15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5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</row>
    <row r="105" spans="1:59" ht="20.5" x14ac:dyDescent="0.4">
      <c r="A105" s="56"/>
      <c r="B105" s="15"/>
      <c r="C105" s="15"/>
      <c r="D105" s="15"/>
      <c r="E105" s="15"/>
      <c r="F105" s="15"/>
      <c r="G105" s="24"/>
      <c r="H105" s="24"/>
      <c r="I105" s="37"/>
      <c r="J105" s="24"/>
      <c r="K105" s="56"/>
      <c r="L105" s="15"/>
      <c r="M105" s="15"/>
      <c r="N105" s="15"/>
      <c r="O105" s="15"/>
      <c r="P105" s="15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5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</row>
    <row r="106" spans="1:59" ht="19.5" x14ac:dyDescent="0.35">
      <c r="A106" s="65"/>
      <c r="B106" s="10"/>
      <c r="C106" s="10"/>
      <c r="D106" s="10"/>
      <c r="E106" s="10"/>
      <c r="F106" s="10"/>
      <c r="G106" s="24"/>
      <c r="H106" s="24"/>
      <c r="I106" s="37"/>
      <c r="J106" s="24"/>
      <c r="K106" s="65"/>
      <c r="L106" s="10"/>
      <c r="M106" s="10"/>
      <c r="N106" s="10"/>
      <c r="O106" s="10"/>
      <c r="P106" s="10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5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</row>
    <row r="107" spans="1:59" ht="12.5" x14ac:dyDescent="0.25">
      <c r="A107" s="24"/>
      <c r="B107" s="24"/>
      <c r="C107" s="24"/>
      <c r="D107" s="24"/>
      <c r="E107" s="24"/>
      <c r="F107" s="24"/>
      <c r="G107" s="24"/>
      <c r="H107" s="24"/>
      <c r="I107" s="37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5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</row>
    <row r="108" spans="1:59" ht="19.5" x14ac:dyDescent="0.35">
      <c r="A108" s="9"/>
      <c r="B108" s="10"/>
      <c r="C108" s="10"/>
      <c r="D108" s="10"/>
      <c r="E108" s="10"/>
      <c r="F108" s="10"/>
      <c r="G108" s="24"/>
      <c r="H108" s="24"/>
      <c r="I108" s="37"/>
      <c r="J108" s="24"/>
      <c r="K108" s="9"/>
      <c r="L108" s="10"/>
      <c r="M108" s="10"/>
      <c r="N108" s="10"/>
      <c r="O108" s="10"/>
      <c r="P108" s="10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5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</row>
    <row r="109" spans="1:59" ht="19.5" x14ac:dyDescent="0.35">
      <c r="A109" s="67"/>
      <c r="B109" s="68"/>
      <c r="C109" s="68"/>
      <c r="D109" s="68"/>
      <c r="E109" s="68"/>
      <c r="F109" s="68"/>
      <c r="G109" s="24"/>
      <c r="H109" s="24"/>
      <c r="I109" s="37"/>
      <c r="J109" s="24"/>
      <c r="K109" s="67"/>
      <c r="L109" s="68"/>
      <c r="M109" s="68"/>
      <c r="N109" s="68"/>
      <c r="O109" s="68"/>
      <c r="P109" s="68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5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</row>
    <row r="110" spans="1:59" ht="12.5" x14ac:dyDescent="0.25">
      <c r="A110" s="24"/>
      <c r="B110" s="24"/>
      <c r="C110" s="24"/>
      <c r="D110" s="24"/>
      <c r="E110" s="24"/>
      <c r="F110" s="24"/>
      <c r="G110" s="24"/>
      <c r="H110" s="24"/>
      <c r="I110" s="37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5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</row>
    <row r="111" spans="1:59" ht="12.5" x14ac:dyDescent="0.25">
      <c r="A111" s="24"/>
      <c r="B111" s="24"/>
      <c r="C111" s="24"/>
      <c r="D111" s="24"/>
      <c r="E111" s="24"/>
      <c r="F111" s="24"/>
      <c r="G111" s="24"/>
      <c r="H111" s="24"/>
      <c r="I111" s="37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5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</row>
    <row r="112" spans="1:59" ht="12.5" x14ac:dyDescent="0.25">
      <c r="A112" s="24"/>
      <c r="B112" s="24"/>
      <c r="C112" s="24"/>
      <c r="D112" s="24"/>
      <c r="E112" s="24"/>
      <c r="F112" s="24"/>
      <c r="G112" s="24"/>
      <c r="H112" s="24"/>
      <c r="I112" s="37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5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</row>
    <row r="113" spans="1:59" ht="12.5" x14ac:dyDescent="0.25">
      <c r="A113" s="24"/>
      <c r="B113" s="24"/>
      <c r="C113" s="24"/>
      <c r="D113" s="24"/>
      <c r="E113" s="24"/>
      <c r="F113" s="24"/>
      <c r="G113" s="24"/>
      <c r="H113" s="24"/>
      <c r="I113" s="37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5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</row>
    <row r="114" spans="1:59" ht="12.5" x14ac:dyDescent="0.25">
      <c r="A114" s="24"/>
      <c r="B114" s="24"/>
      <c r="C114" s="24"/>
      <c r="D114" s="24"/>
      <c r="E114" s="24"/>
      <c r="F114" s="24"/>
      <c r="G114" s="24"/>
      <c r="H114" s="24"/>
      <c r="I114" s="37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5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</row>
    <row r="115" spans="1:59" ht="12.5" x14ac:dyDescent="0.25">
      <c r="A115" s="24"/>
      <c r="B115" s="24"/>
      <c r="C115" s="24"/>
      <c r="D115" s="24"/>
      <c r="E115" s="24"/>
      <c r="F115" s="24"/>
      <c r="G115" s="24"/>
      <c r="H115" s="24"/>
      <c r="I115" s="37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5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</row>
    <row r="116" spans="1:59" ht="12.5" x14ac:dyDescent="0.25">
      <c r="A116" s="24"/>
      <c r="B116" s="24"/>
      <c r="C116" s="24"/>
      <c r="D116" s="24"/>
      <c r="E116" s="24"/>
      <c r="F116" s="24"/>
      <c r="G116" s="24"/>
      <c r="H116" s="24"/>
      <c r="I116" s="37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5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</row>
    <row r="117" spans="1:59" ht="16" x14ac:dyDescent="0.35">
      <c r="A117" s="24"/>
      <c r="B117" s="24"/>
      <c r="C117" s="24"/>
      <c r="D117" s="24"/>
      <c r="E117" s="24"/>
      <c r="F117" s="24"/>
      <c r="G117" s="24"/>
      <c r="H117" s="24"/>
      <c r="I117" s="37"/>
      <c r="J117" s="24"/>
      <c r="K117" s="73"/>
      <c r="L117" s="73"/>
      <c r="M117" s="73"/>
      <c r="N117" s="73"/>
      <c r="O117" s="73"/>
      <c r="P117" s="7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5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</row>
    <row r="118" spans="1:59" ht="15.5" x14ac:dyDescent="0.35">
      <c r="A118" s="18"/>
      <c r="B118" s="18"/>
      <c r="C118" s="18"/>
      <c r="D118" s="18"/>
      <c r="E118" s="18"/>
      <c r="F118" s="18"/>
      <c r="G118" s="18"/>
      <c r="H118" s="18"/>
      <c r="I118" s="75"/>
      <c r="J118" s="18"/>
      <c r="K118" s="76"/>
      <c r="L118" s="76"/>
      <c r="M118" s="76"/>
      <c r="N118" s="76"/>
      <c r="O118" s="76"/>
      <c r="P118" s="76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</row>
    <row r="119" spans="1:59" ht="15.5" x14ac:dyDescent="0.35">
      <c r="A119" s="18"/>
      <c r="B119" s="18"/>
      <c r="C119" s="18"/>
      <c r="D119" s="18"/>
      <c r="E119" s="18"/>
      <c r="F119" s="18"/>
      <c r="G119" s="18"/>
      <c r="H119" s="18"/>
      <c r="I119" s="75"/>
      <c r="J119" s="18"/>
      <c r="K119" s="76"/>
      <c r="L119" s="76"/>
      <c r="M119" s="76"/>
      <c r="N119" s="76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</row>
    <row r="120" spans="1:59" ht="15.5" x14ac:dyDescent="0.35">
      <c r="A120" s="18"/>
      <c r="B120" s="18"/>
      <c r="C120" s="18"/>
      <c r="D120" s="18"/>
      <c r="E120" s="18"/>
      <c r="F120" s="18"/>
      <c r="G120" s="18"/>
      <c r="H120" s="18"/>
      <c r="I120" s="75"/>
      <c r="J120" s="18"/>
      <c r="K120" s="77"/>
      <c r="L120" s="78"/>
      <c r="M120" s="79"/>
      <c r="N120" s="80"/>
      <c r="O120" s="79"/>
      <c r="P120" s="79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</row>
    <row r="121" spans="1:59" ht="15.5" x14ac:dyDescent="0.35">
      <c r="A121" s="18"/>
      <c r="B121" s="18"/>
      <c r="C121" s="18"/>
      <c r="D121" s="18"/>
      <c r="E121" s="18"/>
      <c r="F121" s="18"/>
      <c r="G121" s="18"/>
      <c r="H121" s="18"/>
      <c r="I121" s="75"/>
      <c r="J121" s="18"/>
      <c r="K121" s="77"/>
      <c r="L121" s="78"/>
      <c r="M121" s="79"/>
      <c r="N121" s="80"/>
      <c r="O121" s="79"/>
      <c r="P121" s="79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</row>
    <row r="122" spans="1:59" ht="15.5" x14ac:dyDescent="0.35">
      <c r="A122" s="18"/>
      <c r="B122" s="18"/>
      <c r="C122" s="18"/>
      <c r="D122" s="18"/>
      <c r="E122" s="18"/>
      <c r="F122" s="18"/>
      <c r="G122" s="18"/>
      <c r="H122" s="18"/>
      <c r="I122" s="75"/>
      <c r="J122" s="18"/>
      <c r="K122" s="77"/>
      <c r="L122" s="78"/>
      <c r="M122" s="79"/>
      <c r="N122" s="80"/>
      <c r="O122" s="79"/>
      <c r="P122" s="79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</row>
    <row r="123" spans="1:59" ht="15.5" x14ac:dyDescent="0.35">
      <c r="A123" s="18"/>
      <c r="B123" s="18"/>
      <c r="C123" s="18"/>
      <c r="D123" s="18"/>
      <c r="E123" s="18"/>
      <c r="F123" s="18"/>
      <c r="G123" s="18"/>
      <c r="H123" s="18"/>
      <c r="I123" s="75"/>
      <c r="J123" s="18"/>
      <c r="K123" s="77"/>
      <c r="L123" s="78"/>
      <c r="M123" s="79"/>
      <c r="N123" s="80"/>
      <c r="O123" s="79"/>
      <c r="P123" s="79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</row>
    <row r="124" spans="1:59" ht="15.5" x14ac:dyDescent="0.35">
      <c r="A124" s="18"/>
      <c r="B124" s="18"/>
      <c r="C124" s="18"/>
      <c r="D124" s="18"/>
      <c r="E124" s="18"/>
      <c r="F124" s="18"/>
      <c r="G124" s="18"/>
      <c r="H124" s="18"/>
      <c r="I124" s="75"/>
      <c r="J124" s="18"/>
      <c r="K124" s="77"/>
      <c r="L124" s="78"/>
      <c r="M124" s="79"/>
      <c r="N124" s="80"/>
      <c r="O124" s="79"/>
      <c r="P124" s="79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</row>
    <row r="125" spans="1:59" x14ac:dyDescent="0.3">
      <c r="A125" s="18"/>
      <c r="B125" s="18"/>
      <c r="C125" s="18"/>
      <c r="D125" s="18"/>
      <c r="E125" s="18"/>
      <c r="F125" s="18"/>
      <c r="G125" s="18"/>
      <c r="H125" s="18"/>
      <c r="I125" s="75"/>
      <c r="J125" s="18"/>
      <c r="K125" s="81"/>
      <c r="L125" s="82"/>
      <c r="M125" s="82"/>
      <c r="N125" s="82"/>
      <c r="O125" s="82"/>
      <c r="P125" s="82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</row>
    <row r="126" spans="1:59" x14ac:dyDescent="0.3">
      <c r="A126" s="18"/>
      <c r="B126" s="18"/>
      <c r="C126" s="18"/>
      <c r="D126" s="18"/>
      <c r="E126" s="18"/>
      <c r="F126" s="18"/>
      <c r="G126" s="18"/>
      <c r="H126" s="18"/>
      <c r="I126" s="75"/>
      <c r="J126" s="18"/>
      <c r="K126" s="81"/>
      <c r="L126" s="83"/>
      <c r="M126" s="83"/>
      <c r="N126" s="83"/>
      <c r="O126" s="83"/>
      <c r="P126" s="83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</row>
    <row r="127" spans="1:59" x14ac:dyDescent="0.3">
      <c r="A127" s="18"/>
      <c r="B127" s="18"/>
      <c r="C127" s="18"/>
      <c r="D127" s="18"/>
      <c r="E127" s="18"/>
      <c r="F127" s="18"/>
      <c r="G127" s="18"/>
      <c r="H127" s="18"/>
      <c r="I127" s="75"/>
      <c r="J127" s="18"/>
      <c r="K127" s="81"/>
      <c r="L127" s="84"/>
      <c r="M127" s="81"/>
      <c r="N127" s="81"/>
      <c r="O127" s="81"/>
      <c r="P127" s="81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</row>
    <row r="128" spans="1:59" x14ac:dyDescent="0.3">
      <c r="A128" s="18"/>
      <c r="B128" s="18"/>
      <c r="C128" s="18"/>
      <c r="D128" s="18"/>
      <c r="E128" s="18"/>
      <c r="F128" s="18"/>
      <c r="G128" s="18"/>
      <c r="H128" s="18"/>
      <c r="I128" s="75"/>
      <c r="J128" s="18"/>
      <c r="K128" s="81"/>
      <c r="L128" s="84"/>
      <c r="M128" s="81"/>
      <c r="N128" s="81"/>
      <c r="O128" s="81"/>
      <c r="P128" s="81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</row>
    <row r="129" spans="1:39" x14ac:dyDescent="0.3">
      <c r="A129" s="18"/>
      <c r="B129" s="18"/>
      <c r="C129" s="18"/>
      <c r="D129" s="18"/>
      <c r="E129" s="18"/>
      <c r="F129" s="18"/>
      <c r="G129" s="18"/>
      <c r="H129" s="18"/>
      <c r="I129" s="75"/>
      <c r="J129" s="18"/>
      <c r="K129" s="81"/>
      <c r="L129" s="83"/>
      <c r="M129" s="83"/>
      <c r="N129" s="83"/>
      <c r="O129" s="83"/>
      <c r="P129" s="83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</row>
    <row r="130" spans="1:39" x14ac:dyDescent="0.3">
      <c r="A130" s="18"/>
      <c r="B130" s="18"/>
      <c r="C130" s="18"/>
      <c r="D130" s="18"/>
      <c r="E130" s="18"/>
      <c r="F130" s="18"/>
      <c r="G130" s="18"/>
      <c r="H130" s="18"/>
      <c r="I130" s="75"/>
      <c r="J130" s="18"/>
      <c r="K130" s="18"/>
      <c r="L130" s="85"/>
      <c r="M130" s="85"/>
      <c r="N130" s="85"/>
      <c r="O130" s="85"/>
      <c r="P130" s="85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</row>
    <row r="131" spans="1:39" x14ac:dyDescent="0.3">
      <c r="A131" s="18"/>
      <c r="B131" s="18"/>
      <c r="C131" s="18"/>
      <c r="D131" s="18"/>
      <c r="E131" s="18"/>
      <c r="F131" s="18"/>
      <c r="G131" s="18"/>
      <c r="H131" s="18"/>
      <c r="I131" s="75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</row>
    <row r="132" spans="1:39" x14ac:dyDescent="0.3">
      <c r="A132" s="18"/>
      <c r="B132" s="18"/>
      <c r="C132" s="18"/>
      <c r="D132" s="18"/>
      <c r="E132" s="18"/>
      <c r="F132" s="18"/>
      <c r="G132" s="18"/>
      <c r="H132" s="18"/>
      <c r="I132" s="75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</row>
    <row r="133" spans="1:39" x14ac:dyDescent="0.3">
      <c r="A133" s="18"/>
      <c r="B133" s="18"/>
      <c r="C133" s="18"/>
      <c r="D133" s="18"/>
      <c r="E133" s="18"/>
      <c r="F133" s="18"/>
      <c r="G133" s="18"/>
      <c r="H133" s="18"/>
      <c r="I133" s="75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</row>
    <row r="134" spans="1:39" x14ac:dyDescent="0.3">
      <c r="A134" s="18"/>
      <c r="B134" s="18"/>
      <c r="C134" s="18"/>
      <c r="D134" s="18"/>
      <c r="E134" s="18"/>
      <c r="F134" s="18"/>
      <c r="G134" s="18"/>
      <c r="H134" s="18"/>
      <c r="I134" s="75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</row>
    <row r="135" spans="1:39" x14ac:dyDescent="0.3">
      <c r="A135" s="18"/>
      <c r="B135" s="18"/>
      <c r="C135" s="18"/>
      <c r="D135" s="18"/>
      <c r="E135" s="18"/>
      <c r="F135" s="18"/>
      <c r="G135" s="18"/>
      <c r="H135" s="18"/>
      <c r="I135" s="75"/>
      <c r="J135" s="18"/>
      <c r="K135" s="81"/>
      <c r="L135" s="84"/>
      <c r="M135" s="81"/>
      <c r="N135" s="81"/>
      <c r="O135" s="81"/>
      <c r="P135" s="81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</row>
    <row r="136" spans="1:39" x14ac:dyDescent="0.3">
      <c r="A136" s="18"/>
      <c r="B136" s="18"/>
      <c r="C136" s="18"/>
      <c r="D136" s="18"/>
      <c r="E136" s="18"/>
      <c r="F136" s="18"/>
      <c r="G136" s="18"/>
      <c r="H136" s="18"/>
      <c r="I136" s="75"/>
      <c r="J136" s="18"/>
      <c r="K136" s="81"/>
      <c r="L136" s="84"/>
      <c r="M136" s="81"/>
      <c r="N136" s="81"/>
      <c r="O136" s="81"/>
      <c r="P136" s="81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</row>
    <row r="137" spans="1:39" x14ac:dyDescent="0.3">
      <c r="A137" s="18"/>
      <c r="B137" s="18"/>
      <c r="C137" s="18"/>
      <c r="D137" s="18"/>
      <c r="E137" s="18"/>
      <c r="F137" s="18"/>
      <c r="G137" s="18"/>
      <c r="H137" s="18"/>
      <c r="I137" s="75"/>
      <c r="J137" s="18"/>
      <c r="K137" s="81"/>
      <c r="L137" s="84"/>
      <c r="M137" s="81"/>
      <c r="N137" s="81"/>
      <c r="O137" s="81"/>
      <c r="P137" s="81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</row>
    <row r="138" spans="1:39" x14ac:dyDescent="0.3">
      <c r="A138" s="18"/>
      <c r="B138" s="18"/>
      <c r="C138" s="18"/>
      <c r="D138" s="18"/>
      <c r="E138" s="18"/>
      <c r="F138" s="18"/>
      <c r="G138" s="18"/>
      <c r="H138" s="18"/>
      <c r="I138" s="75"/>
      <c r="J138" s="18"/>
      <c r="K138" s="81"/>
      <c r="L138" s="84"/>
      <c r="M138" s="81"/>
      <c r="N138" s="81"/>
      <c r="O138" s="81"/>
      <c r="P138" s="81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</row>
    <row r="139" spans="1:39" x14ac:dyDescent="0.3">
      <c r="A139" s="18"/>
      <c r="B139" s="18"/>
      <c r="C139" s="18"/>
      <c r="D139" s="18"/>
      <c r="E139" s="18"/>
      <c r="F139" s="18"/>
      <c r="G139" s="18"/>
      <c r="H139" s="18"/>
      <c r="I139" s="75"/>
      <c r="J139" s="18"/>
      <c r="K139" s="81"/>
      <c r="L139" s="84"/>
      <c r="M139" s="81"/>
      <c r="N139" s="81"/>
      <c r="O139" s="81"/>
      <c r="P139" s="81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</row>
    <row r="140" spans="1:39" x14ac:dyDescent="0.3">
      <c r="A140" s="18"/>
      <c r="B140" s="18"/>
      <c r="C140" s="18"/>
      <c r="D140" s="18"/>
      <c r="E140" s="18"/>
      <c r="F140" s="18"/>
      <c r="G140" s="18"/>
      <c r="H140" s="18"/>
      <c r="I140" s="75"/>
      <c r="J140" s="18"/>
      <c r="K140" s="81"/>
      <c r="L140" s="84"/>
      <c r="M140" s="81"/>
      <c r="N140" s="81"/>
      <c r="O140" s="81"/>
      <c r="P140" s="81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</row>
    <row r="141" spans="1:39" x14ac:dyDescent="0.3">
      <c r="A141" s="18"/>
      <c r="B141" s="18"/>
      <c r="C141" s="18"/>
      <c r="D141" s="18"/>
      <c r="E141" s="18"/>
      <c r="F141" s="18"/>
      <c r="G141" s="18"/>
      <c r="H141" s="18"/>
      <c r="I141" s="75"/>
      <c r="J141" s="18"/>
      <c r="K141" s="81"/>
      <c r="L141" s="84"/>
      <c r="M141" s="81"/>
      <c r="N141" s="81"/>
      <c r="O141" s="81"/>
      <c r="P141" s="81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</row>
    <row r="142" spans="1:39" x14ac:dyDescent="0.3">
      <c r="A142" s="18"/>
      <c r="B142" s="18"/>
      <c r="C142" s="18"/>
      <c r="D142" s="18"/>
      <c r="E142" s="18"/>
      <c r="F142" s="18"/>
      <c r="G142" s="18"/>
      <c r="H142" s="18"/>
      <c r="I142" s="75"/>
      <c r="J142" s="18"/>
      <c r="K142" s="81"/>
      <c r="L142" s="84"/>
      <c r="M142" s="81"/>
      <c r="N142" s="81"/>
      <c r="O142" s="81"/>
      <c r="P142" s="81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</row>
    <row r="143" spans="1:39" x14ac:dyDescent="0.3">
      <c r="A143" s="18"/>
      <c r="B143" s="18"/>
      <c r="C143" s="18"/>
      <c r="D143" s="18"/>
      <c r="E143" s="18"/>
      <c r="F143" s="18"/>
      <c r="G143" s="18"/>
      <c r="H143" s="18"/>
      <c r="I143" s="75"/>
      <c r="J143" s="18"/>
      <c r="K143" s="81"/>
      <c r="L143" s="84"/>
      <c r="M143" s="81"/>
      <c r="N143" s="81"/>
      <c r="O143" s="81"/>
      <c r="P143" s="81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</row>
    <row r="144" spans="1:39" ht="15.5" x14ac:dyDescent="0.35">
      <c r="A144" s="18"/>
      <c r="B144" s="18"/>
      <c r="C144" s="18"/>
      <c r="D144" s="18"/>
      <c r="E144" s="18"/>
      <c r="F144" s="18"/>
      <c r="G144" s="18"/>
      <c r="H144" s="18"/>
      <c r="I144" s="75"/>
      <c r="J144" s="18"/>
      <c r="K144" s="86"/>
      <c r="L144" s="86"/>
      <c r="M144" s="87"/>
      <c r="N144" s="87"/>
      <c r="O144" s="87"/>
      <c r="P144" s="87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</row>
    <row r="145" spans="1:39" ht="15.5" x14ac:dyDescent="0.35">
      <c r="A145" s="18"/>
      <c r="B145" s="18"/>
      <c r="C145" s="18"/>
      <c r="D145" s="18"/>
      <c r="E145" s="18"/>
      <c r="F145" s="18"/>
      <c r="G145" s="18"/>
      <c r="H145" s="18"/>
      <c r="I145" s="75"/>
      <c r="J145" s="18"/>
      <c r="K145" s="86"/>
      <c r="L145" s="86"/>
      <c r="M145" s="87"/>
      <c r="N145" s="87"/>
      <c r="O145" s="87"/>
      <c r="P145" s="87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</row>
    <row r="146" spans="1:39" x14ac:dyDescent="0.3">
      <c r="A146" s="18"/>
      <c r="B146" s="18"/>
      <c r="C146" s="18"/>
      <c r="D146" s="18"/>
      <c r="E146" s="18"/>
      <c r="F146" s="18"/>
      <c r="G146" s="18"/>
      <c r="H146" s="18"/>
      <c r="I146" s="75"/>
      <c r="J146" s="18"/>
      <c r="K146" s="18"/>
      <c r="L146" s="85"/>
      <c r="M146" s="85"/>
      <c r="N146" s="85"/>
      <c r="O146" s="85"/>
      <c r="P146" s="85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</row>
    <row r="147" spans="1:39" x14ac:dyDescent="0.3">
      <c r="A147" s="18"/>
      <c r="B147" s="18"/>
      <c r="C147" s="18"/>
      <c r="D147" s="18"/>
      <c r="E147" s="18"/>
      <c r="F147" s="18"/>
      <c r="G147" s="18"/>
      <c r="H147" s="18"/>
      <c r="I147" s="75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</row>
    <row r="148" spans="1:39" x14ac:dyDescent="0.3">
      <c r="A148" s="18"/>
      <c r="B148" s="18"/>
      <c r="C148" s="18"/>
      <c r="D148" s="18"/>
      <c r="E148" s="18"/>
      <c r="F148" s="18"/>
      <c r="G148" s="18"/>
      <c r="H148" s="18"/>
      <c r="I148" s="75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</row>
    <row r="149" spans="1:39" ht="15.5" x14ac:dyDescent="0.35">
      <c r="A149" s="18"/>
      <c r="B149" s="18"/>
      <c r="C149" s="18"/>
      <c r="D149" s="18"/>
      <c r="E149" s="18"/>
      <c r="F149" s="18"/>
      <c r="G149" s="18"/>
      <c r="H149" s="18"/>
      <c r="I149" s="75"/>
      <c r="J149" s="18"/>
      <c r="K149" s="88"/>
      <c r="L149" s="88"/>
      <c r="M149" s="89"/>
      <c r="N149" s="89"/>
      <c r="O149" s="89"/>
      <c r="P149" s="89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</row>
    <row r="150" spans="1:39" ht="15.5" x14ac:dyDescent="0.35">
      <c r="A150" s="18"/>
      <c r="B150" s="18"/>
      <c r="C150" s="18"/>
      <c r="D150" s="18"/>
      <c r="E150" s="18"/>
      <c r="F150" s="18"/>
      <c r="G150" s="18"/>
      <c r="H150" s="18"/>
      <c r="I150" s="75"/>
      <c r="J150" s="18"/>
      <c r="K150" s="88"/>
      <c r="L150" s="88"/>
      <c r="M150" s="89"/>
      <c r="N150" s="89"/>
      <c r="O150" s="89"/>
      <c r="P150" s="89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</row>
    <row r="151" spans="1:39" ht="15.5" x14ac:dyDescent="0.35">
      <c r="A151" s="18"/>
      <c r="B151" s="18"/>
      <c r="C151" s="18"/>
      <c r="D151" s="18"/>
      <c r="E151" s="18"/>
      <c r="F151" s="18"/>
      <c r="G151" s="18"/>
      <c r="H151" s="18"/>
      <c r="I151" s="75"/>
      <c r="J151" s="18"/>
      <c r="K151" s="88"/>
      <c r="L151" s="88"/>
      <c r="M151" s="89"/>
      <c r="N151" s="89"/>
      <c r="O151" s="89"/>
      <c r="P151" s="89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</row>
    <row r="152" spans="1:39" ht="15.5" x14ac:dyDescent="0.35">
      <c r="A152" s="18"/>
      <c r="B152" s="18"/>
      <c r="C152" s="18"/>
      <c r="D152" s="18"/>
      <c r="E152" s="18"/>
      <c r="F152" s="18"/>
      <c r="G152" s="18"/>
      <c r="H152" s="18"/>
      <c r="I152" s="75"/>
      <c r="J152" s="18"/>
      <c r="K152" s="88"/>
      <c r="L152" s="88"/>
      <c r="M152" s="89"/>
      <c r="N152" s="89"/>
      <c r="O152" s="89"/>
      <c r="P152" s="89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</row>
    <row r="153" spans="1:39" ht="15.5" x14ac:dyDescent="0.35">
      <c r="A153" s="18"/>
      <c r="B153" s="18"/>
      <c r="C153" s="18"/>
      <c r="D153" s="18"/>
      <c r="E153" s="18"/>
      <c r="F153" s="18"/>
      <c r="G153" s="18"/>
      <c r="H153" s="18"/>
      <c r="I153" s="75"/>
      <c r="J153" s="18"/>
      <c r="K153" s="88"/>
      <c r="L153" s="88"/>
      <c r="M153" s="89"/>
      <c r="N153" s="89"/>
      <c r="O153" s="89"/>
      <c r="P153" s="89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</row>
    <row r="154" spans="1:39" ht="15.5" x14ac:dyDescent="0.35">
      <c r="A154" s="18"/>
      <c r="B154" s="18"/>
      <c r="C154" s="18"/>
      <c r="D154" s="18"/>
      <c r="E154" s="18"/>
      <c r="F154" s="18"/>
      <c r="G154" s="18"/>
      <c r="H154" s="18"/>
      <c r="I154" s="75"/>
      <c r="J154" s="18"/>
      <c r="K154" s="88"/>
      <c r="L154" s="88"/>
      <c r="M154" s="89"/>
      <c r="N154" s="89"/>
      <c r="O154" s="89"/>
      <c r="P154" s="89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</row>
    <row r="155" spans="1:39" ht="15.5" x14ac:dyDescent="0.35">
      <c r="A155" s="18"/>
      <c r="B155" s="18"/>
      <c r="C155" s="18"/>
      <c r="D155" s="18"/>
      <c r="E155" s="18"/>
      <c r="F155" s="18"/>
      <c r="G155" s="18"/>
      <c r="H155" s="18"/>
      <c r="I155" s="75"/>
      <c r="J155" s="18"/>
      <c r="K155" s="88"/>
      <c r="L155" s="88"/>
      <c r="M155" s="89"/>
      <c r="N155" s="89"/>
      <c r="O155" s="89"/>
      <c r="P155" s="89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</row>
    <row r="156" spans="1:39" ht="15.5" x14ac:dyDescent="0.35">
      <c r="A156" s="18"/>
      <c r="B156" s="18"/>
      <c r="C156" s="18"/>
      <c r="D156" s="18"/>
      <c r="E156" s="18"/>
      <c r="F156" s="18"/>
      <c r="G156" s="18"/>
      <c r="H156" s="18"/>
      <c r="I156" s="75"/>
      <c r="J156" s="18"/>
      <c r="K156" s="88"/>
      <c r="L156" s="88"/>
      <c r="M156" s="89"/>
      <c r="N156" s="89"/>
      <c r="O156" s="89"/>
      <c r="P156" s="89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</row>
    <row r="157" spans="1:39" ht="15.5" x14ac:dyDescent="0.35">
      <c r="A157" s="18"/>
      <c r="B157" s="18"/>
      <c r="C157" s="18"/>
      <c r="D157" s="18"/>
      <c r="E157" s="18"/>
      <c r="F157" s="18"/>
      <c r="G157" s="18"/>
      <c r="H157" s="18"/>
      <c r="I157" s="75"/>
      <c r="J157" s="18"/>
      <c r="K157" s="88"/>
      <c r="L157" s="88"/>
      <c r="M157" s="89"/>
      <c r="N157" s="89"/>
      <c r="O157" s="89"/>
      <c r="P157" s="89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</row>
    <row r="158" spans="1:39" x14ac:dyDescent="0.3">
      <c r="A158" s="18"/>
      <c r="B158" s="18"/>
      <c r="C158" s="18"/>
      <c r="D158" s="18"/>
      <c r="E158" s="18"/>
      <c r="F158" s="18"/>
      <c r="G158" s="18"/>
      <c r="H158" s="18"/>
      <c r="I158" s="75"/>
      <c r="J158" s="18"/>
      <c r="K158" s="18"/>
      <c r="L158" s="85"/>
      <c r="M158" s="85"/>
      <c r="N158" s="85"/>
      <c r="O158" s="85"/>
      <c r="P158" s="85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</row>
    <row r="159" spans="1:39" x14ac:dyDescent="0.3">
      <c r="A159" s="18"/>
      <c r="B159" s="18"/>
      <c r="C159" s="18"/>
      <c r="D159" s="18"/>
      <c r="E159" s="18"/>
      <c r="F159" s="18"/>
      <c r="G159" s="18"/>
      <c r="H159" s="18"/>
      <c r="I159" s="75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</row>
    <row r="160" spans="1:39" x14ac:dyDescent="0.3">
      <c r="A160" s="18"/>
      <c r="B160" s="18"/>
      <c r="C160" s="18"/>
      <c r="D160" s="18"/>
      <c r="E160" s="18"/>
      <c r="F160" s="18"/>
      <c r="G160" s="18"/>
      <c r="H160" s="18"/>
      <c r="I160" s="75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</row>
    <row r="161" spans="1:39" x14ac:dyDescent="0.3">
      <c r="A161" s="18"/>
      <c r="B161" s="18"/>
      <c r="C161" s="18"/>
      <c r="D161" s="18"/>
      <c r="E161" s="18"/>
      <c r="F161" s="18"/>
      <c r="G161" s="18"/>
      <c r="H161" s="18"/>
      <c r="I161" s="75"/>
      <c r="J161" s="18"/>
      <c r="K161" s="90"/>
      <c r="L161" s="90"/>
      <c r="M161" s="90"/>
      <c r="N161" s="90"/>
      <c r="O161" s="90"/>
      <c r="P161" s="90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</row>
    <row r="162" spans="1:39" x14ac:dyDescent="0.3">
      <c r="A162" s="18"/>
      <c r="B162" s="18"/>
      <c r="C162" s="18"/>
      <c r="D162" s="18"/>
      <c r="E162" s="18"/>
      <c r="F162" s="18"/>
      <c r="G162" s="18"/>
      <c r="H162" s="18"/>
      <c r="I162" s="75"/>
      <c r="J162" s="18"/>
      <c r="K162" s="90"/>
      <c r="L162" s="90"/>
      <c r="M162" s="90"/>
      <c r="N162" s="90"/>
      <c r="O162" s="81"/>
      <c r="P162" s="81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</row>
    <row r="163" spans="1:39" x14ac:dyDescent="0.3">
      <c r="A163" s="18"/>
      <c r="B163" s="18"/>
      <c r="C163" s="18"/>
      <c r="D163" s="18"/>
      <c r="E163" s="18"/>
      <c r="F163" s="18"/>
      <c r="G163" s="18"/>
      <c r="H163" s="18"/>
      <c r="I163" s="75"/>
      <c r="J163" s="18"/>
      <c r="K163" s="81"/>
      <c r="L163" s="82"/>
      <c r="M163" s="81"/>
      <c r="N163" s="81"/>
      <c r="O163" s="81"/>
      <c r="P163" s="81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</row>
    <row r="164" spans="1:39" x14ac:dyDescent="0.3">
      <c r="A164" s="18"/>
      <c r="B164" s="18"/>
      <c r="C164" s="18"/>
      <c r="D164" s="18"/>
      <c r="E164" s="18"/>
      <c r="F164" s="18"/>
      <c r="G164" s="18"/>
      <c r="H164" s="18"/>
      <c r="I164" s="75"/>
      <c r="J164" s="18"/>
      <c r="K164" s="81"/>
      <c r="L164" s="82"/>
      <c r="M164" s="81"/>
      <c r="N164" s="81"/>
      <c r="O164" s="81"/>
      <c r="P164" s="81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</row>
    <row r="165" spans="1:39" x14ac:dyDescent="0.3">
      <c r="A165" s="18"/>
      <c r="B165" s="18"/>
      <c r="C165" s="18"/>
      <c r="D165" s="18"/>
      <c r="E165" s="18"/>
      <c r="F165" s="18"/>
      <c r="G165" s="18"/>
      <c r="H165" s="18"/>
      <c r="I165" s="75"/>
      <c r="J165" s="18"/>
      <c r="K165" s="81"/>
      <c r="L165" s="82"/>
      <c r="M165" s="81"/>
      <c r="N165" s="81"/>
      <c r="O165" s="81"/>
      <c r="P165" s="81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</row>
    <row r="166" spans="1:39" x14ac:dyDescent="0.3">
      <c r="A166" s="18"/>
      <c r="B166" s="18"/>
      <c r="C166" s="18"/>
      <c r="D166" s="18"/>
      <c r="E166" s="18"/>
      <c r="F166" s="18"/>
      <c r="G166" s="18"/>
      <c r="H166" s="18"/>
      <c r="I166" s="75"/>
      <c r="J166" s="18"/>
      <c r="K166" s="81"/>
      <c r="L166" s="82"/>
      <c r="M166" s="81"/>
      <c r="N166" s="81"/>
      <c r="O166" s="81"/>
      <c r="P166" s="81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</row>
    <row r="167" spans="1:39" x14ac:dyDescent="0.3">
      <c r="A167" s="18"/>
      <c r="B167" s="18"/>
      <c r="C167" s="18"/>
      <c r="D167" s="18"/>
      <c r="E167" s="18"/>
      <c r="F167" s="18"/>
      <c r="G167" s="18"/>
      <c r="H167" s="18"/>
      <c r="I167" s="75"/>
      <c r="J167" s="18"/>
      <c r="K167" s="81"/>
      <c r="L167" s="82"/>
      <c r="M167" s="81"/>
      <c r="N167" s="81"/>
      <c r="O167" s="81"/>
      <c r="P167" s="81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</row>
    <row r="168" spans="1:39" x14ac:dyDescent="0.3">
      <c r="A168" s="18"/>
      <c r="B168" s="18"/>
      <c r="C168" s="18"/>
      <c r="D168" s="18"/>
      <c r="E168" s="18"/>
      <c r="F168" s="18"/>
      <c r="G168" s="18"/>
      <c r="H168" s="18"/>
      <c r="I168" s="75"/>
      <c r="J168" s="18"/>
      <c r="K168" s="81"/>
      <c r="L168" s="82"/>
      <c r="M168" s="81"/>
      <c r="N168" s="81"/>
      <c r="O168" s="81"/>
      <c r="P168" s="81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</row>
    <row r="169" spans="1:39" x14ac:dyDescent="0.3">
      <c r="A169" s="18"/>
      <c r="B169" s="18"/>
      <c r="C169" s="18"/>
      <c r="D169" s="18"/>
      <c r="E169" s="18"/>
      <c r="F169" s="18"/>
      <c r="G169" s="18"/>
      <c r="H169" s="18"/>
      <c r="I169" s="75"/>
      <c r="J169" s="18"/>
      <c r="K169" s="81"/>
      <c r="L169" s="82"/>
      <c r="M169" s="81"/>
      <c r="N169" s="81"/>
      <c r="O169" s="81"/>
      <c r="P169" s="81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</row>
    <row r="170" spans="1:39" x14ac:dyDescent="0.3">
      <c r="A170" s="18"/>
      <c r="B170" s="18"/>
      <c r="C170" s="18"/>
      <c r="D170" s="18"/>
      <c r="E170" s="18"/>
      <c r="F170" s="18"/>
      <c r="G170" s="18"/>
      <c r="H170" s="18"/>
      <c r="I170" s="75"/>
      <c r="J170" s="18"/>
      <c r="K170" s="81"/>
      <c r="L170" s="82"/>
      <c r="M170" s="81"/>
      <c r="N170" s="81"/>
      <c r="O170" s="81"/>
      <c r="P170" s="81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</row>
    <row r="171" spans="1:39" x14ac:dyDescent="0.3">
      <c r="A171" s="18"/>
      <c r="B171" s="18"/>
      <c r="C171" s="18"/>
      <c r="D171" s="18"/>
      <c r="E171" s="18"/>
      <c r="F171" s="18"/>
      <c r="G171" s="18"/>
      <c r="H171" s="18"/>
      <c r="I171" s="75"/>
      <c r="J171" s="18"/>
      <c r="K171" s="18"/>
      <c r="L171" s="91"/>
      <c r="M171" s="91"/>
      <c r="N171" s="91"/>
      <c r="O171" s="91"/>
      <c r="P171" s="91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</row>
    <row r="172" spans="1:39" x14ac:dyDescent="0.3">
      <c r="A172" s="18"/>
      <c r="B172" s="18"/>
      <c r="C172" s="18"/>
      <c r="D172" s="18"/>
      <c r="E172" s="18"/>
      <c r="F172" s="18"/>
      <c r="G172" s="18"/>
      <c r="H172" s="18"/>
      <c r="I172" s="75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</row>
    <row r="173" spans="1:39" x14ac:dyDescent="0.3">
      <c r="A173" s="18"/>
      <c r="B173" s="18"/>
      <c r="C173" s="18"/>
      <c r="D173" s="18"/>
      <c r="E173" s="18"/>
      <c r="F173" s="18"/>
      <c r="G173" s="18"/>
      <c r="H173" s="18"/>
      <c r="I173" s="75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</row>
    <row r="174" spans="1:39" x14ac:dyDescent="0.3">
      <c r="A174" s="18"/>
      <c r="B174" s="18"/>
      <c r="C174" s="18"/>
      <c r="D174" s="18"/>
      <c r="E174" s="18"/>
      <c r="F174" s="18"/>
      <c r="G174" s="18"/>
      <c r="H174" s="18"/>
      <c r="I174" s="75"/>
      <c r="J174" s="81"/>
      <c r="K174" s="82"/>
      <c r="L174" s="81"/>
      <c r="M174" s="81"/>
      <c r="N174" s="81"/>
      <c r="O174" s="81"/>
      <c r="P174" s="81"/>
      <c r="Q174" s="82"/>
      <c r="R174" s="81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</row>
    <row r="175" spans="1:39" x14ac:dyDescent="0.3">
      <c r="A175" s="18"/>
      <c r="B175" s="18"/>
      <c r="C175" s="18"/>
      <c r="D175" s="18"/>
      <c r="E175" s="18"/>
      <c r="F175" s="18"/>
      <c r="G175" s="18"/>
      <c r="H175" s="18"/>
      <c r="I175" s="75"/>
      <c r="J175" s="90"/>
      <c r="K175" s="81"/>
      <c r="L175" s="82"/>
      <c r="M175" s="81"/>
      <c r="N175" s="81"/>
      <c r="O175" s="81"/>
      <c r="P175" s="81"/>
      <c r="Q175" s="81"/>
      <c r="R175" s="82"/>
      <c r="S175" s="81"/>
      <c r="T175" s="18"/>
      <c r="U175" s="18"/>
      <c r="V175" s="18"/>
      <c r="W175" s="18"/>
      <c r="X175" s="18"/>
      <c r="Y175" s="18"/>
      <c r="Z175" s="18"/>
      <c r="AA175" s="18"/>
      <c r="AB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</row>
    <row r="176" spans="1:39" x14ac:dyDescent="0.3">
      <c r="A176" s="18"/>
      <c r="B176" s="18"/>
      <c r="C176" s="18"/>
      <c r="D176" s="18"/>
      <c r="E176" s="18"/>
      <c r="F176" s="18"/>
      <c r="G176" s="18"/>
      <c r="H176" s="18"/>
      <c r="I176" s="75"/>
      <c r="J176" s="81"/>
      <c r="K176" s="81"/>
      <c r="L176" s="82"/>
      <c r="M176" s="81"/>
      <c r="N176" s="81"/>
      <c r="O176" s="81"/>
      <c r="P176" s="81"/>
      <c r="Q176" s="81"/>
      <c r="R176" s="82"/>
      <c r="S176" s="81"/>
      <c r="T176" s="18"/>
      <c r="U176" s="18"/>
      <c r="V176" s="18"/>
      <c r="W176" s="18"/>
      <c r="X176" s="18"/>
      <c r="Y176" s="18"/>
      <c r="Z176" s="18"/>
      <c r="AA176" s="18"/>
      <c r="AB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</row>
    <row r="177" spans="1:39" x14ac:dyDescent="0.3">
      <c r="A177" s="18"/>
      <c r="B177" s="18"/>
      <c r="C177" s="18"/>
      <c r="D177" s="18"/>
      <c r="E177" s="18"/>
      <c r="F177" s="18"/>
      <c r="G177" s="18"/>
      <c r="H177" s="18"/>
      <c r="I177" s="75"/>
      <c r="J177" s="81"/>
      <c r="K177" s="81"/>
      <c r="L177" s="82"/>
      <c r="M177" s="81"/>
      <c r="N177" s="81"/>
      <c r="O177" s="81"/>
      <c r="P177" s="81"/>
      <c r="Q177" s="81"/>
      <c r="R177" s="82"/>
      <c r="S177" s="81"/>
      <c r="T177" s="18"/>
      <c r="U177" s="18"/>
      <c r="V177" s="18"/>
      <c r="W177" s="18"/>
      <c r="X177" s="18"/>
      <c r="Y177" s="18"/>
      <c r="Z177" s="18"/>
      <c r="AA177" s="18"/>
      <c r="AB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</row>
    <row r="178" spans="1:39" x14ac:dyDescent="0.3">
      <c r="A178" s="18"/>
      <c r="B178" s="18"/>
      <c r="C178" s="18"/>
      <c r="D178" s="18"/>
      <c r="E178" s="18"/>
      <c r="F178" s="18"/>
      <c r="G178" s="18"/>
      <c r="H178" s="18"/>
      <c r="I178" s="75"/>
      <c r="J178" s="81"/>
      <c r="K178" s="81"/>
      <c r="L178" s="82"/>
      <c r="M178" s="81"/>
      <c r="N178" s="81"/>
      <c r="O178" s="81"/>
      <c r="P178" s="81"/>
      <c r="Q178" s="81"/>
      <c r="R178" s="82"/>
      <c r="S178" s="81"/>
      <c r="T178" s="18"/>
      <c r="U178" s="18"/>
      <c r="V178" s="18"/>
      <c r="W178" s="18"/>
      <c r="X178" s="18"/>
      <c r="Y178" s="18"/>
      <c r="Z178" s="18"/>
      <c r="AA178" s="18"/>
      <c r="AB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</row>
    <row r="179" spans="1:39" x14ac:dyDescent="0.3">
      <c r="A179" s="18"/>
      <c r="B179" s="18"/>
      <c r="C179" s="18"/>
      <c r="D179" s="18"/>
      <c r="E179" s="18"/>
      <c r="F179" s="18"/>
      <c r="G179" s="18"/>
      <c r="H179" s="18"/>
      <c r="I179" s="75"/>
      <c r="J179" s="81"/>
      <c r="K179" s="81"/>
      <c r="L179" s="82"/>
      <c r="M179" s="81"/>
      <c r="N179" s="81"/>
      <c r="O179" s="81"/>
      <c r="P179" s="81"/>
      <c r="Q179" s="81"/>
      <c r="R179" s="82"/>
      <c r="S179" s="81"/>
      <c r="T179" s="18"/>
      <c r="U179" s="18"/>
      <c r="V179" s="18"/>
      <c r="W179" s="18"/>
      <c r="X179" s="18"/>
      <c r="Y179" s="18"/>
      <c r="Z179" s="18"/>
      <c r="AA179" s="18"/>
      <c r="AB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</row>
    <row r="180" spans="1:39" x14ac:dyDescent="0.3">
      <c r="A180" s="18"/>
      <c r="B180" s="18"/>
      <c r="C180" s="18"/>
      <c r="D180" s="18"/>
      <c r="E180" s="18"/>
      <c r="F180" s="18"/>
      <c r="G180" s="18"/>
      <c r="H180" s="18"/>
      <c r="I180" s="75"/>
      <c r="J180" s="81"/>
      <c r="K180" s="81"/>
      <c r="L180" s="82"/>
      <c r="M180" s="81"/>
      <c r="N180" s="81"/>
      <c r="O180" s="81"/>
      <c r="P180" s="81"/>
      <c r="Q180" s="81"/>
      <c r="R180" s="82"/>
      <c r="S180" s="81"/>
      <c r="T180" s="18"/>
      <c r="U180" s="18"/>
      <c r="V180" s="18"/>
      <c r="W180" s="18"/>
      <c r="X180" s="18"/>
      <c r="Y180" s="18"/>
      <c r="Z180" s="18"/>
      <c r="AA180" s="18"/>
      <c r="AB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</row>
    <row r="181" spans="1:39" x14ac:dyDescent="0.3">
      <c r="A181" s="18"/>
      <c r="B181" s="18"/>
      <c r="C181" s="18"/>
      <c r="D181" s="18"/>
      <c r="E181" s="18"/>
      <c r="F181" s="18"/>
      <c r="G181" s="18"/>
      <c r="H181" s="18"/>
      <c r="I181" s="75"/>
      <c r="J181" s="81"/>
      <c r="K181" s="81"/>
      <c r="L181" s="82"/>
      <c r="M181" s="81"/>
      <c r="N181" s="81"/>
      <c r="O181" s="81"/>
      <c r="P181" s="81"/>
      <c r="Q181" s="81"/>
      <c r="R181" s="82"/>
      <c r="S181" s="81"/>
      <c r="T181" s="18"/>
      <c r="U181" s="18"/>
      <c r="V181" s="18"/>
      <c r="W181" s="18"/>
      <c r="X181" s="18"/>
      <c r="Y181" s="18"/>
      <c r="Z181" s="18"/>
      <c r="AA181" s="18"/>
      <c r="AB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</row>
    <row r="182" spans="1:39" x14ac:dyDescent="0.3">
      <c r="A182" s="18"/>
      <c r="B182" s="18"/>
      <c r="C182" s="18"/>
      <c r="D182" s="18"/>
      <c r="E182" s="18"/>
      <c r="F182" s="18"/>
      <c r="G182" s="18"/>
      <c r="H182" s="18"/>
      <c r="I182" s="75"/>
      <c r="J182" s="18"/>
      <c r="K182" s="81"/>
      <c r="L182" s="82"/>
      <c r="M182" s="81"/>
      <c r="N182" s="81"/>
      <c r="O182" s="81"/>
      <c r="P182" s="81"/>
      <c r="Q182" s="81"/>
      <c r="R182" s="82"/>
      <c r="S182" s="81"/>
      <c r="T182" s="18"/>
      <c r="U182" s="18"/>
      <c r="V182" s="18"/>
      <c r="W182" s="18"/>
      <c r="X182" s="18"/>
      <c r="Y182" s="18"/>
      <c r="Z182" s="18"/>
      <c r="AA182" s="18"/>
      <c r="AB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</row>
    <row r="183" spans="1:39" x14ac:dyDescent="0.3">
      <c r="A183" s="18"/>
      <c r="B183" s="18"/>
      <c r="C183" s="18"/>
      <c r="D183" s="18"/>
      <c r="E183" s="18"/>
      <c r="F183" s="18"/>
      <c r="G183" s="18"/>
      <c r="H183" s="18"/>
      <c r="I183" s="75"/>
      <c r="J183" s="18"/>
      <c r="K183" s="81"/>
      <c r="L183" s="82"/>
      <c r="M183" s="81"/>
      <c r="N183" s="81"/>
      <c r="O183" s="81"/>
      <c r="P183" s="81"/>
      <c r="Q183" s="81"/>
      <c r="R183" s="82"/>
      <c r="S183" s="81"/>
      <c r="T183" s="18"/>
      <c r="U183" s="18"/>
      <c r="V183" s="18"/>
      <c r="W183" s="18"/>
      <c r="X183" s="18"/>
      <c r="Y183" s="18"/>
      <c r="Z183" s="18"/>
      <c r="AA183" s="18"/>
      <c r="AB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</row>
    <row r="184" spans="1:39" x14ac:dyDescent="0.3">
      <c r="A184" s="18"/>
      <c r="B184" s="18"/>
      <c r="C184" s="18"/>
      <c r="D184" s="18"/>
      <c r="E184" s="18"/>
      <c r="F184" s="18"/>
      <c r="G184" s="18"/>
      <c r="H184" s="18"/>
      <c r="I184" s="75"/>
      <c r="J184" s="18"/>
      <c r="K184" s="81"/>
      <c r="L184" s="82"/>
      <c r="M184" s="81"/>
      <c r="N184" s="81"/>
      <c r="O184" s="81"/>
      <c r="P184" s="81"/>
      <c r="Q184" s="81"/>
      <c r="R184" s="82"/>
      <c r="S184" s="81"/>
      <c r="T184" s="18"/>
      <c r="U184" s="18"/>
      <c r="V184" s="18"/>
      <c r="W184" s="18"/>
      <c r="X184" s="18"/>
      <c r="Y184" s="18"/>
      <c r="Z184" s="18"/>
      <c r="AA184" s="18"/>
      <c r="AB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</row>
    <row r="185" spans="1:39" x14ac:dyDescent="0.3">
      <c r="A185" s="18"/>
      <c r="B185" s="18"/>
      <c r="C185" s="18"/>
      <c r="D185" s="18"/>
      <c r="E185" s="18"/>
      <c r="F185" s="18"/>
      <c r="G185" s="18"/>
      <c r="H185" s="18"/>
      <c r="I185" s="75"/>
      <c r="J185" s="18"/>
      <c r="K185" s="81"/>
      <c r="L185" s="82"/>
      <c r="M185" s="81"/>
      <c r="N185" s="81"/>
      <c r="O185" s="81"/>
      <c r="P185" s="81"/>
      <c r="Q185" s="81"/>
      <c r="R185" s="82"/>
      <c r="S185" s="81"/>
      <c r="T185" s="18"/>
      <c r="U185" s="18"/>
      <c r="V185" s="18"/>
      <c r="W185" s="18"/>
      <c r="X185" s="18"/>
      <c r="Y185" s="18"/>
      <c r="Z185" s="18"/>
      <c r="AA185" s="18"/>
      <c r="AB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</row>
    <row r="186" spans="1:39" x14ac:dyDescent="0.3">
      <c r="A186" s="18"/>
      <c r="B186" s="18"/>
      <c r="C186" s="18"/>
      <c r="D186" s="18"/>
      <c r="E186" s="18"/>
      <c r="F186" s="18"/>
      <c r="G186" s="18"/>
      <c r="H186" s="18"/>
      <c r="I186" s="75"/>
      <c r="J186" s="18"/>
      <c r="K186" s="18"/>
      <c r="L186" s="18"/>
      <c r="M186" s="91"/>
      <c r="N186" s="91"/>
      <c r="O186" s="91"/>
      <c r="P186" s="91"/>
      <c r="Q186" s="91"/>
      <c r="R186" s="91"/>
      <c r="S186" s="91"/>
      <c r="T186" s="18"/>
      <c r="U186" s="18"/>
      <c r="V186" s="18"/>
      <c r="W186" s="18"/>
      <c r="X186" s="18"/>
      <c r="Y186" s="18"/>
      <c r="Z186" s="18"/>
      <c r="AA186" s="18"/>
      <c r="AB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</row>
    <row r="187" spans="1:39" x14ac:dyDescent="0.3">
      <c r="A187" s="18"/>
      <c r="B187" s="18"/>
      <c r="C187" s="18"/>
      <c r="D187" s="18"/>
      <c r="E187" s="18"/>
      <c r="F187" s="18"/>
      <c r="G187" s="18"/>
      <c r="H187" s="18"/>
      <c r="I187" s="75"/>
      <c r="J187" s="18"/>
      <c r="K187" s="90"/>
      <c r="L187" s="90"/>
      <c r="M187" s="90"/>
      <c r="N187" s="90"/>
      <c r="O187" s="90"/>
      <c r="P187" s="90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</row>
    <row r="188" spans="1:39" x14ac:dyDescent="0.3">
      <c r="A188" s="18"/>
      <c r="B188" s="18"/>
      <c r="C188" s="18"/>
      <c r="D188" s="18"/>
      <c r="E188" s="18"/>
      <c r="F188" s="18"/>
      <c r="G188" s="18"/>
      <c r="H188" s="18"/>
      <c r="I188" s="75"/>
      <c r="J188" s="18"/>
      <c r="K188" s="90"/>
      <c r="L188" s="90"/>
      <c r="M188" s="90"/>
      <c r="N188" s="90"/>
      <c r="O188" s="81"/>
      <c r="P188" s="81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</row>
    <row r="189" spans="1:39" x14ac:dyDescent="0.3">
      <c r="A189" s="18"/>
      <c r="B189" s="18"/>
      <c r="C189" s="18"/>
      <c r="D189" s="18"/>
      <c r="E189" s="18"/>
      <c r="F189" s="18"/>
      <c r="G189" s="18"/>
      <c r="H189" s="18"/>
      <c r="I189" s="75"/>
      <c r="J189" s="18"/>
      <c r="K189" s="81"/>
      <c r="L189" s="82"/>
      <c r="M189" s="81"/>
      <c r="N189" s="81"/>
      <c r="O189" s="81"/>
      <c r="P189" s="81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</row>
    <row r="190" spans="1:39" x14ac:dyDescent="0.3">
      <c r="A190" s="18"/>
      <c r="B190" s="18"/>
      <c r="C190" s="18"/>
      <c r="D190" s="18"/>
      <c r="E190" s="18"/>
      <c r="F190" s="18"/>
      <c r="G190" s="18"/>
      <c r="H190" s="18"/>
      <c r="I190" s="75"/>
      <c r="J190" s="18"/>
      <c r="K190" s="81"/>
      <c r="L190" s="82"/>
      <c r="M190" s="81"/>
      <c r="N190" s="81"/>
      <c r="O190" s="81"/>
      <c r="P190" s="81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</row>
    <row r="191" spans="1:39" x14ac:dyDescent="0.3">
      <c r="A191" s="18"/>
      <c r="B191" s="18"/>
      <c r="C191" s="18"/>
      <c r="D191" s="18"/>
      <c r="E191" s="18"/>
      <c r="F191" s="18"/>
      <c r="G191" s="18"/>
      <c r="H191" s="18"/>
      <c r="I191" s="75"/>
      <c r="J191" s="18"/>
      <c r="K191" s="81"/>
      <c r="L191" s="82"/>
      <c r="M191" s="81"/>
      <c r="N191" s="81"/>
      <c r="O191" s="81"/>
      <c r="P191" s="81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</row>
    <row r="192" spans="1:39" x14ac:dyDescent="0.3">
      <c r="A192" s="18"/>
      <c r="B192" s="18"/>
      <c r="C192" s="18"/>
      <c r="D192" s="18"/>
      <c r="E192" s="18"/>
      <c r="F192" s="18"/>
      <c r="G192" s="18"/>
      <c r="H192" s="18"/>
      <c r="I192" s="75"/>
      <c r="J192" s="18"/>
      <c r="K192" s="81"/>
      <c r="L192" s="82"/>
      <c r="M192" s="81"/>
      <c r="N192" s="81"/>
      <c r="O192" s="81"/>
      <c r="P192" s="81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</row>
    <row r="193" spans="1:39" x14ac:dyDescent="0.3">
      <c r="A193" s="18"/>
      <c r="B193" s="18"/>
      <c r="C193" s="18"/>
      <c r="D193" s="18"/>
      <c r="E193" s="18"/>
      <c r="F193" s="18"/>
      <c r="G193" s="18"/>
      <c r="H193" s="18"/>
      <c r="I193" s="75"/>
      <c r="J193" s="18"/>
      <c r="K193" s="81"/>
      <c r="L193" s="82"/>
      <c r="M193" s="81"/>
      <c r="N193" s="81"/>
      <c r="O193" s="81"/>
      <c r="P193" s="81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</row>
    <row r="194" spans="1:39" x14ac:dyDescent="0.3">
      <c r="A194" s="18"/>
      <c r="B194" s="18"/>
      <c r="C194" s="18"/>
      <c r="D194" s="18"/>
      <c r="E194" s="18"/>
      <c r="F194" s="18"/>
      <c r="G194" s="18"/>
      <c r="H194" s="18"/>
      <c r="I194" s="75"/>
      <c r="J194" s="18"/>
      <c r="K194" s="81"/>
      <c r="L194" s="82"/>
      <c r="M194" s="81"/>
      <c r="N194" s="81"/>
      <c r="O194" s="81"/>
      <c r="P194" s="81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</row>
    <row r="195" spans="1:39" x14ac:dyDescent="0.3">
      <c r="A195" s="18"/>
      <c r="B195" s="18"/>
      <c r="C195" s="18"/>
      <c r="D195" s="18"/>
      <c r="E195" s="18"/>
      <c r="F195" s="18"/>
      <c r="G195" s="18"/>
      <c r="H195" s="18"/>
      <c r="I195" s="75"/>
      <c r="J195" s="18"/>
      <c r="K195" s="81"/>
      <c r="L195" s="82"/>
      <c r="M195" s="81"/>
      <c r="N195" s="81"/>
      <c r="O195" s="81"/>
      <c r="P195" s="81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</row>
    <row r="196" spans="1:39" x14ac:dyDescent="0.3">
      <c r="A196" s="18"/>
      <c r="B196" s="18"/>
      <c r="C196" s="18"/>
      <c r="D196" s="18"/>
      <c r="E196" s="18"/>
      <c r="F196" s="18"/>
      <c r="G196" s="18"/>
      <c r="H196" s="18"/>
      <c r="I196" s="75"/>
      <c r="J196" s="18"/>
      <c r="K196" s="81"/>
      <c r="L196" s="82"/>
      <c r="M196" s="81"/>
      <c r="N196" s="81"/>
      <c r="O196" s="81"/>
      <c r="P196" s="81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</row>
    <row r="197" spans="1:39" x14ac:dyDescent="0.3">
      <c r="A197" s="18"/>
      <c r="B197" s="18"/>
      <c r="C197" s="18"/>
      <c r="D197" s="18"/>
      <c r="E197" s="18"/>
      <c r="F197" s="18"/>
      <c r="G197" s="18"/>
      <c r="H197" s="18"/>
      <c r="I197" s="75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</row>
    <row r="198" spans="1:39" x14ac:dyDescent="0.3">
      <c r="A198" s="18"/>
      <c r="B198" s="18"/>
      <c r="C198" s="18"/>
      <c r="D198" s="18"/>
      <c r="E198" s="18"/>
      <c r="F198" s="18"/>
      <c r="G198" s="18"/>
      <c r="H198" s="18"/>
      <c r="I198" s="75"/>
      <c r="J198" s="18"/>
      <c r="K198" s="18"/>
      <c r="L198" s="91"/>
      <c r="M198" s="91"/>
      <c r="N198" s="91"/>
      <c r="O198" s="91"/>
      <c r="P198" s="91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</row>
    <row r="199" spans="1:39" x14ac:dyDescent="0.3">
      <c r="A199" s="18"/>
      <c r="B199" s="18"/>
      <c r="C199" s="18"/>
      <c r="D199" s="18"/>
      <c r="E199" s="18"/>
      <c r="F199" s="18"/>
      <c r="G199" s="18"/>
      <c r="H199" s="18"/>
      <c r="I199" s="75"/>
      <c r="J199" s="18"/>
      <c r="K199" s="18"/>
      <c r="L199" s="91"/>
      <c r="M199" s="91"/>
      <c r="N199" s="91"/>
      <c r="O199" s="91"/>
      <c r="P199" s="91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</row>
    <row r="200" spans="1:39" x14ac:dyDescent="0.3">
      <c r="A200" s="18"/>
      <c r="B200" s="18"/>
      <c r="C200" s="18"/>
      <c r="D200" s="18"/>
      <c r="E200" s="18"/>
      <c r="F200" s="18"/>
      <c r="G200" s="18"/>
      <c r="H200" s="18"/>
      <c r="I200" s="75"/>
      <c r="J200" s="18"/>
      <c r="K200" s="90"/>
      <c r="L200" s="90"/>
      <c r="M200" s="90"/>
      <c r="N200" s="90"/>
      <c r="O200" s="81"/>
      <c r="P200" s="81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</row>
    <row r="201" spans="1:39" x14ac:dyDescent="0.3">
      <c r="A201" s="18"/>
      <c r="B201" s="18"/>
      <c r="C201" s="18"/>
      <c r="D201" s="18"/>
      <c r="E201" s="18"/>
      <c r="F201" s="18"/>
      <c r="G201" s="18"/>
      <c r="H201" s="18"/>
      <c r="I201" s="75"/>
      <c r="J201" s="18"/>
      <c r="K201" s="81"/>
      <c r="L201" s="82"/>
      <c r="M201" s="81"/>
      <c r="N201" s="81"/>
      <c r="O201" s="81"/>
      <c r="P201" s="81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</row>
    <row r="202" spans="1:39" x14ac:dyDescent="0.3">
      <c r="A202" s="18"/>
      <c r="B202" s="18"/>
      <c r="C202" s="18"/>
      <c r="D202" s="18"/>
      <c r="E202" s="18"/>
      <c r="F202" s="18"/>
      <c r="G202" s="18"/>
      <c r="H202" s="18"/>
      <c r="I202" s="75"/>
      <c r="J202" s="18"/>
      <c r="K202" s="81"/>
      <c r="L202" s="82"/>
      <c r="M202" s="81"/>
      <c r="N202" s="81"/>
      <c r="O202" s="81"/>
      <c r="P202" s="81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</row>
    <row r="203" spans="1:39" x14ac:dyDescent="0.3">
      <c r="A203" s="18"/>
      <c r="B203" s="18"/>
      <c r="C203" s="18"/>
      <c r="D203" s="18"/>
      <c r="E203" s="18"/>
      <c r="F203" s="18"/>
      <c r="G203" s="18"/>
      <c r="H203" s="18"/>
      <c r="I203" s="75"/>
      <c r="J203" s="18"/>
      <c r="K203" s="81"/>
      <c r="L203" s="82"/>
      <c r="M203" s="81"/>
      <c r="N203" s="81"/>
      <c r="O203" s="81"/>
      <c r="P203" s="81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</row>
    <row r="204" spans="1:39" x14ac:dyDescent="0.3">
      <c r="A204" s="18"/>
      <c r="B204" s="18"/>
      <c r="C204" s="18"/>
      <c r="D204" s="18"/>
      <c r="E204" s="18"/>
      <c r="F204" s="18"/>
      <c r="G204" s="18"/>
      <c r="H204" s="18"/>
      <c r="I204" s="75"/>
      <c r="J204" s="18"/>
      <c r="K204" s="81"/>
      <c r="L204" s="82"/>
      <c r="M204" s="81"/>
      <c r="N204" s="81"/>
      <c r="O204" s="81"/>
      <c r="P204" s="81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</row>
    <row r="205" spans="1:39" x14ac:dyDescent="0.3">
      <c r="A205" s="18"/>
      <c r="B205" s="18"/>
      <c r="C205" s="18"/>
      <c r="D205" s="18"/>
      <c r="E205" s="18"/>
      <c r="F205" s="18"/>
      <c r="G205" s="18"/>
      <c r="H205" s="18"/>
      <c r="I205" s="75"/>
      <c r="J205" s="18"/>
      <c r="K205" s="81"/>
      <c r="L205" s="82"/>
      <c r="M205" s="81"/>
      <c r="N205" s="81"/>
      <c r="O205" s="81"/>
      <c r="P205" s="81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</row>
    <row r="206" spans="1:39" x14ac:dyDescent="0.3">
      <c r="A206" s="18"/>
      <c r="B206" s="18"/>
      <c r="C206" s="18"/>
      <c r="D206" s="18"/>
      <c r="E206" s="18"/>
      <c r="F206" s="18"/>
      <c r="G206" s="18"/>
      <c r="H206" s="18"/>
      <c r="I206" s="75"/>
      <c r="J206" s="18"/>
      <c r="K206" s="81"/>
      <c r="L206" s="82"/>
      <c r="M206" s="81"/>
      <c r="N206" s="81"/>
      <c r="O206" s="81"/>
      <c r="P206" s="81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</row>
    <row r="207" spans="1:39" x14ac:dyDescent="0.3">
      <c r="A207" s="18"/>
      <c r="B207" s="18"/>
      <c r="C207" s="18"/>
      <c r="D207" s="18"/>
      <c r="E207" s="18"/>
      <c r="F207" s="18"/>
      <c r="G207" s="18"/>
      <c r="H207" s="18"/>
      <c r="I207" s="75"/>
      <c r="J207" s="18"/>
      <c r="K207" s="81"/>
      <c r="L207" s="82"/>
      <c r="M207" s="81"/>
      <c r="N207" s="81"/>
      <c r="O207" s="81"/>
      <c r="P207" s="81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</row>
    <row r="208" spans="1:39" x14ac:dyDescent="0.3">
      <c r="A208" s="18"/>
      <c r="B208" s="18"/>
      <c r="C208" s="18"/>
      <c r="D208" s="18"/>
      <c r="E208" s="18"/>
      <c r="F208" s="18"/>
      <c r="G208" s="18"/>
      <c r="H208" s="18"/>
      <c r="I208" s="75"/>
      <c r="J208" s="18"/>
      <c r="K208" s="81"/>
      <c r="L208" s="82"/>
      <c r="M208" s="81"/>
      <c r="N208" s="81"/>
      <c r="O208" s="81"/>
      <c r="P208" s="81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</row>
    <row r="209" spans="1:39" x14ac:dyDescent="0.3">
      <c r="A209" s="18"/>
      <c r="B209" s="18"/>
      <c r="C209" s="18"/>
      <c r="D209" s="18"/>
      <c r="E209" s="18"/>
      <c r="F209" s="18"/>
      <c r="G209" s="18"/>
      <c r="H209" s="18"/>
      <c r="I209" s="75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</row>
    <row r="210" spans="1:39" x14ac:dyDescent="0.3">
      <c r="A210" s="18"/>
      <c r="B210" s="18"/>
      <c r="C210" s="18"/>
      <c r="D210" s="18"/>
      <c r="E210" s="18"/>
      <c r="F210" s="18"/>
      <c r="G210" s="18"/>
      <c r="H210" s="18"/>
      <c r="I210" s="75"/>
      <c r="J210" s="18"/>
      <c r="K210" s="18"/>
      <c r="L210" s="91"/>
      <c r="M210" s="91"/>
      <c r="N210" s="91"/>
      <c r="O210" s="91"/>
      <c r="P210" s="91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</row>
    <row r="211" spans="1:39" x14ac:dyDescent="0.3">
      <c r="A211" s="18"/>
      <c r="B211" s="18"/>
      <c r="C211" s="18"/>
      <c r="D211" s="18"/>
      <c r="E211" s="18"/>
      <c r="F211" s="18"/>
      <c r="G211" s="18"/>
      <c r="H211" s="18"/>
      <c r="I211" s="75"/>
      <c r="J211" s="18"/>
      <c r="K211" s="18"/>
      <c r="L211" s="91"/>
      <c r="M211" s="91"/>
      <c r="N211" s="91"/>
      <c r="O211" s="91"/>
      <c r="P211" s="91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</row>
    <row r="212" spans="1:39" x14ac:dyDescent="0.3">
      <c r="A212" s="18"/>
      <c r="B212" s="18"/>
      <c r="C212" s="18"/>
      <c r="D212" s="18"/>
      <c r="E212" s="18"/>
      <c r="F212" s="18"/>
      <c r="G212" s="18"/>
      <c r="H212" s="18"/>
      <c r="I212" s="75"/>
      <c r="J212" s="18"/>
      <c r="K212" s="92"/>
      <c r="L212" s="92"/>
      <c r="M212" s="92"/>
      <c r="N212" s="92"/>
      <c r="O212" s="92"/>
      <c r="P212" s="92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</row>
    <row r="213" spans="1:39" ht="15.5" x14ac:dyDescent="0.35">
      <c r="A213" s="18"/>
      <c r="B213" s="18"/>
      <c r="C213" s="18"/>
      <c r="D213" s="18"/>
      <c r="E213" s="18"/>
      <c r="F213" s="18"/>
      <c r="G213" s="18"/>
      <c r="H213" s="18"/>
      <c r="I213" s="75"/>
      <c r="J213" s="18"/>
      <c r="K213" s="92"/>
      <c r="L213" s="93"/>
      <c r="M213" s="93"/>
      <c r="N213" s="93"/>
      <c r="O213" s="94"/>
      <c r="P213" s="8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</row>
    <row r="214" spans="1:39" ht="15.5" x14ac:dyDescent="0.35">
      <c r="A214" s="18"/>
      <c r="B214" s="18"/>
      <c r="C214" s="18"/>
      <c r="D214" s="18"/>
      <c r="E214" s="18"/>
      <c r="F214" s="18"/>
      <c r="G214" s="18"/>
      <c r="H214" s="18"/>
      <c r="I214" s="75"/>
      <c r="J214" s="18"/>
      <c r="K214" s="95"/>
      <c r="L214" s="95"/>
      <c r="M214" s="95"/>
      <c r="N214" s="95"/>
      <c r="O214" s="95"/>
      <c r="P214" s="95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</row>
    <row r="215" spans="1:39" ht="15.5" x14ac:dyDescent="0.35">
      <c r="A215" s="18"/>
      <c r="B215" s="18"/>
      <c r="C215" s="18"/>
      <c r="D215" s="18"/>
      <c r="E215" s="18"/>
      <c r="F215" s="18"/>
      <c r="G215" s="18"/>
      <c r="H215" s="18"/>
      <c r="I215" s="75"/>
      <c r="J215" s="18"/>
      <c r="K215" s="95"/>
      <c r="L215" s="95"/>
      <c r="M215" s="95"/>
      <c r="N215" s="95"/>
      <c r="O215" s="95"/>
      <c r="P215" s="95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</row>
    <row r="216" spans="1:39" ht="15.5" x14ac:dyDescent="0.35">
      <c r="A216" s="18"/>
      <c r="B216" s="18"/>
      <c r="C216" s="18"/>
      <c r="D216" s="18"/>
      <c r="E216" s="18"/>
      <c r="F216" s="18"/>
      <c r="G216" s="18"/>
      <c r="H216" s="18"/>
      <c r="I216" s="75"/>
      <c r="J216" s="18"/>
      <c r="K216" s="95"/>
      <c r="L216" s="95"/>
      <c r="M216" s="95"/>
      <c r="N216" s="95"/>
      <c r="O216" s="95"/>
      <c r="P216" s="95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</row>
    <row r="217" spans="1:39" ht="15.5" x14ac:dyDescent="0.35">
      <c r="A217" s="18"/>
      <c r="B217" s="18"/>
      <c r="C217" s="18"/>
      <c r="D217" s="18"/>
      <c r="E217" s="18"/>
      <c r="F217" s="18"/>
      <c r="G217" s="18"/>
      <c r="H217" s="18"/>
      <c r="I217" s="75"/>
      <c r="J217" s="18"/>
      <c r="K217" s="95"/>
      <c r="L217" s="95"/>
      <c r="M217" s="95"/>
      <c r="N217" s="95"/>
      <c r="O217" s="95"/>
      <c r="P217" s="95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</row>
    <row r="218" spans="1:39" ht="15.5" x14ac:dyDescent="0.35">
      <c r="A218" s="18"/>
      <c r="B218" s="18"/>
      <c r="C218" s="18"/>
      <c r="D218" s="18"/>
      <c r="E218" s="18"/>
      <c r="F218" s="18"/>
      <c r="G218" s="18"/>
      <c r="H218" s="18"/>
      <c r="I218" s="75"/>
      <c r="J218" s="18"/>
      <c r="K218" s="95"/>
      <c r="L218" s="95"/>
      <c r="M218" s="95"/>
      <c r="N218" s="95"/>
      <c r="O218" s="95"/>
      <c r="P218" s="95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</row>
    <row r="219" spans="1:39" ht="15.5" x14ac:dyDescent="0.35">
      <c r="A219" s="18"/>
      <c r="B219" s="18"/>
      <c r="C219" s="18"/>
      <c r="D219" s="18"/>
      <c r="E219" s="18"/>
      <c r="F219" s="18"/>
      <c r="G219" s="18"/>
      <c r="H219" s="18"/>
      <c r="I219" s="75"/>
      <c r="J219" s="18"/>
      <c r="K219" s="95"/>
      <c r="L219" s="95"/>
      <c r="M219" s="95"/>
      <c r="N219" s="95"/>
      <c r="O219" s="95"/>
      <c r="P219" s="95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</row>
    <row r="220" spans="1:39" ht="15.5" x14ac:dyDescent="0.35">
      <c r="A220" s="18"/>
      <c r="B220" s="18"/>
      <c r="C220" s="18"/>
      <c r="D220" s="18"/>
      <c r="E220" s="18"/>
      <c r="F220" s="18"/>
      <c r="G220" s="18"/>
      <c r="H220" s="18"/>
      <c r="I220" s="75"/>
      <c r="J220" s="18"/>
      <c r="K220" s="95"/>
      <c r="L220" s="95"/>
      <c r="M220" s="95"/>
      <c r="N220" s="95"/>
      <c r="O220" s="95"/>
      <c r="P220" s="95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</row>
    <row r="221" spans="1:39" ht="15.5" x14ac:dyDescent="0.35">
      <c r="A221" s="18"/>
      <c r="B221" s="18"/>
      <c r="C221" s="18"/>
      <c r="D221" s="18"/>
      <c r="E221" s="18"/>
      <c r="F221" s="18"/>
      <c r="G221" s="18"/>
      <c r="H221" s="18"/>
      <c r="I221" s="75"/>
      <c r="J221" s="18"/>
      <c r="K221" s="95"/>
      <c r="L221" s="95"/>
      <c r="M221" s="95"/>
      <c r="N221" s="95"/>
      <c r="O221" s="95"/>
      <c r="P221" s="95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</row>
    <row r="222" spans="1:39" x14ac:dyDescent="0.3">
      <c r="A222" s="18"/>
      <c r="B222" s="18"/>
      <c r="C222" s="18"/>
      <c r="D222" s="18"/>
      <c r="E222" s="18"/>
      <c r="F222" s="18"/>
      <c r="G222" s="18"/>
      <c r="H222" s="18"/>
      <c r="I222" s="75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</row>
    <row r="223" spans="1:39" x14ac:dyDescent="0.3">
      <c r="A223" s="18"/>
      <c r="B223" s="18"/>
      <c r="C223" s="18"/>
      <c r="D223" s="18"/>
      <c r="E223" s="18"/>
      <c r="F223" s="18"/>
      <c r="G223" s="18"/>
      <c r="H223" s="18"/>
      <c r="I223" s="75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</row>
    <row r="224" spans="1:39" x14ac:dyDescent="0.3">
      <c r="A224" s="18"/>
      <c r="B224" s="18"/>
      <c r="C224" s="18"/>
      <c r="D224" s="18"/>
      <c r="E224" s="18"/>
      <c r="F224" s="18"/>
      <c r="G224" s="18"/>
      <c r="H224" s="18"/>
      <c r="I224" s="75"/>
      <c r="J224" s="18"/>
      <c r="K224" s="90"/>
      <c r="L224" s="90"/>
      <c r="M224" s="90"/>
      <c r="N224" s="90"/>
      <c r="O224" s="90"/>
      <c r="P224" s="90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</row>
    <row r="225" spans="1:39" x14ac:dyDescent="0.3">
      <c r="A225" s="18"/>
      <c r="B225" s="18"/>
      <c r="C225" s="18"/>
      <c r="D225" s="18"/>
      <c r="E225" s="18"/>
      <c r="F225" s="18"/>
      <c r="G225" s="18"/>
      <c r="H225" s="18"/>
      <c r="I225" s="75"/>
      <c r="J225" s="18"/>
      <c r="K225" s="90"/>
      <c r="L225" s="90"/>
      <c r="M225" s="90"/>
      <c r="N225" s="90"/>
      <c r="O225" s="81"/>
      <c r="P225" s="81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</row>
    <row r="226" spans="1:39" x14ac:dyDescent="0.3">
      <c r="A226" s="18"/>
      <c r="B226" s="18"/>
      <c r="C226" s="18"/>
      <c r="D226" s="18"/>
      <c r="E226" s="18"/>
      <c r="F226" s="18"/>
      <c r="G226" s="18"/>
      <c r="H226" s="18"/>
      <c r="I226" s="75"/>
      <c r="J226" s="18"/>
      <c r="K226" s="81"/>
      <c r="L226" s="82"/>
      <c r="M226" s="81"/>
      <c r="N226" s="81"/>
      <c r="O226" s="81"/>
      <c r="P226" s="81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</row>
    <row r="227" spans="1:39" x14ac:dyDescent="0.3">
      <c r="A227" s="18"/>
      <c r="B227" s="18"/>
      <c r="C227" s="18"/>
      <c r="D227" s="18"/>
      <c r="E227" s="18"/>
      <c r="F227" s="18"/>
      <c r="G227" s="18"/>
      <c r="H227" s="18"/>
      <c r="I227" s="75"/>
      <c r="J227" s="18"/>
      <c r="K227" s="81"/>
      <c r="L227" s="82"/>
      <c r="M227" s="81"/>
      <c r="N227" s="81"/>
      <c r="O227" s="81"/>
      <c r="P227" s="81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</row>
    <row r="228" spans="1:39" x14ac:dyDescent="0.3">
      <c r="A228" s="18"/>
      <c r="B228" s="18"/>
      <c r="C228" s="18"/>
      <c r="D228" s="18"/>
      <c r="E228" s="18"/>
      <c r="F228" s="18"/>
      <c r="G228" s="18"/>
      <c r="H228" s="18"/>
      <c r="I228" s="75"/>
      <c r="J228" s="18"/>
      <c r="K228" s="81"/>
      <c r="L228" s="82"/>
      <c r="M228" s="81"/>
      <c r="N228" s="81"/>
      <c r="O228" s="81"/>
      <c r="P228" s="81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</row>
    <row r="229" spans="1:39" x14ac:dyDescent="0.3">
      <c r="A229" s="18"/>
      <c r="B229" s="18"/>
      <c r="C229" s="18"/>
      <c r="D229" s="18"/>
      <c r="E229" s="18"/>
      <c r="F229" s="18"/>
      <c r="G229" s="18"/>
      <c r="H229" s="18"/>
      <c r="I229" s="75"/>
      <c r="J229" s="18"/>
      <c r="K229" s="81"/>
      <c r="L229" s="82"/>
      <c r="M229" s="81"/>
      <c r="N229" s="81"/>
      <c r="O229" s="81"/>
      <c r="P229" s="81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</row>
    <row r="230" spans="1:39" x14ac:dyDescent="0.3">
      <c r="A230" s="18"/>
      <c r="B230" s="18"/>
      <c r="C230" s="18"/>
      <c r="D230" s="18"/>
      <c r="E230" s="18"/>
      <c r="F230" s="18"/>
      <c r="G230" s="18"/>
      <c r="H230" s="18"/>
      <c r="I230" s="75"/>
      <c r="J230" s="18"/>
      <c r="K230" s="81"/>
      <c r="L230" s="82"/>
      <c r="M230" s="81"/>
      <c r="N230" s="81"/>
      <c r="O230" s="81"/>
      <c r="P230" s="81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</row>
    <row r="231" spans="1:39" x14ac:dyDescent="0.3">
      <c r="A231" s="18"/>
      <c r="B231" s="18"/>
      <c r="C231" s="18"/>
      <c r="D231" s="18"/>
      <c r="E231" s="18"/>
      <c r="F231" s="18"/>
      <c r="G231" s="18"/>
      <c r="H231" s="18"/>
      <c r="I231" s="75"/>
      <c r="J231" s="18"/>
      <c r="K231" s="81"/>
      <c r="L231" s="82"/>
      <c r="M231" s="81"/>
      <c r="N231" s="81"/>
      <c r="O231" s="81"/>
      <c r="P231" s="81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</row>
    <row r="232" spans="1:39" x14ac:dyDescent="0.3">
      <c r="A232" s="18"/>
      <c r="B232" s="18"/>
      <c r="C232" s="18"/>
      <c r="D232" s="18"/>
      <c r="E232" s="18"/>
      <c r="F232" s="18"/>
      <c r="G232" s="18"/>
      <c r="H232" s="18"/>
      <c r="I232" s="75"/>
      <c r="J232" s="18"/>
      <c r="K232" s="81"/>
      <c r="L232" s="82"/>
      <c r="M232" s="81"/>
      <c r="N232" s="81"/>
      <c r="O232" s="81"/>
      <c r="P232" s="81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</row>
    <row r="233" spans="1:39" x14ac:dyDescent="0.3">
      <c r="A233" s="18"/>
      <c r="B233" s="18"/>
      <c r="C233" s="18"/>
      <c r="D233" s="18"/>
      <c r="E233" s="18"/>
      <c r="F233" s="18"/>
      <c r="G233" s="18"/>
      <c r="H233" s="18"/>
      <c r="I233" s="75"/>
      <c r="J233" s="18"/>
      <c r="K233" s="81"/>
      <c r="L233" s="82"/>
      <c r="M233" s="81"/>
      <c r="N233" s="81"/>
      <c r="O233" s="81"/>
      <c r="P233" s="81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</row>
    <row r="234" spans="1:39" x14ac:dyDescent="0.3">
      <c r="A234" s="18"/>
      <c r="B234" s="18"/>
      <c r="C234" s="18"/>
      <c r="D234" s="18"/>
      <c r="E234" s="18"/>
      <c r="F234" s="18"/>
      <c r="G234" s="18"/>
      <c r="H234" s="18"/>
      <c r="I234" s="75"/>
      <c r="J234" s="18"/>
      <c r="K234" s="81"/>
      <c r="L234" s="82"/>
      <c r="M234" s="81"/>
      <c r="N234" s="81"/>
      <c r="O234" s="81"/>
      <c r="P234" s="81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</row>
    <row r="235" spans="1:39" x14ac:dyDescent="0.3">
      <c r="A235" s="18"/>
      <c r="B235" s="18"/>
      <c r="C235" s="18"/>
      <c r="D235" s="18"/>
      <c r="E235" s="18"/>
      <c r="F235" s="18"/>
      <c r="G235" s="18"/>
      <c r="H235" s="18"/>
      <c r="I235" s="75"/>
      <c r="J235" s="18"/>
      <c r="K235" s="81"/>
      <c r="L235" s="82"/>
      <c r="M235" s="81"/>
      <c r="N235" s="81"/>
      <c r="O235" s="81"/>
      <c r="P235" s="81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</row>
    <row r="236" spans="1:39" x14ac:dyDescent="0.3">
      <c r="A236" s="18"/>
      <c r="B236" s="18"/>
      <c r="C236" s="18"/>
      <c r="D236" s="18"/>
      <c r="E236" s="18"/>
      <c r="F236" s="18"/>
      <c r="G236" s="18"/>
      <c r="H236" s="18"/>
      <c r="I236" s="75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</row>
    <row r="237" spans="1:39" x14ac:dyDescent="0.3">
      <c r="A237" s="18"/>
      <c r="B237" s="18"/>
      <c r="C237" s="18"/>
      <c r="D237" s="18"/>
      <c r="E237" s="18"/>
      <c r="F237" s="18"/>
      <c r="G237" s="18"/>
      <c r="H237" s="18"/>
      <c r="I237" s="75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</row>
    <row r="238" spans="1:39" x14ac:dyDescent="0.3">
      <c r="A238" s="18"/>
      <c r="B238" s="18"/>
      <c r="C238" s="18"/>
      <c r="D238" s="18"/>
      <c r="E238" s="18"/>
      <c r="F238" s="18"/>
      <c r="G238" s="18"/>
      <c r="H238" s="18"/>
      <c r="I238" s="75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</row>
    <row r="239" spans="1:39" ht="12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75"/>
      <c r="J239" s="18"/>
      <c r="K239" s="96"/>
      <c r="L239" s="96"/>
      <c r="M239" s="96"/>
      <c r="N239" s="96"/>
      <c r="O239" s="96"/>
      <c r="P239" s="96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</row>
    <row r="240" spans="1:39" x14ac:dyDescent="0.3">
      <c r="A240" s="18"/>
      <c r="B240" s="18"/>
      <c r="C240" s="18"/>
      <c r="D240" s="18"/>
      <c r="E240" s="18"/>
      <c r="F240" s="18"/>
      <c r="G240" s="18"/>
      <c r="H240" s="18"/>
      <c r="I240" s="75"/>
      <c r="J240" s="18"/>
      <c r="K240" s="97"/>
      <c r="L240" s="97"/>
      <c r="M240" s="98"/>
      <c r="N240" s="98"/>
      <c r="O240" s="98"/>
      <c r="P240" s="9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</row>
    <row r="241" spans="1:39" ht="15.5" x14ac:dyDescent="0.35">
      <c r="A241" s="18"/>
      <c r="B241" s="18"/>
      <c r="C241" s="18"/>
      <c r="D241" s="18"/>
      <c r="E241" s="18"/>
      <c r="F241" s="18"/>
      <c r="G241" s="18"/>
      <c r="H241" s="18"/>
      <c r="I241" s="75"/>
      <c r="J241" s="18"/>
      <c r="K241" s="99"/>
      <c r="L241" s="100"/>
      <c r="M241" s="100"/>
      <c r="N241" s="100"/>
      <c r="O241" s="99"/>
      <c r="P241" s="99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</row>
    <row r="242" spans="1:39" ht="15.5" x14ac:dyDescent="0.35">
      <c r="A242" s="18"/>
      <c r="B242" s="18"/>
      <c r="C242" s="18"/>
      <c r="D242" s="18"/>
      <c r="E242" s="18"/>
      <c r="F242" s="18"/>
      <c r="G242" s="18"/>
      <c r="H242" s="18"/>
      <c r="I242" s="75"/>
      <c r="J242" s="18"/>
      <c r="K242" s="100"/>
      <c r="L242" s="99"/>
      <c r="M242" s="99"/>
      <c r="N242" s="99"/>
      <c r="O242" s="98"/>
      <c r="P242" s="9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</row>
    <row r="243" spans="1:39" x14ac:dyDescent="0.3">
      <c r="A243" s="18"/>
      <c r="B243" s="18"/>
      <c r="C243" s="18"/>
      <c r="D243" s="18"/>
      <c r="E243" s="18"/>
      <c r="F243" s="18"/>
      <c r="G243" s="18"/>
      <c r="H243" s="18"/>
      <c r="I243" s="75"/>
      <c r="J243" s="18"/>
      <c r="K243" s="98"/>
      <c r="L243" s="101"/>
      <c r="M243" s="98"/>
      <c r="N243" s="98"/>
      <c r="O243" s="98"/>
      <c r="P243" s="9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</row>
    <row r="244" spans="1:39" x14ac:dyDescent="0.3">
      <c r="A244" s="18"/>
      <c r="B244" s="18"/>
      <c r="C244" s="18"/>
      <c r="D244" s="18"/>
      <c r="E244" s="18"/>
      <c r="F244" s="18"/>
      <c r="G244" s="18"/>
      <c r="H244" s="18"/>
      <c r="I244" s="75"/>
      <c r="J244" s="18"/>
      <c r="K244" s="98"/>
      <c r="L244" s="101"/>
      <c r="M244" s="98"/>
      <c r="N244" s="98"/>
      <c r="O244" s="98"/>
      <c r="P244" s="9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</row>
    <row r="245" spans="1:39" x14ac:dyDescent="0.3">
      <c r="A245" s="18"/>
      <c r="B245" s="18"/>
      <c r="C245" s="18"/>
      <c r="D245" s="18"/>
      <c r="E245" s="18"/>
      <c r="F245" s="18"/>
      <c r="G245" s="18"/>
      <c r="H245" s="18"/>
      <c r="I245" s="75"/>
      <c r="J245" s="18"/>
      <c r="K245" s="98"/>
      <c r="L245" s="101"/>
      <c r="M245" s="98"/>
      <c r="N245" s="98"/>
      <c r="O245" s="98"/>
      <c r="P245" s="9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</row>
    <row r="246" spans="1:39" x14ac:dyDescent="0.3">
      <c r="A246" s="18"/>
      <c r="B246" s="18"/>
      <c r="C246" s="18"/>
      <c r="D246" s="18"/>
      <c r="E246" s="18"/>
      <c r="F246" s="18"/>
      <c r="G246" s="18"/>
      <c r="H246" s="18"/>
      <c r="I246" s="75"/>
      <c r="J246" s="18"/>
      <c r="K246" s="98"/>
      <c r="L246" s="98"/>
      <c r="M246" s="98"/>
      <c r="N246" s="98"/>
      <c r="O246" s="98"/>
      <c r="P246" s="9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</row>
    <row r="247" spans="1:39" x14ac:dyDescent="0.3">
      <c r="A247" s="18"/>
      <c r="B247" s="18"/>
      <c r="C247" s="18"/>
      <c r="D247" s="18"/>
      <c r="E247" s="18"/>
      <c r="F247" s="18"/>
      <c r="G247" s="18"/>
      <c r="H247" s="18"/>
      <c r="I247" s="75"/>
      <c r="J247" s="18"/>
      <c r="K247" s="98"/>
      <c r="L247" s="98"/>
      <c r="M247" s="98"/>
      <c r="N247" s="98"/>
      <c r="O247" s="98"/>
      <c r="P247" s="9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</row>
    <row r="248" spans="1:39" x14ac:dyDescent="0.3">
      <c r="A248" s="18"/>
      <c r="B248" s="18"/>
      <c r="C248" s="18"/>
      <c r="D248" s="18"/>
      <c r="E248" s="18"/>
      <c r="F248" s="18"/>
      <c r="G248" s="18"/>
      <c r="H248" s="18"/>
      <c r="I248" s="75"/>
      <c r="J248" s="18"/>
      <c r="K248" s="98"/>
      <c r="L248" s="98"/>
      <c r="M248" s="98"/>
      <c r="N248" s="98"/>
      <c r="O248" s="98"/>
      <c r="P248" s="9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</row>
    <row r="249" spans="1:39" x14ac:dyDescent="0.3">
      <c r="A249" s="18"/>
      <c r="B249" s="18"/>
      <c r="C249" s="18"/>
      <c r="D249" s="18"/>
      <c r="E249" s="18"/>
      <c r="F249" s="18"/>
      <c r="G249" s="18"/>
      <c r="H249" s="18"/>
      <c r="I249" s="75"/>
      <c r="J249" s="18"/>
      <c r="K249" s="98"/>
      <c r="L249" s="98"/>
      <c r="M249" s="98"/>
      <c r="N249" s="98"/>
      <c r="O249" s="98"/>
      <c r="P249" s="9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</row>
    <row r="250" spans="1:39" x14ac:dyDescent="0.3">
      <c r="A250" s="18"/>
      <c r="B250" s="18"/>
      <c r="C250" s="18"/>
      <c r="D250" s="18"/>
      <c r="E250" s="18"/>
      <c r="F250" s="18"/>
      <c r="G250" s="18"/>
      <c r="H250" s="18"/>
      <c r="I250" s="75"/>
      <c r="J250" s="18"/>
      <c r="K250" s="98"/>
      <c r="L250" s="98"/>
      <c r="M250" s="98"/>
      <c r="N250" s="98"/>
      <c r="O250" s="98"/>
      <c r="P250" s="9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</row>
    <row r="251" spans="1:39" x14ac:dyDescent="0.3">
      <c r="A251" s="18"/>
      <c r="B251" s="18"/>
      <c r="C251" s="18"/>
      <c r="D251" s="18"/>
      <c r="E251" s="18"/>
      <c r="F251" s="18"/>
      <c r="G251" s="18"/>
      <c r="H251" s="18"/>
      <c r="I251" s="75"/>
      <c r="J251" s="18"/>
      <c r="K251" s="18"/>
      <c r="L251" s="91"/>
      <c r="M251" s="91"/>
      <c r="N251" s="91"/>
      <c r="O251" s="91"/>
      <c r="P251" s="91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</row>
    <row r="252" spans="1:39" x14ac:dyDescent="0.3">
      <c r="A252" s="18"/>
      <c r="B252" s="18"/>
      <c r="C252" s="18"/>
      <c r="D252" s="18"/>
      <c r="E252" s="18"/>
      <c r="F252" s="18"/>
      <c r="G252" s="18"/>
      <c r="H252" s="18"/>
      <c r="I252" s="75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</row>
    <row r="253" spans="1:39" x14ac:dyDescent="0.3">
      <c r="A253" s="18"/>
      <c r="B253" s="18"/>
      <c r="C253" s="18"/>
      <c r="D253" s="18"/>
      <c r="E253" s="18"/>
      <c r="F253" s="18"/>
      <c r="G253" s="18"/>
      <c r="H253" s="18"/>
      <c r="I253" s="75"/>
      <c r="J253" s="18"/>
      <c r="K253" s="96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</row>
    <row r="254" spans="1:39" x14ac:dyDescent="0.3">
      <c r="A254" s="18"/>
      <c r="B254" s="18"/>
      <c r="C254" s="18"/>
      <c r="D254" s="18"/>
      <c r="E254" s="18"/>
      <c r="F254" s="18"/>
      <c r="G254" s="18"/>
      <c r="H254" s="18"/>
      <c r="I254" s="75"/>
      <c r="J254" s="18"/>
      <c r="K254" s="97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</row>
    <row r="255" spans="1:39" ht="15.5" x14ac:dyDescent="0.35">
      <c r="A255" s="18"/>
      <c r="B255" s="18"/>
      <c r="C255" s="18"/>
      <c r="D255" s="18"/>
      <c r="E255" s="18"/>
      <c r="F255" s="18"/>
      <c r="G255" s="18"/>
      <c r="H255" s="18"/>
      <c r="I255" s="75"/>
      <c r="J255" s="18"/>
      <c r="K255" s="99"/>
      <c r="L255" s="100"/>
      <c r="M255" s="100"/>
      <c r="N255" s="100"/>
      <c r="O255" s="99"/>
      <c r="P255" s="99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</row>
    <row r="256" spans="1:39" ht="15.5" x14ac:dyDescent="0.35">
      <c r="A256" s="18"/>
      <c r="B256" s="18"/>
      <c r="C256" s="18"/>
      <c r="D256" s="18"/>
      <c r="E256" s="18"/>
      <c r="F256" s="18"/>
      <c r="G256" s="18"/>
      <c r="H256" s="18"/>
      <c r="I256" s="75"/>
      <c r="J256" s="18"/>
      <c r="K256" s="100"/>
      <c r="L256" s="99"/>
      <c r="M256" s="99"/>
      <c r="N256" s="99"/>
      <c r="O256" s="98"/>
      <c r="P256" s="9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</row>
    <row r="257" spans="1:39" x14ac:dyDescent="0.3">
      <c r="A257" s="18"/>
      <c r="B257" s="18"/>
      <c r="C257" s="18"/>
      <c r="D257" s="18"/>
      <c r="E257" s="18"/>
      <c r="F257" s="18"/>
      <c r="G257" s="18"/>
      <c r="H257" s="18"/>
      <c r="I257" s="75"/>
      <c r="J257" s="18"/>
      <c r="K257" s="98"/>
      <c r="L257" s="98"/>
      <c r="M257" s="98"/>
      <c r="N257" s="98"/>
      <c r="O257" s="98"/>
      <c r="P257" s="9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</row>
    <row r="258" spans="1:39" x14ac:dyDescent="0.3">
      <c r="A258" s="18"/>
      <c r="B258" s="18"/>
      <c r="C258" s="18"/>
      <c r="D258" s="18"/>
      <c r="E258" s="18"/>
      <c r="F258" s="18"/>
      <c r="G258" s="18"/>
      <c r="H258" s="18"/>
      <c r="I258" s="75"/>
      <c r="J258" s="18"/>
      <c r="K258" s="98"/>
      <c r="L258" s="98"/>
      <c r="M258" s="98"/>
      <c r="N258" s="98"/>
      <c r="O258" s="98"/>
      <c r="P258" s="9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</row>
    <row r="259" spans="1:39" x14ac:dyDescent="0.3">
      <c r="A259" s="18"/>
      <c r="B259" s="18"/>
      <c r="C259" s="18"/>
      <c r="D259" s="18"/>
      <c r="E259" s="18"/>
      <c r="F259" s="18"/>
      <c r="G259" s="18"/>
      <c r="H259" s="18"/>
      <c r="I259" s="75"/>
      <c r="J259" s="18"/>
      <c r="K259" s="98"/>
      <c r="L259" s="98"/>
      <c r="M259" s="98"/>
      <c r="N259" s="98"/>
      <c r="O259" s="98"/>
      <c r="P259" s="9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</row>
    <row r="260" spans="1:39" x14ac:dyDescent="0.3">
      <c r="A260" s="18"/>
      <c r="B260" s="18"/>
      <c r="C260" s="18"/>
      <c r="D260" s="18"/>
      <c r="E260" s="18"/>
      <c r="F260" s="18"/>
      <c r="G260" s="18"/>
      <c r="H260" s="18"/>
      <c r="I260" s="75"/>
      <c r="J260" s="18"/>
      <c r="K260" s="98"/>
      <c r="L260" s="98"/>
      <c r="M260" s="98"/>
      <c r="N260" s="98"/>
      <c r="O260" s="98"/>
      <c r="P260" s="9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</row>
    <row r="261" spans="1:39" x14ac:dyDescent="0.3">
      <c r="A261" s="18"/>
      <c r="B261" s="18"/>
      <c r="C261" s="18"/>
      <c r="D261" s="18"/>
      <c r="E261" s="18"/>
      <c r="F261" s="18"/>
      <c r="G261" s="18"/>
      <c r="H261" s="18"/>
      <c r="I261" s="75"/>
      <c r="J261" s="18"/>
      <c r="K261" s="98"/>
      <c r="L261" s="98"/>
      <c r="M261" s="98"/>
      <c r="N261" s="98"/>
      <c r="O261" s="98"/>
      <c r="P261" s="9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</row>
    <row r="262" spans="1:39" x14ac:dyDescent="0.3">
      <c r="A262" s="18"/>
      <c r="B262" s="18"/>
      <c r="C262" s="18"/>
      <c r="D262" s="18"/>
      <c r="E262" s="18"/>
      <c r="F262" s="18"/>
      <c r="G262" s="18"/>
      <c r="H262" s="18"/>
      <c r="I262" s="75"/>
      <c r="J262" s="18"/>
      <c r="K262" s="98"/>
      <c r="L262" s="98"/>
      <c r="M262" s="98"/>
      <c r="N262" s="98"/>
      <c r="O262" s="98"/>
      <c r="P262" s="9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</row>
    <row r="263" spans="1:39" x14ac:dyDescent="0.3">
      <c r="A263" s="18"/>
      <c r="B263" s="18"/>
      <c r="C263" s="18"/>
      <c r="D263" s="18"/>
      <c r="E263" s="18"/>
      <c r="F263" s="18"/>
      <c r="G263" s="18"/>
      <c r="H263" s="18"/>
      <c r="I263" s="75"/>
      <c r="J263" s="18"/>
      <c r="K263" s="98"/>
      <c r="L263" s="98"/>
      <c r="M263" s="98"/>
      <c r="N263" s="98"/>
      <c r="O263" s="98"/>
      <c r="P263" s="9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</row>
    <row r="264" spans="1:39" x14ac:dyDescent="0.3">
      <c r="A264" s="18"/>
      <c r="B264" s="18"/>
      <c r="C264" s="18"/>
      <c r="D264" s="18"/>
      <c r="E264" s="18"/>
      <c r="F264" s="18"/>
      <c r="G264" s="18"/>
      <c r="H264" s="18"/>
      <c r="I264" s="75"/>
      <c r="J264" s="18"/>
      <c r="K264" s="98"/>
      <c r="L264" s="98"/>
      <c r="M264" s="98"/>
      <c r="N264" s="98"/>
      <c r="O264" s="98"/>
      <c r="P264" s="9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</row>
    <row r="265" spans="1:39" x14ac:dyDescent="0.3">
      <c r="A265" s="18"/>
      <c r="B265" s="18"/>
      <c r="C265" s="18"/>
      <c r="D265" s="18"/>
      <c r="E265" s="18"/>
      <c r="F265" s="18"/>
      <c r="G265" s="18"/>
      <c r="H265" s="18"/>
      <c r="I265" s="75"/>
      <c r="J265" s="18"/>
      <c r="K265" s="18"/>
      <c r="L265" s="91"/>
      <c r="M265" s="91"/>
      <c r="N265" s="91"/>
      <c r="O265" s="91"/>
      <c r="P265" s="91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</row>
    <row r="266" spans="1:39" x14ac:dyDescent="0.3">
      <c r="A266" s="18"/>
      <c r="B266" s="18"/>
      <c r="C266" s="18"/>
      <c r="D266" s="18"/>
      <c r="E266" s="18"/>
      <c r="F266" s="18"/>
      <c r="G266" s="18"/>
      <c r="H266" s="18"/>
      <c r="I266" s="75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</row>
    <row r="267" spans="1:39" x14ac:dyDescent="0.3">
      <c r="A267" s="18"/>
      <c r="B267" s="18"/>
      <c r="C267" s="18"/>
      <c r="D267" s="18"/>
      <c r="E267" s="18"/>
      <c r="F267" s="18"/>
      <c r="G267" s="18"/>
      <c r="H267" s="18"/>
      <c r="I267" s="75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</row>
    <row r="268" spans="1:39" x14ac:dyDescent="0.3">
      <c r="A268" s="18"/>
      <c r="B268" s="18"/>
      <c r="C268" s="18"/>
      <c r="D268" s="18"/>
      <c r="E268" s="18"/>
      <c r="F268" s="18"/>
      <c r="G268" s="18"/>
      <c r="H268" s="18"/>
      <c r="I268" s="75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</row>
    <row r="269" spans="1:39" x14ac:dyDescent="0.3">
      <c r="A269" s="18"/>
      <c r="B269" s="18"/>
      <c r="C269" s="18"/>
      <c r="D269" s="18"/>
      <c r="E269" s="18"/>
      <c r="F269" s="18"/>
      <c r="G269" s="18"/>
      <c r="H269" s="18"/>
      <c r="I269" s="75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</row>
    <row r="270" spans="1:39" x14ac:dyDescent="0.3">
      <c r="A270" s="18"/>
      <c r="B270" s="18"/>
      <c r="C270" s="18"/>
      <c r="D270" s="18"/>
      <c r="E270" s="18"/>
      <c r="F270" s="18"/>
      <c r="G270" s="18"/>
      <c r="H270" s="18"/>
      <c r="I270" s="75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</row>
    <row r="271" spans="1:39" x14ac:dyDescent="0.3">
      <c r="A271" s="18"/>
      <c r="B271" s="18"/>
      <c r="C271" s="18"/>
      <c r="D271" s="18"/>
      <c r="E271" s="18"/>
      <c r="F271" s="18"/>
      <c r="G271" s="18"/>
      <c r="H271" s="18"/>
      <c r="I271" s="75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</row>
    <row r="272" spans="1:39" x14ac:dyDescent="0.3">
      <c r="A272" s="18"/>
      <c r="B272" s="18"/>
      <c r="C272" s="18"/>
      <c r="D272" s="18"/>
      <c r="E272" s="18"/>
      <c r="F272" s="18"/>
      <c r="G272" s="18"/>
      <c r="H272" s="18"/>
      <c r="I272" s="75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</row>
    <row r="273" spans="1:28" x14ac:dyDescent="0.3">
      <c r="A273" s="18"/>
      <c r="B273" s="18"/>
      <c r="C273" s="18"/>
      <c r="D273" s="18"/>
      <c r="E273" s="18"/>
      <c r="F273" s="18"/>
      <c r="G273" s="18"/>
      <c r="H273" s="18"/>
      <c r="I273" s="75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</row>
    <row r="274" spans="1:28" x14ac:dyDescent="0.3">
      <c r="A274" s="18"/>
      <c r="B274" s="18"/>
      <c r="C274" s="18"/>
      <c r="D274" s="18"/>
      <c r="E274" s="18"/>
      <c r="F274" s="18"/>
      <c r="G274" s="18"/>
      <c r="H274" s="18"/>
      <c r="I274" s="75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</row>
    <row r="275" spans="1:28" x14ac:dyDescent="0.3">
      <c r="A275" s="18"/>
      <c r="B275" s="18"/>
      <c r="C275" s="18"/>
      <c r="D275" s="18"/>
      <c r="E275" s="18"/>
      <c r="F275" s="18"/>
      <c r="G275" s="18"/>
      <c r="H275" s="18"/>
      <c r="I275" s="75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</row>
    <row r="276" spans="1:28" x14ac:dyDescent="0.3">
      <c r="A276" s="18"/>
      <c r="B276" s="18"/>
      <c r="C276" s="18"/>
      <c r="D276" s="18"/>
      <c r="E276" s="18"/>
      <c r="F276" s="18"/>
      <c r="G276" s="18"/>
      <c r="H276" s="18"/>
      <c r="I276" s="75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</row>
    <row r="277" spans="1:28" x14ac:dyDescent="0.3">
      <c r="A277" s="18"/>
      <c r="B277" s="18"/>
      <c r="C277" s="18"/>
      <c r="D277" s="18"/>
      <c r="E277" s="18"/>
      <c r="F277" s="18"/>
      <c r="G277" s="18"/>
      <c r="H277" s="18"/>
      <c r="I277" s="75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</row>
    <row r="278" spans="1:28" x14ac:dyDescent="0.3">
      <c r="A278" s="18"/>
      <c r="B278" s="18"/>
      <c r="C278" s="18"/>
      <c r="D278" s="18"/>
      <c r="E278" s="18"/>
      <c r="F278" s="18"/>
      <c r="G278" s="18"/>
      <c r="H278" s="18"/>
      <c r="I278" s="75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</row>
    <row r="279" spans="1:28" x14ac:dyDescent="0.3">
      <c r="A279" s="18"/>
      <c r="B279" s="18"/>
      <c r="C279" s="18"/>
      <c r="D279" s="18"/>
      <c r="E279" s="18"/>
      <c r="F279" s="18"/>
      <c r="G279" s="18"/>
      <c r="H279" s="18"/>
      <c r="I279" s="75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</row>
    <row r="280" spans="1:28" x14ac:dyDescent="0.3">
      <c r="A280" s="18"/>
      <c r="B280" s="18"/>
      <c r="C280" s="18"/>
      <c r="D280" s="18"/>
      <c r="E280" s="18"/>
      <c r="F280" s="18"/>
      <c r="G280" s="18"/>
      <c r="H280" s="18"/>
      <c r="I280" s="75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</row>
    <row r="281" spans="1:28" x14ac:dyDescent="0.3">
      <c r="A281" s="18"/>
      <c r="B281" s="18"/>
      <c r="C281" s="18"/>
      <c r="D281" s="18"/>
      <c r="E281" s="18"/>
      <c r="F281" s="18"/>
      <c r="G281" s="18"/>
      <c r="H281" s="18"/>
      <c r="I281" s="75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</row>
    <row r="282" spans="1:28" x14ac:dyDescent="0.3">
      <c r="A282" s="18"/>
      <c r="B282" s="18"/>
      <c r="C282" s="18"/>
      <c r="D282" s="18"/>
      <c r="E282" s="18"/>
      <c r="F282" s="18"/>
      <c r="G282" s="18"/>
      <c r="H282" s="18"/>
      <c r="I282" s="75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</row>
    <row r="283" spans="1:28" x14ac:dyDescent="0.3">
      <c r="A283" s="18"/>
      <c r="B283" s="18"/>
      <c r="C283" s="18"/>
      <c r="D283" s="18"/>
      <c r="E283" s="18"/>
      <c r="F283" s="18"/>
      <c r="G283" s="18"/>
      <c r="H283" s="18"/>
      <c r="I283" s="75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</row>
    <row r="284" spans="1:28" x14ac:dyDescent="0.3">
      <c r="A284" s="18"/>
      <c r="B284" s="18"/>
      <c r="C284" s="18"/>
      <c r="D284" s="18"/>
      <c r="E284" s="18"/>
      <c r="F284" s="18"/>
      <c r="G284" s="18"/>
      <c r="H284" s="18"/>
      <c r="I284" s="75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</row>
    <row r="285" spans="1:28" x14ac:dyDescent="0.3">
      <c r="A285" s="18"/>
      <c r="B285" s="18"/>
      <c r="C285" s="18"/>
      <c r="D285" s="18"/>
      <c r="E285" s="18"/>
      <c r="F285" s="18"/>
      <c r="G285" s="18"/>
      <c r="H285" s="18"/>
      <c r="I285" s="75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</row>
    <row r="286" spans="1:28" x14ac:dyDescent="0.3">
      <c r="A286" s="18"/>
      <c r="B286" s="18"/>
      <c r="C286" s="18"/>
      <c r="D286" s="18"/>
      <c r="E286" s="18"/>
      <c r="F286" s="18"/>
      <c r="G286" s="18"/>
      <c r="H286" s="18"/>
      <c r="I286" s="75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</row>
    <row r="287" spans="1:28" x14ac:dyDescent="0.3">
      <c r="A287" s="18"/>
      <c r="B287" s="18"/>
      <c r="C287" s="18"/>
      <c r="D287" s="18"/>
      <c r="E287" s="18"/>
      <c r="F287" s="18"/>
      <c r="G287" s="18"/>
      <c r="H287" s="18"/>
      <c r="I287" s="75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</row>
    <row r="288" spans="1:28" x14ac:dyDescent="0.3">
      <c r="A288" s="18"/>
      <c r="B288" s="18"/>
      <c r="C288" s="18"/>
      <c r="D288" s="18"/>
      <c r="E288" s="18"/>
      <c r="F288" s="18"/>
      <c r="G288" s="18"/>
      <c r="H288" s="18"/>
      <c r="I288" s="75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</row>
    <row r="289" spans="1:28" x14ac:dyDescent="0.3">
      <c r="A289" s="18"/>
      <c r="B289" s="18"/>
      <c r="C289" s="18"/>
      <c r="D289" s="18"/>
      <c r="E289" s="18"/>
      <c r="F289" s="18"/>
      <c r="G289" s="18"/>
      <c r="H289" s="18"/>
      <c r="I289" s="75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</row>
    <row r="290" spans="1:28" x14ac:dyDescent="0.3">
      <c r="A290" s="18"/>
      <c r="B290" s="18"/>
      <c r="C290" s="18"/>
      <c r="D290" s="18"/>
      <c r="E290" s="18"/>
      <c r="F290" s="18"/>
      <c r="G290" s="18"/>
      <c r="H290" s="18"/>
      <c r="I290" s="75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</row>
    <row r="291" spans="1:28" x14ac:dyDescent="0.3">
      <c r="A291" s="18"/>
      <c r="B291" s="18"/>
      <c r="C291" s="18"/>
      <c r="D291" s="18"/>
      <c r="E291" s="18"/>
      <c r="F291" s="18"/>
      <c r="G291" s="18"/>
      <c r="H291" s="18"/>
      <c r="I291" s="75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</row>
    <row r="292" spans="1:28" x14ac:dyDescent="0.3">
      <c r="A292" s="18"/>
      <c r="B292" s="18"/>
      <c r="C292" s="18"/>
      <c r="D292" s="18"/>
      <c r="E292" s="18"/>
      <c r="F292" s="18"/>
      <c r="G292" s="18"/>
      <c r="H292" s="18"/>
      <c r="I292" s="75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</row>
    <row r="293" spans="1:28" x14ac:dyDescent="0.3">
      <c r="A293" s="18"/>
      <c r="B293" s="18"/>
      <c r="C293" s="18"/>
      <c r="D293" s="18"/>
      <c r="E293" s="18"/>
      <c r="F293" s="18"/>
      <c r="G293" s="18"/>
      <c r="H293" s="18"/>
      <c r="I293" s="75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</row>
    <row r="294" spans="1:28" x14ac:dyDescent="0.3">
      <c r="A294" s="18"/>
      <c r="B294" s="18"/>
      <c r="C294" s="18"/>
      <c r="D294" s="18"/>
      <c r="E294" s="18"/>
      <c r="F294" s="18"/>
      <c r="G294" s="18"/>
      <c r="H294" s="18"/>
      <c r="I294" s="75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</row>
    <row r="295" spans="1:28" x14ac:dyDescent="0.3">
      <c r="A295" s="18"/>
      <c r="B295" s="18"/>
      <c r="C295" s="18"/>
      <c r="D295" s="18"/>
      <c r="E295" s="18"/>
      <c r="F295" s="18"/>
      <c r="G295" s="18"/>
      <c r="H295" s="18"/>
      <c r="I295" s="75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</row>
    <row r="296" spans="1:28" x14ac:dyDescent="0.3">
      <c r="A296" s="18"/>
      <c r="B296" s="18"/>
      <c r="C296" s="18"/>
      <c r="D296" s="18"/>
      <c r="E296" s="18"/>
      <c r="F296" s="18"/>
      <c r="G296" s="18"/>
      <c r="H296" s="18"/>
      <c r="I296" s="75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</row>
    <row r="297" spans="1:28" x14ac:dyDescent="0.3">
      <c r="A297" s="18"/>
      <c r="B297" s="18"/>
      <c r="C297" s="18"/>
      <c r="D297" s="18"/>
      <c r="E297" s="18"/>
      <c r="F297" s="18"/>
      <c r="G297" s="18"/>
      <c r="H297" s="18"/>
      <c r="I297" s="75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</row>
    <row r="298" spans="1:28" x14ac:dyDescent="0.3">
      <c r="A298" s="18"/>
      <c r="B298" s="18"/>
      <c r="C298" s="18"/>
      <c r="D298" s="18"/>
      <c r="E298" s="18"/>
      <c r="F298" s="18"/>
      <c r="G298" s="18"/>
      <c r="H298" s="18"/>
      <c r="I298" s="75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</row>
    <row r="299" spans="1:28" x14ac:dyDescent="0.3">
      <c r="A299" s="18"/>
      <c r="B299" s="18"/>
      <c r="C299" s="18"/>
      <c r="D299" s="18"/>
      <c r="E299" s="18"/>
      <c r="F299" s="18"/>
      <c r="G299" s="18"/>
      <c r="H299" s="18"/>
      <c r="I299" s="75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</row>
    <row r="300" spans="1:28" x14ac:dyDescent="0.3">
      <c r="A300" s="18"/>
      <c r="B300" s="18"/>
      <c r="C300" s="18"/>
      <c r="D300" s="18"/>
      <c r="E300" s="18"/>
      <c r="F300" s="18"/>
      <c r="G300" s="18"/>
      <c r="H300" s="18"/>
      <c r="I300" s="75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</row>
    <row r="301" spans="1:28" x14ac:dyDescent="0.3">
      <c r="A301" s="18"/>
      <c r="B301" s="18"/>
      <c r="C301" s="18"/>
      <c r="D301" s="18"/>
      <c r="E301" s="18"/>
      <c r="F301" s="18"/>
      <c r="G301" s="18"/>
      <c r="H301" s="18"/>
      <c r="I301" s="75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</row>
    <row r="302" spans="1:28" x14ac:dyDescent="0.3">
      <c r="A302" s="18"/>
      <c r="B302" s="18"/>
      <c r="C302" s="18"/>
      <c r="D302" s="18"/>
      <c r="E302" s="18"/>
      <c r="F302" s="18"/>
      <c r="G302" s="18"/>
      <c r="H302" s="18"/>
      <c r="I302" s="75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</row>
    <row r="303" spans="1:28" x14ac:dyDescent="0.3">
      <c r="A303" s="18"/>
      <c r="B303" s="18"/>
      <c r="C303" s="18"/>
      <c r="D303" s="18"/>
      <c r="E303" s="18"/>
      <c r="F303" s="18"/>
      <c r="G303" s="18"/>
      <c r="H303" s="18"/>
      <c r="I303" s="75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</row>
    <row r="304" spans="1:28" x14ac:dyDescent="0.3">
      <c r="A304" s="18"/>
      <c r="B304" s="18"/>
      <c r="C304" s="18"/>
      <c r="D304" s="18"/>
      <c r="E304" s="18"/>
      <c r="F304" s="18"/>
      <c r="G304" s="18"/>
      <c r="H304" s="18"/>
      <c r="I304" s="75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</row>
    <row r="305" spans="1:28" x14ac:dyDescent="0.3">
      <c r="A305" s="18"/>
      <c r="B305" s="18"/>
      <c r="C305" s="18"/>
      <c r="D305" s="18"/>
      <c r="E305" s="18"/>
      <c r="F305" s="18"/>
      <c r="G305" s="18"/>
      <c r="H305" s="18"/>
      <c r="I305" s="75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</row>
    <row r="306" spans="1:28" x14ac:dyDescent="0.3">
      <c r="A306" s="18"/>
      <c r="B306" s="18"/>
      <c r="C306" s="18"/>
      <c r="D306" s="18"/>
      <c r="E306" s="18"/>
      <c r="F306" s="18"/>
      <c r="G306" s="18"/>
      <c r="H306" s="18"/>
      <c r="I306" s="75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</row>
    <row r="307" spans="1:28" x14ac:dyDescent="0.3">
      <c r="A307" s="18"/>
      <c r="B307" s="18"/>
      <c r="C307" s="18"/>
      <c r="D307" s="18"/>
      <c r="E307" s="18"/>
      <c r="F307" s="18"/>
      <c r="G307" s="18"/>
      <c r="H307" s="18"/>
      <c r="I307" s="75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</row>
  </sheetData>
  <mergeCells count="50">
    <mergeCell ref="BB2:BD2"/>
    <mergeCell ref="A23:C23"/>
    <mergeCell ref="D23:F23"/>
    <mergeCell ref="K23:M23"/>
    <mergeCell ref="N23:P23"/>
    <mergeCell ref="U23:W23"/>
    <mergeCell ref="X23:Z23"/>
    <mergeCell ref="AE23:AG23"/>
    <mergeCell ref="AH23:AJ23"/>
    <mergeCell ref="AO23:AQ23"/>
    <mergeCell ref="AR23:AT23"/>
    <mergeCell ref="AY23:BA23"/>
    <mergeCell ref="BB23:BD23"/>
    <mergeCell ref="AE2:AG2"/>
    <mergeCell ref="AH2:AJ2"/>
    <mergeCell ref="AO2:AQ2"/>
    <mergeCell ref="AR2:AT2"/>
    <mergeCell ref="AY2:BA2"/>
    <mergeCell ref="D2:F2"/>
    <mergeCell ref="K2:M2"/>
    <mergeCell ref="N2:P2"/>
    <mergeCell ref="U2:W2"/>
    <mergeCell ref="X2:Z2"/>
    <mergeCell ref="A1:I1"/>
    <mergeCell ref="K1:S1"/>
    <mergeCell ref="U1:AC1"/>
    <mergeCell ref="AE1:AM1"/>
    <mergeCell ref="AO1:AW1"/>
    <mergeCell ref="AY1:BG1"/>
    <mergeCell ref="A2:C2"/>
    <mergeCell ref="K90:P90"/>
    <mergeCell ref="A88:F88"/>
    <mergeCell ref="K88:P88"/>
    <mergeCell ref="A44:C44"/>
    <mergeCell ref="D44:F44"/>
    <mergeCell ref="K44:M44"/>
    <mergeCell ref="N44:P44"/>
    <mergeCell ref="A65:B65"/>
    <mergeCell ref="C65:F65"/>
    <mergeCell ref="K65:L65"/>
    <mergeCell ref="M65:P65"/>
    <mergeCell ref="A64:P64"/>
    <mergeCell ref="U44:W44"/>
    <mergeCell ref="X44:Z44"/>
    <mergeCell ref="BB44:BD44"/>
    <mergeCell ref="AE44:AG44"/>
    <mergeCell ref="AH44:AJ44"/>
    <mergeCell ref="AO44:AQ44"/>
    <mergeCell ref="AR44:AT44"/>
    <mergeCell ref="AY44:BA44"/>
  </mergeCells>
  <printOptions horizontalCentered="1" verticalCentered="1"/>
  <pageMargins left="3.937007874015748E-2" right="3.937007874015748E-2" top="3.937007874015748E-2" bottom="3.937007874015748E-2" header="0.23622047244094491" footer="0.51181102362204722"/>
  <pageSetup paperSize="9" scale="54" orientation="landscape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>
    <pageSetUpPr fitToPage="1"/>
  </sheetPr>
  <dimension ref="A1:BH307"/>
  <sheetViews>
    <sheetView showGridLines="0" showZeros="0" topLeftCell="AS1" zoomScaleNormal="100" workbookViewId="0">
      <selection activeCell="S31" sqref="S1:S1048576"/>
    </sheetView>
  </sheetViews>
  <sheetFormatPr defaultColWidth="8.7265625" defaultRowHeight="13" x14ac:dyDescent="0.3"/>
  <cols>
    <col min="1" max="1" width="14.26953125" style="6" customWidth="1"/>
    <col min="2" max="2" width="8.1796875" style="6" customWidth="1"/>
    <col min="3" max="3" width="6.7265625" style="6" customWidth="1"/>
    <col min="4" max="4" width="8.7265625" style="6" customWidth="1"/>
    <col min="5" max="6" width="8.1796875" style="6" customWidth="1"/>
    <col min="7" max="7" width="7.54296875" style="6" customWidth="1"/>
    <col min="8" max="8" width="7.36328125" style="6" customWidth="1"/>
    <col min="9" max="9" width="10.36328125" style="102" bestFit="1" customWidth="1"/>
    <col min="10" max="10" width="4.54296875" style="6" customWidth="1"/>
    <col min="11" max="11" width="14.26953125" style="6" customWidth="1"/>
    <col min="12" max="12" width="8.1796875" style="6" customWidth="1"/>
    <col min="13" max="13" width="6.7265625" style="6" customWidth="1"/>
    <col min="14" max="14" width="8.7265625" style="6" customWidth="1"/>
    <col min="15" max="15" width="6.7265625" style="6" customWidth="1"/>
    <col min="16" max="16" width="8.1796875" style="6" customWidth="1"/>
    <col min="17" max="17" width="7.54296875" style="6" customWidth="1"/>
    <col min="18" max="18" width="7.36328125" style="6" customWidth="1"/>
    <col min="19" max="19" width="11.1796875" style="6" bestFit="1" customWidth="1"/>
    <col min="20" max="20" width="5" style="6" customWidth="1"/>
    <col min="21" max="21" width="14.26953125" style="6" customWidth="1"/>
    <col min="22" max="22" width="8.1796875" style="6" customWidth="1"/>
    <col min="23" max="23" width="6.7265625" style="6" customWidth="1"/>
    <col min="24" max="24" width="8.7265625" style="6" customWidth="1"/>
    <col min="25" max="26" width="8.1796875" style="6" customWidth="1"/>
    <col min="27" max="27" width="7.54296875" style="6" customWidth="1"/>
    <col min="28" max="28" width="7.36328125" style="6" customWidth="1"/>
    <col min="29" max="29" width="9.7265625" style="6" bestFit="1" customWidth="1"/>
    <col min="30" max="30" width="11.54296875" style="6" customWidth="1"/>
    <col min="31" max="31" width="14.26953125" style="6" customWidth="1"/>
    <col min="32" max="32" width="8.1796875" style="6" customWidth="1"/>
    <col min="33" max="33" width="6.7265625" style="6" customWidth="1"/>
    <col min="34" max="34" width="8.7265625" style="6" customWidth="1"/>
    <col min="35" max="35" width="6.7265625" style="6" customWidth="1"/>
    <col min="36" max="36" width="8.1796875" style="6" customWidth="1"/>
    <col min="37" max="37" width="7.54296875" style="6" customWidth="1"/>
    <col min="38" max="38" width="7.36328125" style="6" customWidth="1"/>
    <col min="39" max="39" width="10.36328125" style="6" bestFit="1" customWidth="1"/>
    <col min="40" max="40" width="11.26953125" style="6" customWidth="1"/>
    <col min="41" max="41" width="14.26953125" style="6" customWidth="1"/>
    <col min="42" max="42" width="8.1796875" style="6" customWidth="1"/>
    <col min="43" max="43" width="6.7265625" style="6" customWidth="1"/>
    <col min="44" max="44" width="8.7265625" style="6" customWidth="1"/>
    <col min="45" max="46" width="8.1796875" style="6" customWidth="1"/>
    <col min="47" max="47" width="7.54296875" style="6" customWidth="1"/>
    <col min="48" max="48" width="7.36328125" style="6" customWidth="1"/>
    <col min="49" max="49" width="11.1796875" style="6" bestFit="1" customWidth="1"/>
    <col min="50" max="50" width="8.7265625" style="6"/>
    <col min="51" max="51" width="14.26953125" style="6" customWidth="1"/>
    <col min="52" max="52" width="8.1796875" style="6" customWidth="1"/>
    <col min="53" max="53" width="6.7265625" style="6" customWidth="1"/>
    <col min="54" max="54" width="8.7265625" style="6" customWidth="1"/>
    <col min="55" max="55" width="6.7265625" style="6" customWidth="1"/>
    <col min="56" max="56" width="8.1796875" style="6" customWidth="1"/>
    <col min="57" max="57" width="7.54296875" style="6" customWidth="1"/>
    <col min="58" max="58" width="7.36328125" style="6" customWidth="1"/>
    <col min="59" max="59" width="11.81640625" style="6" bestFit="1" customWidth="1"/>
    <col min="60" max="60" width="11.54296875" style="6" customWidth="1"/>
    <col min="61" max="16384" width="8.7265625" style="6"/>
  </cols>
  <sheetData>
    <row r="1" spans="1:59" ht="22.5" x14ac:dyDescent="0.45">
      <c r="A1" s="596" t="s">
        <v>76</v>
      </c>
      <c r="B1" s="596"/>
      <c r="C1" s="596"/>
      <c r="D1" s="596"/>
      <c r="E1" s="596"/>
      <c r="F1" s="596"/>
      <c r="G1" s="596"/>
      <c r="H1" s="596"/>
      <c r="I1" s="596"/>
      <c r="J1" s="4"/>
      <c r="K1" s="596" t="s">
        <v>76</v>
      </c>
      <c r="L1" s="596"/>
      <c r="M1" s="596"/>
      <c r="N1" s="596"/>
      <c r="O1" s="596"/>
      <c r="P1" s="596"/>
      <c r="Q1" s="596"/>
      <c r="R1" s="596"/>
      <c r="S1" s="596"/>
      <c r="T1" s="5"/>
      <c r="U1" s="596" t="s">
        <v>76</v>
      </c>
      <c r="V1" s="596"/>
      <c r="W1" s="596"/>
      <c r="X1" s="596"/>
      <c r="Y1" s="596"/>
      <c r="Z1" s="596"/>
      <c r="AA1" s="596"/>
      <c r="AB1" s="596"/>
      <c r="AC1" s="596"/>
      <c r="AD1" s="5"/>
      <c r="AE1" s="596" t="s">
        <v>76</v>
      </c>
      <c r="AF1" s="596"/>
      <c r="AG1" s="596"/>
      <c r="AH1" s="596"/>
      <c r="AI1" s="596"/>
      <c r="AJ1" s="596"/>
      <c r="AK1" s="596"/>
      <c r="AL1" s="596"/>
      <c r="AM1" s="596"/>
      <c r="AN1" s="5"/>
      <c r="AO1" s="596" t="s">
        <v>76</v>
      </c>
      <c r="AP1" s="593"/>
      <c r="AQ1" s="593"/>
      <c r="AR1" s="593"/>
      <c r="AS1" s="593"/>
      <c r="AT1" s="593"/>
      <c r="AU1" s="593"/>
      <c r="AV1" s="593"/>
      <c r="AW1" s="596"/>
      <c r="AX1" s="5"/>
      <c r="AY1" s="596" t="s">
        <v>76</v>
      </c>
      <c r="AZ1" s="596"/>
      <c r="BA1" s="596"/>
      <c r="BB1" s="596"/>
      <c r="BC1" s="596"/>
      <c r="BD1" s="596"/>
      <c r="BE1" s="596"/>
      <c r="BF1" s="596"/>
      <c r="BG1" s="596"/>
    </row>
    <row r="2" spans="1:59" ht="28.5" x14ac:dyDescent="0.6">
      <c r="A2" s="586" t="s">
        <v>29</v>
      </c>
      <c r="B2" s="586"/>
      <c r="C2" s="586"/>
      <c r="D2" s="585" t="s">
        <v>30</v>
      </c>
      <c r="E2" s="585"/>
      <c r="F2" s="585"/>
      <c r="G2" s="110"/>
      <c r="H2" s="110"/>
      <c r="I2" s="110"/>
      <c r="J2" s="109"/>
      <c r="K2" s="586" t="s">
        <v>29</v>
      </c>
      <c r="L2" s="586"/>
      <c r="M2" s="586"/>
      <c r="N2" s="585" t="s">
        <v>31</v>
      </c>
      <c r="O2" s="585"/>
      <c r="P2" s="585"/>
      <c r="Q2" s="110"/>
      <c r="R2" s="110"/>
      <c r="S2" s="110"/>
      <c r="T2" s="111"/>
      <c r="U2" s="586" t="s">
        <v>32</v>
      </c>
      <c r="V2" s="586"/>
      <c r="W2" s="586"/>
      <c r="X2" s="585" t="s">
        <v>30</v>
      </c>
      <c r="Y2" s="585"/>
      <c r="Z2" s="585"/>
      <c r="AA2" s="110"/>
      <c r="AB2" s="110"/>
      <c r="AC2" s="110"/>
      <c r="AD2" s="111"/>
      <c r="AE2" s="586" t="s">
        <v>32</v>
      </c>
      <c r="AF2" s="586"/>
      <c r="AG2" s="586"/>
      <c r="AH2" s="585" t="s">
        <v>31</v>
      </c>
      <c r="AI2" s="585"/>
      <c r="AJ2" s="585"/>
      <c r="AK2" s="110"/>
      <c r="AL2" s="110"/>
      <c r="AM2" s="110"/>
      <c r="AN2" s="111"/>
      <c r="AO2" s="586" t="s">
        <v>33</v>
      </c>
      <c r="AP2" s="586"/>
      <c r="AQ2" s="586"/>
      <c r="AR2" s="585" t="s">
        <v>30</v>
      </c>
      <c r="AS2" s="585"/>
      <c r="AT2" s="585"/>
      <c r="AU2" s="110"/>
      <c r="AV2" s="110"/>
      <c r="AW2" s="110"/>
      <c r="AX2" s="111"/>
      <c r="AY2" s="586" t="s">
        <v>33</v>
      </c>
      <c r="AZ2" s="586"/>
      <c r="BA2" s="586"/>
      <c r="BB2" s="585" t="s">
        <v>31</v>
      </c>
      <c r="BC2" s="585"/>
      <c r="BD2" s="585"/>
      <c r="BE2" s="110"/>
      <c r="BF2" s="110"/>
      <c r="BG2" s="111"/>
    </row>
    <row r="3" spans="1:59" ht="9" customHeight="1" thickBot="1" x14ac:dyDescent="0.3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4"/>
      <c r="U3" s="103"/>
      <c r="V3" s="103"/>
      <c r="W3" s="103"/>
      <c r="X3" s="103"/>
      <c r="Y3" s="103"/>
      <c r="Z3" s="103"/>
      <c r="AA3" s="103"/>
      <c r="AB3" s="103"/>
      <c r="AC3" s="103"/>
      <c r="AD3" s="104"/>
      <c r="AE3" s="103"/>
      <c r="AF3" s="103"/>
      <c r="AG3" s="103"/>
      <c r="AH3" s="103"/>
      <c r="AI3" s="103"/>
      <c r="AJ3" s="103"/>
      <c r="AK3" s="103"/>
      <c r="AL3" s="103"/>
      <c r="AM3" s="103"/>
      <c r="AN3" s="104"/>
      <c r="AO3" s="103"/>
      <c r="AP3" s="103"/>
      <c r="AQ3" s="103"/>
      <c r="AR3" s="103"/>
      <c r="AS3" s="103"/>
      <c r="AT3" s="103"/>
      <c r="AU3" s="103"/>
      <c r="AV3" s="103"/>
      <c r="AW3" s="103"/>
      <c r="AX3" s="104"/>
      <c r="AY3" s="103"/>
      <c r="AZ3" s="103"/>
      <c r="BA3" s="103"/>
      <c r="BB3" s="103"/>
      <c r="BC3" s="103"/>
      <c r="BD3" s="103"/>
      <c r="BE3" s="103"/>
      <c r="BF3" s="103"/>
      <c r="BG3" s="104"/>
    </row>
    <row r="4" spans="1:59" ht="25" thickBot="1" x14ac:dyDescent="0.3">
      <c r="A4" s="119"/>
      <c r="B4" s="120" t="s">
        <v>34</v>
      </c>
      <c r="C4" s="121" t="s">
        <v>35</v>
      </c>
      <c r="D4" s="121" t="s">
        <v>36</v>
      </c>
      <c r="E4" s="121" t="s">
        <v>37</v>
      </c>
      <c r="F4" s="121" t="s">
        <v>38</v>
      </c>
      <c r="G4" s="121" t="s">
        <v>39</v>
      </c>
      <c r="H4" s="122" t="s">
        <v>40</v>
      </c>
      <c r="I4" s="123" t="s">
        <v>41</v>
      </c>
      <c r="J4" s="103"/>
      <c r="K4" s="119"/>
      <c r="L4" s="120" t="s">
        <v>34</v>
      </c>
      <c r="M4" s="121" t="s">
        <v>35</v>
      </c>
      <c r="N4" s="121" t="s">
        <v>36</v>
      </c>
      <c r="O4" s="121" t="s">
        <v>37</v>
      </c>
      <c r="P4" s="121" t="s">
        <v>38</v>
      </c>
      <c r="Q4" s="124" t="s">
        <v>39</v>
      </c>
      <c r="R4" s="125" t="s">
        <v>40</v>
      </c>
      <c r="S4" s="123" t="s">
        <v>41</v>
      </c>
      <c r="T4" s="104"/>
      <c r="U4" s="119"/>
      <c r="V4" s="120" t="s">
        <v>34</v>
      </c>
      <c r="W4" s="121" t="s">
        <v>35</v>
      </c>
      <c r="X4" s="121" t="s">
        <v>36</v>
      </c>
      <c r="Y4" s="121" t="s">
        <v>37</v>
      </c>
      <c r="Z4" s="121" t="s">
        <v>38</v>
      </c>
      <c r="AA4" s="124" t="s">
        <v>39</v>
      </c>
      <c r="AB4" s="121" t="s">
        <v>40</v>
      </c>
      <c r="AC4" s="123" t="s">
        <v>41</v>
      </c>
      <c r="AD4" s="104"/>
      <c r="AE4" s="126"/>
      <c r="AF4" s="120" t="s">
        <v>34</v>
      </c>
      <c r="AG4" s="121" t="s">
        <v>35</v>
      </c>
      <c r="AH4" s="121" t="s">
        <v>36</v>
      </c>
      <c r="AI4" s="121" t="s">
        <v>37</v>
      </c>
      <c r="AJ4" s="125" t="s">
        <v>38</v>
      </c>
      <c r="AK4" s="121" t="s">
        <v>39</v>
      </c>
      <c r="AL4" s="121" t="s">
        <v>40</v>
      </c>
      <c r="AM4" s="123" t="s">
        <v>41</v>
      </c>
      <c r="AN4" s="104"/>
      <c r="AO4" s="126"/>
      <c r="AP4" s="120" t="s">
        <v>34</v>
      </c>
      <c r="AQ4" s="121" t="s">
        <v>35</v>
      </c>
      <c r="AR4" s="121" t="s">
        <v>36</v>
      </c>
      <c r="AS4" s="121" t="s">
        <v>37</v>
      </c>
      <c r="AT4" s="125" t="s">
        <v>38</v>
      </c>
      <c r="AU4" s="121" t="s">
        <v>39</v>
      </c>
      <c r="AV4" s="121" t="s">
        <v>40</v>
      </c>
      <c r="AW4" s="123" t="s">
        <v>41</v>
      </c>
      <c r="AX4" s="104"/>
      <c r="AY4" s="126"/>
      <c r="AZ4" s="120" t="s">
        <v>34</v>
      </c>
      <c r="BA4" s="121" t="s">
        <v>35</v>
      </c>
      <c r="BB4" s="121" t="s">
        <v>36</v>
      </c>
      <c r="BC4" s="121" t="s">
        <v>37</v>
      </c>
      <c r="BD4" s="125" t="s">
        <v>38</v>
      </c>
      <c r="BE4" s="121" t="s">
        <v>39</v>
      </c>
      <c r="BF4" s="121" t="s">
        <v>40</v>
      </c>
      <c r="BG4" s="123" t="s">
        <v>41</v>
      </c>
    </row>
    <row r="5" spans="1:59" ht="21.5" thickBot="1" x14ac:dyDescent="0.3">
      <c r="A5" s="132" t="str">
        <f t="array" ref="A5:A18">BSP!A5:A18</f>
        <v>Act 20-21</v>
      </c>
      <c r="B5" s="133"/>
      <c r="C5" s="133"/>
      <c r="D5" s="133"/>
      <c r="E5" s="133"/>
      <c r="F5" s="133"/>
      <c r="G5" s="134" t="str">
        <f t="shared" ref="G5:G19" si="0">IF(C5&gt;0,+D5+C5,"")</f>
        <v/>
      </c>
      <c r="H5" s="134" t="str">
        <f t="shared" ref="H5:H19" si="1">IF(C5&gt;0,+D5/C5,"")</f>
        <v/>
      </c>
      <c r="I5" s="135"/>
      <c r="J5" s="119"/>
      <c r="K5" s="136" t="str">
        <f>A5</f>
        <v>Act 20-21</v>
      </c>
      <c r="L5" s="133">
        <v>60.82</v>
      </c>
      <c r="M5" s="133">
        <v>5.35</v>
      </c>
      <c r="N5" s="133">
        <v>3.11</v>
      </c>
      <c r="O5" s="133">
        <v>9.14</v>
      </c>
      <c r="P5" s="133">
        <v>41.77</v>
      </c>
      <c r="Q5" s="134">
        <f>IF(M5&gt;0,+N5+M5,"")</f>
        <v>8.4599999999999991</v>
      </c>
      <c r="R5" s="134">
        <f>IF(M5&gt;0,+N5/M5,"")</f>
        <v>0.58130841121495325</v>
      </c>
      <c r="S5" s="137"/>
      <c r="T5" s="138"/>
      <c r="U5" s="136" t="str">
        <f>A5</f>
        <v>Act 20-21</v>
      </c>
      <c r="V5" s="133">
        <v>63.09</v>
      </c>
      <c r="W5" s="133">
        <v>3.46</v>
      </c>
      <c r="X5" s="133">
        <v>1.86</v>
      </c>
      <c r="Y5" s="133">
        <v>21.63</v>
      </c>
      <c r="Z5" s="133">
        <v>4.3600000000000003</v>
      </c>
      <c r="AA5" s="134">
        <f t="shared" ref="AA5:AA19" si="2">IF(W5&gt;0,+X5+W5,"")</f>
        <v>5.32</v>
      </c>
      <c r="AB5" s="134">
        <f t="shared" ref="AB5:AB19" si="3">IF(W5&gt;0,+X5/W5,"")</f>
        <v>0.53757225433526012</v>
      </c>
      <c r="AC5" s="135"/>
      <c r="AD5" s="104"/>
      <c r="AE5" s="136" t="str">
        <f t="shared" ref="AE5:AE19" si="4">K5</f>
        <v>Act 20-21</v>
      </c>
      <c r="AF5" s="139">
        <v>61.73</v>
      </c>
      <c r="AG5" s="134">
        <v>4.21</v>
      </c>
      <c r="AH5" s="134">
        <v>3.07</v>
      </c>
      <c r="AI5" s="134">
        <v>8.84</v>
      </c>
      <c r="AJ5" s="134">
        <v>41.01</v>
      </c>
      <c r="AK5" s="134">
        <f t="shared" ref="AK5:AK19" si="5">IF(AG5&gt;0,+AH5+AG5,"")</f>
        <v>7.2799999999999994</v>
      </c>
      <c r="AL5" s="134">
        <f t="shared" ref="AL5:AL19" si="6">IF(AG5&gt;0,+AH5/AG5,"")</f>
        <v>0.72921615201900236</v>
      </c>
      <c r="AM5" s="140"/>
      <c r="AN5" s="104"/>
      <c r="AO5" s="136" t="str">
        <f t="shared" ref="AO5:AO18" si="7">A5</f>
        <v>Act 20-21</v>
      </c>
      <c r="AP5" s="133"/>
      <c r="AQ5" s="133"/>
      <c r="AR5" s="133"/>
      <c r="AS5" s="133"/>
      <c r="AT5" s="133"/>
      <c r="AU5" s="134" t="str">
        <f t="shared" ref="AU5:AU19" si="8">IF(AQ5&gt;0,+AR5+AQ5,"")</f>
        <v/>
      </c>
      <c r="AV5" s="134" t="str">
        <f t="shared" ref="AV5:AV19" si="9">IF(AQ5&gt;0,+AR5/AQ5,"")</f>
        <v/>
      </c>
      <c r="AW5" s="140"/>
      <c r="AX5" s="104"/>
      <c r="AY5" s="136" t="str">
        <f t="shared" ref="AY5:AY19" si="10">K26</f>
        <v>Act 20-21</v>
      </c>
      <c r="AZ5" s="133">
        <v>61.35</v>
      </c>
      <c r="BA5" s="133">
        <v>4.59</v>
      </c>
      <c r="BB5" s="133">
        <v>3.27</v>
      </c>
      <c r="BC5" s="133">
        <v>9.36</v>
      </c>
      <c r="BD5" s="133">
        <v>38.65</v>
      </c>
      <c r="BE5" s="134">
        <f t="shared" ref="BE5:BE19" si="11">IF(BA5&gt;0,+BB5+BA5,"")</f>
        <v>7.8599999999999994</v>
      </c>
      <c r="BF5" s="134">
        <f t="shared" ref="BF5:BF19" si="12">IF(BA5&gt;0,+BB5/BA5,"")</f>
        <v>0.71241830065359479</v>
      </c>
      <c r="BG5" s="140"/>
    </row>
    <row r="6" spans="1:59" s="7" customFormat="1" ht="21" x14ac:dyDescent="0.25">
      <c r="A6" s="145" t="str">
        <v>APP 21-22</v>
      </c>
      <c r="B6" s="146">
        <f t="array" ref="B6:F6">BSP!B6:F6</f>
        <v>62.3</v>
      </c>
      <c r="C6" s="147">
        <v>3.9</v>
      </c>
      <c r="D6" s="147">
        <v>2.2000000000000002</v>
      </c>
      <c r="E6" s="147">
        <v>10</v>
      </c>
      <c r="F6" s="147">
        <v>10</v>
      </c>
      <c r="G6" s="147">
        <f t="shared" si="0"/>
        <v>6.1</v>
      </c>
      <c r="H6" s="148">
        <f t="shared" si="1"/>
        <v>0.56410256410256421</v>
      </c>
      <c r="I6" s="149"/>
      <c r="J6" s="150"/>
      <c r="K6" s="151" t="str">
        <f>A6</f>
        <v>APP 21-22</v>
      </c>
      <c r="L6" s="146">
        <f t="array" ref="L6:R6">BSP!L6:R6</f>
        <v>61.5</v>
      </c>
      <c r="M6" s="147">
        <v>4.8</v>
      </c>
      <c r="N6" s="147">
        <v>3</v>
      </c>
      <c r="O6" s="147">
        <v>7</v>
      </c>
      <c r="P6" s="147">
        <v>40</v>
      </c>
      <c r="Q6" s="147">
        <v>7.8</v>
      </c>
      <c r="R6" s="148">
        <v>0.625</v>
      </c>
      <c r="S6" s="149"/>
      <c r="T6" s="152"/>
      <c r="U6" s="151" t="str">
        <f>A6</f>
        <v>APP 21-22</v>
      </c>
      <c r="V6" s="146">
        <f t="array" ref="V6:Z6">BSP!V6:Z6</f>
        <v>62.5</v>
      </c>
      <c r="W6" s="147">
        <v>3</v>
      </c>
      <c r="X6" s="147">
        <v>2.2000000000000002</v>
      </c>
      <c r="Y6" s="147">
        <v>10</v>
      </c>
      <c r="Z6" s="147">
        <v>10</v>
      </c>
      <c r="AA6" s="147">
        <f t="shared" si="2"/>
        <v>5.2</v>
      </c>
      <c r="AB6" s="148">
        <f t="shared" si="3"/>
        <v>0.73333333333333339</v>
      </c>
      <c r="AC6" s="149"/>
      <c r="AD6" s="153"/>
      <c r="AE6" s="151" t="str">
        <f t="shared" si="4"/>
        <v>APP 21-22</v>
      </c>
      <c r="AF6" s="147">
        <f t="array" ref="AF6:AJ6">BSP!AF6:AJ6</f>
        <v>62.1</v>
      </c>
      <c r="AG6" s="147">
        <v>3.5</v>
      </c>
      <c r="AH6" s="147">
        <v>2.5</v>
      </c>
      <c r="AI6" s="147">
        <v>7</v>
      </c>
      <c r="AJ6" s="147">
        <v>40</v>
      </c>
      <c r="AK6" s="147">
        <f t="shared" si="5"/>
        <v>6</v>
      </c>
      <c r="AL6" s="154">
        <f t="shared" si="6"/>
        <v>0.7142857142857143</v>
      </c>
      <c r="AM6" s="155"/>
      <c r="AN6" s="152"/>
      <c r="AO6" s="151" t="str">
        <f t="shared" si="7"/>
        <v>APP 21-22</v>
      </c>
      <c r="AP6" s="146">
        <f t="array" ref="AP6:AT6">BSP!AP6:AT6</f>
        <v>62</v>
      </c>
      <c r="AQ6" s="147">
        <v>4.2</v>
      </c>
      <c r="AR6" s="147">
        <v>2.4</v>
      </c>
      <c r="AS6" s="147">
        <v>10</v>
      </c>
      <c r="AT6" s="147">
        <v>10</v>
      </c>
      <c r="AU6" s="147">
        <f t="shared" si="8"/>
        <v>6.6</v>
      </c>
      <c r="AV6" s="148">
        <f t="shared" si="9"/>
        <v>0.5714285714285714</v>
      </c>
      <c r="AW6" s="155"/>
      <c r="AX6" s="152"/>
      <c r="AY6" s="156" t="str">
        <f t="shared" si="10"/>
        <v>APP 21-22</v>
      </c>
      <c r="AZ6" s="146">
        <f t="array" ref="AZ6:BD6">BSP!AZ6:BD6</f>
        <v>61</v>
      </c>
      <c r="BA6" s="147">
        <v>5</v>
      </c>
      <c r="BB6" s="147">
        <v>3</v>
      </c>
      <c r="BC6" s="147">
        <v>7</v>
      </c>
      <c r="BD6" s="147">
        <v>40</v>
      </c>
      <c r="BE6" s="147">
        <f t="shared" si="11"/>
        <v>8</v>
      </c>
      <c r="BF6" s="148">
        <f t="shared" si="12"/>
        <v>0.6</v>
      </c>
      <c r="BG6" s="157"/>
    </row>
    <row r="7" spans="1:59" ht="21" x14ac:dyDescent="0.25">
      <c r="A7" s="166">
        <v>44287</v>
      </c>
      <c r="B7" s="167"/>
      <c r="C7" s="168"/>
      <c r="D7" s="168"/>
      <c r="E7" s="168"/>
      <c r="F7" s="168"/>
      <c r="G7" s="168" t="str">
        <f t="shared" si="0"/>
        <v/>
      </c>
      <c r="H7" s="169" t="str">
        <f t="shared" si="1"/>
        <v/>
      </c>
      <c r="I7" s="170">
        <f>IF(D7&gt;0,IFERROR(GETPIVOTDATA("act_qty",RECPT!$A$63,"yymm","202104","unit","KRB","comm","L"),0),)</f>
        <v>0</v>
      </c>
      <c r="J7" s="119"/>
      <c r="K7" s="166">
        <f>A7</f>
        <v>44287</v>
      </c>
      <c r="L7" s="167"/>
      <c r="M7" s="168"/>
      <c r="N7" s="168"/>
      <c r="O7" s="168"/>
      <c r="P7" s="168"/>
      <c r="Q7" s="168" t="str">
        <f t="shared" ref="Q7:Q19" si="13">IF(M7&gt;0,+N7+M7,"")</f>
        <v/>
      </c>
      <c r="R7" s="169" t="str">
        <f t="shared" ref="R7:R19" si="14">IF(M7&gt;0,+N7/M7,"")</f>
        <v/>
      </c>
      <c r="S7" s="170">
        <f>IF(N7&gt;0,IFERROR(GETPIVOTDATA("act_qty",RECPT!$A$63,"yymm","202104","unit","KRB","comm","F"),0),)</f>
        <v>0</v>
      </c>
      <c r="T7" s="104"/>
      <c r="U7" s="166">
        <f>A7</f>
        <v>44287</v>
      </c>
      <c r="V7" s="167">
        <v>59.93</v>
      </c>
      <c r="W7" s="168">
        <v>6.18</v>
      </c>
      <c r="X7" s="168">
        <v>3.45</v>
      </c>
      <c r="Y7" s="168">
        <v>5.07</v>
      </c>
      <c r="Z7" s="168">
        <v>2.46</v>
      </c>
      <c r="AA7" s="168">
        <f t="shared" si="2"/>
        <v>9.629999999999999</v>
      </c>
      <c r="AB7" s="169">
        <f t="shared" si="3"/>
        <v>0.5582524271844661</v>
      </c>
      <c r="AC7" s="170">
        <f>IF(X7&gt;0,IFERROR(GETPIVOTDATA("act_qty",RECPT!$A$63,"yymm","202104","unit","BOL","comm","L"),0),)</f>
        <v>4574</v>
      </c>
      <c r="AD7" s="171"/>
      <c r="AE7" s="172">
        <f t="shared" si="4"/>
        <v>44287</v>
      </c>
      <c r="AF7" s="167">
        <v>60.75</v>
      </c>
      <c r="AG7" s="168">
        <v>5.17</v>
      </c>
      <c r="AH7" s="168">
        <v>3.74</v>
      </c>
      <c r="AI7" s="168">
        <v>8.86</v>
      </c>
      <c r="AJ7" s="168">
        <v>44.71</v>
      </c>
      <c r="AK7" s="168">
        <f t="shared" si="5"/>
        <v>8.91</v>
      </c>
      <c r="AL7" s="169">
        <f t="shared" si="6"/>
        <v>0.72340425531914898</v>
      </c>
      <c r="AM7" s="170">
        <f>IF(AH7&gt;0,IFERROR(GETPIVOTDATA("act_qty",RECPT!$A$63,"yymm","202104","unit","BOL","comm","F"),0),)</f>
        <v>7186</v>
      </c>
      <c r="AN7" s="104"/>
      <c r="AO7" s="172">
        <f t="shared" si="7"/>
        <v>44287</v>
      </c>
      <c r="AP7" s="167"/>
      <c r="AQ7" s="168"/>
      <c r="AR7" s="168"/>
      <c r="AS7" s="168"/>
      <c r="AT7" s="168"/>
      <c r="AU7" s="168" t="str">
        <f t="shared" si="8"/>
        <v/>
      </c>
      <c r="AV7" s="169" t="str">
        <f t="shared" si="9"/>
        <v/>
      </c>
      <c r="AW7" s="170">
        <f>IF(AR7&gt;0,IFERROR(GETPIVOTDATA("act_qty",RECPT!$A$63,"yymm","202104","unit","MBR","comm","L"),0),)</f>
        <v>0</v>
      </c>
      <c r="AX7" s="104"/>
      <c r="AY7" s="172">
        <f t="shared" si="10"/>
        <v>44287</v>
      </c>
      <c r="AZ7" s="167"/>
      <c r="BA7" s="168"/>
      <c r="BB7" s="168"/>
      <c r="BC7" s="168"/>
      <c r="BD7" s="168"/>
      <c r="BE7" s="168" t="str">
        <f t="shared" si="11"/>
        <v/>
      </c>
      <c r="BF7" s="169" t="str">
        <f t="shared" si="12"/>
        <v/>
      </c>
      <c r="BG7" s="170">
        <f>IF(BB7&gt;0,IFERROR(GETPIVOTDATA("act_qty",RECPT!$A$63,"yymm","202104","unit","MBR","comm","F"),0),)</f>
        <v>0</v>
      </c>
    </row>
    <row r="8" spans="1:59" ht="21" x14ac:dyDescent="0.25">
      <c r="A8" s="166">
        <v>44317</v>
      </c>
      <c r="B8" s="167"/>
      <c r="C8" s="168"/>
      <c r="D8" s="168"/>
      <c r="E8" s="168"/>
      <c r="F8" s="168"/>
      <c r="G8" s="168" t="str">
        <f t="shared" si="0"/>
        <v/>
      </c>
      <c r="H8" s="169" t="str">
        <f t="shared" si="1"/>
        <v/>
      </c>
      <c r="I8" s="170">
        <f>IF(D8&gt;0,IFERROR(GETPIVOTDATA("act_qty",RECPT!$A$63,"yymm","202105","unit","KRB","comm","L"),0),)</f>
        <v>0</v>
      </c>
      <c r="J8" s="119"/>
      <c r="K8" s="166">
        <f t="shared" ref="K8:K18" si="15">A8</f>
        <v>44317</v>
      </c>
      <c r="L8" s="167"/>
      <c r="M8" s="168"/>
      <c r="N8" s="168"/>
      <c r="O8" s="168"/>
      <c r="P8" s="168"/>
      <c r="Q8" s="168" t="str">
        <f t="shared" si="13"/>
        <v/>
      </c>
      <c r="R8" s="169" t="str">
        <f t="shared" si="14"/>
        <v/>
      </c>
      <c r="S8" s="170">
        <f>IF(N8&gt;0,IFERROR(GETPIVOTDATA("act_qty",RECPT!$A$63,"yymm","202105","unit","KRB","comm","F"),0),)</f>
        <v>0</v>
      </c>
      <c r="T8" s="104"/>
      <c r="U8" s="166">
        <f t="shared" ref="U8:U18" si="16">A8</f>
        <v>44317</v>
      </c>
      <c r="V8" s="167">
        <v>64.48</v>
      </c>
      <c r="W8" s="168">
        <v>1.55</v>
      </c>
      <c r="X8" s="168">
        <v>1.4</v>
      </c>
      <c r="Y8" s="168">
        <v>14.05</v>
      </c>
      <c r="Z8" s="168">
        <v>3.99</v>
      </c>
      <c r="AA8" s="168">
        <f t="shared" si="2"/>
        <v>2.95</v>
      </c>
      <c r="AB8" s="169">
        <f t="shared" si="3"/>
        <v>0.90322580645161277</v>
      </c>
      <c r="AC8" s="170">
        <f>IF(X8&gt;0,IFERROR(GETPIVOTDATA("act_qty",RECPT!$A$63,"yymm","202105","unit","BOL","comm","L"),0),)</f>
        <v>12516</v>
      </c>
      <c r="AD8" s="171"/>
      <c r="AE8" s="172">
        <f t="shared" si="4"/>
        <v>44317</v>
      </c>
      <c r="AF8" s="167">
        <v>62.69</v>
      </c>
      <c r="AG8" s="168">
        <v>3.02</v>
      </c>
      <c r="AH8" s="168">
        <v>2.5</v>
      </c>
      <c r="AI8" s="168">
        <v>8.89</v>
      </c>
      <c r="AJ8" s="168">
        <v>39.979999999999997</v>
      </c>
      <c r="AK8" s="168">
        <f t="shared" si="5"/>
        <v>5.52</v>
      </c>
      <c r="AL8" s="169">
        <f t="shared" si="6"/>
        <v>0.82781456953642385</v>
      </c>
      <c r="AM8" s="170">
        <f>IF(AH8&gt;0,IFERROR(GETPIVOTDATA("act_qty",RECPT!$A$63,"yymm","202105","unit","BOL","comm","F"),0),)</f>
        <v>46997</v>
      </c>
      <c r="AN8" s="104"/>
      <c r="AO8" s="172">
        <f t="shared" si="7"/>
        <v>44317</v>
      </c>
      <c r="AP8" s="167"/>
      <c r="AQ8" s="168"/>
      <c r="AR8" s="168"/>
      <c r="AS8" s="168"/>
      <c r="AT8" s="168"/>
      <c r="AU8" s="168" t="str">
        <f t="shared" si="8"/>
        <v/>
      </c>
      <c r="AV8" s="169" t="str">
        <f t="shared" si="9"/>
        <v/>
      </c>
      <c r="AW8" s="170">
        <f>IF(AR8&gt;0,IFERROR(GETPIVOTDATA("act_qty",RECPT!$A$63,"yymm","202105","unit","MBR","comm","L"),0),)</f>
        <v>0</v>
      </c>
      <c r="AX8" s="104"/>
      <c r="AY8" s="172">
        <f t="shared" si="10"/>
        <v>44317</v>
      </c>
      <c r="AZ8" s="167"/>
      <c r="BA8" s="168"/>
      <c r="BB8" s="168"/>
      <c r="BC8" s="168"/>
      <c r="BD8" s="168"/>
      <c r="BE8" s="168" t="str">
        <f t="shared" si="11"/>
        <v/>
      </c>
      <c r="BF8" s="169" t="str">
        <f t="shared" si="12"/>
        <v/>
      </c>
      <c r="BG8" s="170">
        <f>IF(BB8&gt;0,IFERROR(GETPIVOTDATA("act_qty",RECPT!$A$63,"yymm","202105","unit","MBR","comm","F"),0),)</f>
        <v>0</v>
      </c>
    </row>
    <row r="9" spans="1:59" ht="21" x14ac:dyDescent="0.25">
      <c r="A9" s="166">
        <v>44348</v>
      </c>
      <c r="B9" s="167"/>
      <c r="C9" s="168"/>
      <c r="D9" s="168"/>
      <c r="E9" s="168"/>
      <c r="F9" s="168"/>
      <c r="G9" s="168" t="str">
        <f t="shared" si="0"/>
        <v/>
      </c>
      <c r="H9" s="169" t="str">
        <f t="shared" si="1"/>
        <v/>
      </c>
      <c r="I9" s="170">
        <f>IF(D9&gt;0,IFERROR(GETPIVOTDATA("act_qty",RECPT!$A$63,"yymm","202106","unit","KRB","comm","L"),0),)</f>
        <v>0</v>
      </c>
      <c r="J9" s="119"/>
      <c r="K9" s="166">
        <f t="shared" si="15"/>
        <v>44348</v>
      </c>
      <c r="L9" s="167"/>
      <c r="M9" s="168"/>
      <c r="N9" s="168"/>
      <c r="O9" s="168"/>
      <c r="P9" s="168"/>
      <c r="Q9" s="168" t="str">
        <f t="shared" si="13"/>
        <v/>
      </c>
      <c r="R9" s="169" t="str">
        <f t="shared" si="14"/>
        <v/>
      </c>
      <c r="S9" s="170">
        <f>IF(N9&gt;0,IFERROR(GETPIVOTDATA("act_qty",RECPT!$A$63,"yymm","202106","unit","KRB","comm","F"),0),)</f>
        <v>0</v>
      </c>
      <c r="T9" s="104"/>
      <c r="U9" s="166">
        <f t="shared" si="16"/>
        <v>44348</v>
      </c>
      <c r="V9" s="167">
        <v>61.69</v>
      </c>
      <c r="W9" s="168">
        <v>6.22</v>
      </c>
      <c r="X9" s="168">
        <v>1.0900000000000001</v>
      </c>
      <c r="Y9" s="168">
        <v>20.18</v>
      </c>
      <c r="Z9" s="168">
        <v>3.51</v>
      </c>
      <c r="AA9" s="168">
        <f t="shared" si="2"/>
        <v>7.31</v>
      </c>
      <c r="AB9" s="169">
        <f t="shared" si="3"/>
        <v>0.17524115755627012</v>
      </c>
      <c r="AC9" s="170">
        <f>IF(X9&gt;0,IFERROR(GETPIVOTDATA("act_qty",RECPT!$A$63,"yymm","202106","unit","BOL","comm","L"),0),)</f>
        <v>3552</v>
      </c>
      <c r="AD9" s="171"/>
      <c r="AE9" s="172">
        <f t="shared" si="4"/>
        <v>44348</v>
      </c>
      <c r="AF9" s="167">
        <v>61.53</v>
      </c>
      <c r="AG9" s="168">
        <v>5.35</v>
      </c>
      <c r="AH9" s="168">
        <v>2.0499999999999998</v>
      </c>
      <c r="AI9" s="168">
        <v>8.98</v>
      </c>
      <c r="AJ9" s="168">
        <v>39.21</v>
      </c>
      <c r="AK9" s="168">
        <f t="shared" si="5"/>
        <v>7.3999999999999995</v>
      </c>
      <c r="AL9" s="169">
        <f t="shared" si="6"/>
        <v>0.38317757009345793</v>
      </c>
      <c r="AM9" s="170">
        <f>IF(AH9&gt;0,IFERROR(GETPIVOTDATA("act_qty",RECPT!$A$63,"yymm","202106","unit","BOL","comm","F"),0),)</f>
        <v>11562</v>
      </c>
      <c r="AN9" s="104"/>
      <c r="AO9" s="172">
        <f t="shared" si="7"/>
        <v>44348</v>
      </c>
      <c r="AP9" s="167"/>
      <c r="AQ9" s="168"/>
      <c r="AR9" s="168"/>
      <c r="AS9" s="168"/>
      <c r="AT9" s="168"/>
      <c r="AU9" s="168" t="str">
        <f t="shared" si="8"/>
        <v/>
      </c>
      <c r="AV9" s="169" t="str">
        <f t="shared" si="9"/>
        <v/>
      </c>
      <c r="AW9" s="170">
        <f>IF(AR9&gt;0,IFERROR(GETPIVOTDATA("act_qty",RECPT!$A$63,"yymm","202106","unit","MBR","comm","L"),0),)</f>
        <v>0</v>
      </c>
      <c r="AX9" s="104"/>
      <c r="AY9" s="172">
        <f t="shared" si="10"/>
        <v>44348</v>
      </c>
      <c r="AZ9" s="167">
        <v>61.5</v>
      </c>
      <c r="BA9" s="168">
        <v>5.04</v>
      </c>
      <c r="BB9" s="168">
        <v>2.67</v>
      </c>
      <c r="BC9" s="168">
        <v>9.23</v>
      </c>
      <c r="BD9" s="168">
        <v>37.950000000000003</v>
      </c>
      <c r="BE9" s="168">
        <f t="shared" si="11"/>
        <v>7.71</v>
      </c>
      <c r="BF9" s="169">
        <f t="shared" si="12"/>
        <v>0.52976190476190477</v>
      </c>
      <c r="BG9" s="170">
        <f>IF(BB9&gt;0,IFERROR(GETPIVOTDATA("act_qty",RECPT!$A$63,"yymm","202106","unit","MBR","comm","F"),0),)</f>
        <v>30826</v>
      </c>
    </row>
    <row r="10" spans="1:59" ht="21" x14ac:dyDescent="0.25">
      <c r="A10" s="166">
        <v>44378</v>
      </c>
      <c r="B10" s="167"/>
      <c r="C10" s="168"/>
      <c r="D10" s="168"/>
      <c r="E10" s="168"/>
      <c r="F10" s="168"/>
      <c r="G10" s="168" t="str">
        <f t="shared" si="0"/>
        <v/>
      </c>
      <c r="H10" s="169" t="str">
        <f t="shared" si="1"/>
        <v/>
      </c>
      <c r="I10" s="170">
        <f>IF(D10&gt;0,IFERROR(GETPIVOTDATA("act_qty",RECPT!$A$63,"yymm","202107","unit","KRB","comm","L"),0),)</f>
        <v>0</v>
      </c>
      <c r="J10" s="119"/>
      <c r="K10" s="166">
        <f t="shared" si="15"/>
        <v>44378</v>
      </c>
      <c r="L10" s="167"/>
      <c r="M10" s="168"/>
      <c r="N10" s="168"/>
      <c r="O10" s="168"/>
      <c r="P10" s="168"/>
      <c r="Q10" s="168" t="str">
        <f t="shared" si="13"/>
        <v/>
      </c>
      <c r="R10" s="169" t="str">
        <f t="shared" si="14"/>
        <v/>
      </c>
      <c r="S10" s="170">
        <f>IF(N10&gt;0,IFERROR(GETPIVOTDATA("act_qty",RECPT!$A$63,"yymm","202107","unit","KRB","comm","F"),0),)</f>
        <v>0</v>
      </c>
      <c r="T10" s="104"/>
      <c r="U10" s="166">
        <f t="shared" si="16"/>
        <v>44378</v>
      </c>
      <c r="V10" s="167">
        <v>62.74</v>
      </c>
      <c r="W10" s="168">
        <v>4.17</v>
      </c>
      <c r="X10" s="168">
        <v>1.62</v>
      </c>
      <c r="Y10" s="168">
        <v>3.21</v>
      </c>
      <c r="Z10" s="168">
        <v>8.8000000000000007</v>
      </c>
      <c r="AA10" s="168">
        <f t="shared" si="2"/>
        <v>5.79</v>
      </c>
      <c r="AB10" s="169">
        <f t="shared" si="3"/>
        <v>0.38848920863309355</v>
      </c>
      <c r="AC10" s="170">
        <f>IF(X10&gt;0,IFERROR(GETPIVOTDATA("act_qty",RECPT!$A$63,"yymm","202107","unit","BOL","comm","L"),0),)</f>
        <v>34166</v>
      </c>
      <c r="AD10" s="171"/>
      <c r="AE10" s="172">
        <f t="shared" si="4"/>
        <v>44378</v>
      </c>
      <c r="AF10" s="167">
        <v>62.01</v>
      </c>
      <c r="AG10" s="168">
        <v>4.79</v>
      </c>
      <c r="AH10" s="168">
        <v>2.31</v>
      </c>
      <c r="AI10" s="168">
        <v>9.11</v>
      </c>
      <c r="AJ10" s="168">
        <v>40.299999999999997</v>
      </c>
      <c r="AK10" s="168">
        <f t="shared" si="5"/>
        <v>7.1</v>
      </c>
      <c r="AL10" s="169">
        <f t="shared" si="6"/>
        <v>0.48225469728601256</v>
      </c>
      <c r="AM10" s="170">
        <f>IF(AH10&gt;0,IFERROR(GETPIVOTDATA("act_qty",RECPT!$A$63,"yymm","202107","unit","BOL","comm","F"),0),)</f>
        <v>46106</v>
      </c>
      <c r="AN10" s="104"/>
      <c r="AO10" s="172">
        <f t="shared" si="7"/>
        <v>44378</v>
      </c>
      <c r="AP10" s="167"/>
      <c r="AQ10" s="168"/>
      <c r="AR10" s="168"/>
      <c r="AS10" s="168"/>
      <c r="AT10" s="168"/>
      <c r="AU10" s="168" t="str">
        <f t="shared" si="8"/>
        <v/>
      </c>
      <c r="AV10" s="169" t="str">
        <f t="shared" si="9"/>
        <v/>
      </c>
      <c r="AW10" s="170">
        <f>IF(AR10&gt;0,IFERROR(GETPIVOTDATA("act_qty",RECPT!$A$63,"yymm","202107","unit","MBR","comm","L"),0),)</f>
        <v>0</v>
      </c>
      <c r="AX10" s="104"/>
      <c r="AY10" s="172">
        <f t="shared" si="10"/>
        <v>44378</v>
      </c>
      <c r="AZ10" s="167">
        <v>61.55</v>
      </c>
      <c r="BA10" s="168">
        <v>5.23</v>
      </c>
      <c r="BB10" s="168">
        <v>2.59</v>
      </c>
      <c r="BC10" s="168">
        <v>8.4700000000000006</v>
      </c>
      <c r="BD10" s="168">
        <v>40.92</v>
      </c>
      <c r="BE10" s="168">
        <f t="shared" si="11"/>
        <v>7.82</v>
      </c>
      <c r="BF10" s="169">
        <f t="shared" si="12"/>
        <v>0.49521988527724659</v>
      </c>
      <c r="BG10" s="170">
        <f>IF(BB10&gt;0,IFERROR(GETPIVOTDATA("act_qty",RECPT!$A$63,"yymm","202107","unit","MBR","comm","F"),0),)</f>
        <v>51194</v>
      </c>
    </row>
    <row r="11" spans="1:59" ht="21" x14ac:dyDescent="0.25">
      <c r="A11" s="166">
        <v>44409</v>
      </c>
      <c r="B11" s="167"/>
      <c r="C11" s="168"/>
      <c r="D11" s="168"/>
      <c r="E11" s="168"/>
      <c r="F11" s="168"/>
      <c r="G11" s="168" t="str">
        <f t="shared" si="0"/>
        <v/>
      </c>
      <c r="H11" s="169" t="str">
        <f t="shared" si="1"/>
        <v/>
      </c>
      <c r="I11" s="170">
        <f>IF(D11&gt;0,IFERROR(GETPIVOTDATA("act_qty",RECPT!$A$63,"yymm","202108","unit","KRB","comm","L"),0),)</f>
        <v>0</v>
      </c>
      <c r="J11" s="119"/>
      <c r="K11" s="166">
        <f t="shared" si="15"/>
        <v>44409</v>
      </c>
      <c r="L11" s="167"/>
      <c r="M11" s="168"/>
      <c r="N11" s="168"/>
      <c r="O11" s="168"/>
      <c r="P11" s="168"/>
      <c r="Q11" s="168" t="str">
        <f t="shared" si="13"/>
        <v/>
      </c>
      <c r="R11" s="169" t="str">
        <f t="shared" si="14"/>
        <v/>
      </c>
      <c r="S11" s="170">
        <f>IF(N11&gt;0,IFERROR(GETPIVOTDATA("act_qty",RECPT!$A$63,"yymm","202108","unit","KRB","comm","F"),0),)</f>
        <v>0</v>
      </c>
      <c r="T11" s="104"/>
      <c r="U11" s="166">
        <f t="shared" si="16"/>
        <v>44409</v>
      </c>
      <c r="V11" s="167">
        <v>63.28</v>
      </c>
      <c r="W11" s="168">
        <v>3.3</v>
      </c>
      <c r="X11" s="168">
        <v>1.58</v>
      </c>
      <c r="Y11" s="168">
        <v>14.85</v>
      </c>
      <c r="Z11" s="168">
        <v>6.24</v>
      </c>
      <c r="AA11" s="168">
        <f t="shared" si="2"/>
        <v>4.88</v>
      </c>
      <c r="AB11" s="169">
        <f t="shared" si="3"/>
        <v>0.47878787878787882</v>
      </c>
      <c r="AC11" s="170">
        <f>IF(X11&gt;0,IFERROR(GETPIVOTDATA("act_qty",RECPT!$A$63,"yymm","202108","unit","BOL","comm","L"),0),)</f>
        <v>37824</v>
      </c>
      <c r="AD11" s="171"/>
      <c r="AE11" s="172">
        <f t="shared" si="4"/>
        <v>44409</v>
      </c>
      <c r="AF11" s="167">
        <v>62.45</v>
      </c>
      <c r="AG11" s="168">
        <v>4.7</v>
      </c>
      <c r="AH11" s="168">
        <v>1.73</v>
      </c>
      <c r="AI11" s="168">
        <v>9.76</v>
      </c>
      <c r="AJ11" s="168">
        <v>36.369999999999997</v>
      </c>
      <c r="AK11" s="168">
        <f t="shared" si="5"/>
        <v>6.43</v>
      </c>
      <c r="AL11" s="169">
        <f t="shared" si="6"/>
        <v>0.3680851063829787</v>
      </c>
      <c r="AM11" s="170">
        <f>IF(AH11&gt;0,IFERROR(GETPIVOTDATA("act_qty",RECPT!$A$63,"yymm","202108","unit","BOL","comm","F"),0),)</f>
        <v>21934</v>
      </c>
      <c r="AN11" s="104"/>
      <c r="AO11" s="172">
        <f t="shared" si="7"/>
        <v>44409</v>
      </c>
      <c r="AP11" s="167"/>
      <c r="AQ11" s="168"/>
      <c r="AR11" s="168"/>
      <c r="AS11" s="168"/>
      <c r="AT11" s="168"/>
      <c r="AU11" s="168" t="str">
        <f t="shared" si="8"/>
        <v/>
      </c>
      <c r="AV11" s="169" t="str">
        <f t="shared" si="9"/>
        <v/>
      </c>
      <c r="AW11" s="170">
        <f>IF(AR11&gt;0,IFERROR(GETPIVOTDATA("act_qty",RECPT!$A$63,"yymm","202108","unit","MBR","comm","L"),0),)</f>
        <v>0</v>
      </c>
      <c r="AX11" s="104"/>
      <c r="AY11" s="172">
        <f t="shared" si="10"/>
        <v>44409</v>
      </c>
      <c r="AZ11" s="167">
        <v>61.5</v>
      </c>
      <c r="BA11" s="168">
        <v>5.43</v>
      </c>
      <c r="BB11" s="168">
        <v>2.34</v>
      </c>
      <c r="BC11" s="168">
        <v>9.34</v>
      </c>
      <c r="BD11" s="168">
        <v>36.770000000000003</v>
      </c>
      <c r="BE11" s="168">
        <f t="shared" si="11"/>
        <v>7.77</v>
      </c>
      <c r="BF11" s="169">
        <f t="shared" si="12"/>
        <v>0.43093922651933703</v>
      </c>
      <c r="BG11" s="170">
        <f>IF(BB11&gt;0,IFERROR(GETPIVOTDATA("act_qty",RECPT!$A$63,"yymm","202108","unit","MBR","comm","F"),0),)</f>
        <v>81116</v>
      </c>
    </row>
    <row r="12" spans="1:59" ht="21" x14ac:dyDescent="0.25">
      <c r="A12" s="166">
        <v>44440</v>
      </c>
      <c r="B12" s="167"/>
      <c r="C12" s="168"/>
      <c r="D12" s="168"/>
      <c r="E12" s="168"/>
      <c r="F12" s="168"/>
      <c r="G12" s="168" t="str">
        <f t="shared" si="0"/>
        <v/>
      </c>
      <c r="H12" s="169" t="str">
        <f t="shared" si="1"/>
        <v/>
      </c>
      <c r="I12" s="170">
        <f>IF(D12&gt;0,IFERROR(GETPIVOTDATA("act_qty",RECPT!$A$63,"yymm","202109","unit","KRB","comm","L"),0),)</f>
        <v>0</v>
      </c>
      <c r="J12" s="119"/>
      <c r="K12" s="166">
        <f t="shared" si="15"/>
        <v>44440</v>
      </c>
      <c r="L12" s="167"/>
      <c r="M12" s="168"/>
      <c r="N12" s="168"/>
      <c r="O12" s="168"/>
      <c r="P12" s="168"/>
      <c r="Q12" s="168" t="str">
        <f t="shared" si="13"/>
        <v/>
      </c>
      <c r="R12" s="169" t="str">
        <f t="shared" si="14"/>
        <v/>
      </c>
      <c r="S12" s="170">
        <f>IF(N12&gt;0,IFERROR(GETPIVOTDATA("act_qty",RECPT!$A$63,"yymm","202109","unit","KRB","comm","F"),0),)</f>
        <v>0</v>
      </c>
      <c r="T12" s="104"/>
      <c r="U12" s="166">
        <f t="shared" si="16"/>
        <v>44440</v>
      </c>
      <c r="V12" s="167">
        <v>63.13</v>
      </c>
      <c r="W12" s="168">
        <v>3.63</v>
      </c>
      <c r="X12" s="168">
        <v>1.53</v>
      </c>
      <c r="Y12" s="168">
        <v>3.33</v>
      </c>
      <c r="Z12" s="168">
        <v>5.16</v>
      </c>
      <c r="AA12" s="168">
        <f t="shared" si="2"/>
        <v>5.16</v>
      </c>
      <c r="AB12" s="169">
        <f t="shared" si="3"/>
        <v>0.42148760330578516</v>
      </c>
      <c r="AC12" s="170">
        <f>IF(X12&gt;0,IFERROR(GETPIVOTDATA("act_qty",RECPT!$A$63,"yymm","202109","unit","BOL","comm","L"),0),)</f>
        <v>21850</v>
      </c>
      <c r="AD12" s="171"/>
      <c r="AE12" s="172">
        <f t="shared" si="4"/>
        <v>44440</v>
      </c>
      <c r="AF12" s="167">
        <v>63.09</v>
      </c>
      <c r="AG12" s="168">
        <v>4.12</v>
      </c>
      <c r="AH12" s="168">
        <v>1.43</v>
      </c>
      <c r="AI12" s="168">
        <v>8.27</v>
      </c>
      <c r="AJ12" s="168">
        <v>40.869999999999997</v>
      </c>
      <c r="AK12" s="168">
        <f t="shared" si="5"/>
        <v>5.55</v>
      </c>
      <c r="AL12" s="169">
        <f t="shared" si="6"/>
        <v>0.34708737864077666</v>
      </c>
      <c r="AM12" s="170">
        <f>IF(AH12&gt;0,IFERROR(GETPIVOTDATA("act_qty",RECPT!$A$63,"yymm","202109","unit","BOL","comm","F"),0),)</f>
        <v>25802</v>
      </c>
      <c r="AN12" s="104"/>
      <c r="AO12" s="172">
        <f t="shared" si="7"/>
        <v>44440</v>
      </c>
      <c r="AP12" s="167"/>
      <c r="AQ12" s="168"/>
      <c r="AR12" s="168"/>
      <c r="AS12" s="168"/>
      <c r="AT12" s="168"/>
      <c r="AU12" s="168" t="str">
        <f t="shared" si="8"/>
        <v/>
      </c>
      <c r="AV12" s="169" t="str">
        <f t="shared" si="9"/>
        <v/>
      </c>
      <c r="AW12" s="170">
        <f>IF(AR12&gt;0,IFERROR(GETPIVOTDATA("act_qty",RECPT!$A$63,"yymm","202109","unit","MBR","comm","L"),0),)</f>
        <v>0</v>
      </c>
      <c r="AX12" s="104"/>
      <c r="AY12" s="172">
        <f t="shared" si="10"/>
        <v>44440</v>
      </c>
      <c r="AZ12" s="167">
        <v>60.71</v>
      </c>
      <c r="BA12" s="168">
        <v>7.62</v>
      </c>
      <c r="BB12" s="168">
        <v>1.5</v>
      </c>
      <c r="BC12" s="168">
        <v>9.34</v>
      </c>
      <c r="BD12" s="168">
        <v>39.72</v>
      </c>
      <c r="BE12" s="168">
        <f t="shared" si="11"/>
        <v>9.120000000000001</v>
      </c>
      <c r="BF12" s="169">
        <f t="shared" si="12"/>
        <v>0.19685039370078738</v>
      </c>
      <c r="BG12" s="170">
        <f>IF(BB12&gt;0,IFERROR(GETPIVOTDATA("act_qty",RECPT!$A$63,"yymm","202109","unit","MBR","comm","F"),0),)</f>
        <v>88892</v>
      </c>
    </row>
    <row r="13" spans="1:59" ht="21" x14ac:dyDescent="0.25">
      <c r="A13" s="166">
        <v>44470</v>
      </c>
      <c r="B13" s="167"/>
      <c r="C13" s="168"/>
      <c r="D13" s="168"/>
      <c r="E13" s="168"/>
      <c r="F13" s="168"/>
      <c r="G13" s="168" t="str">
        <f t="shared" si="0"/>
        <v/>
      </c>
      <c r="H13" s="169" t="str">
        <f t="shared" si="1"/>
        <v/>
      </c>
      <c r="I13" s="170">
        <f>IF(D13&gt;0,IFERROR(GETPIVOTDATA("act_qty",RECPT!$A$63,"yymm","202110","unit","KRB","comm","L"),0),)</f>
        <v>0</v>
      </c>
      <c r="J13" s="119"/>
      <c r="K13" s="166">
        <f t="shared" si="15"/>
        <v>44470</v>
      </c>
      <c r="L13" s="167"/>
      <c r="M13" s="168"/>
      <c r="N13" s="168"/>
      <c r="O13" s="168"/>
      <c r="P13" s="168"/>
      <c r="Q13" s="168" t="str">
        <f t="shared" si="13"/>
        <v/>
      </c>
      <c r="R13" s="169" t="str">
        <f t="shared" si="14"/>
        <v/>
      </c>
      <c r="S13" s="170">
        <f>IF(N13&gt;0,IFERROR(GETPIVOTDATA("act_qty",RECPT!$A$63,"yymm","202110","unit","KRB","comm","F"),0),)</f>
        <v>0</v>
      </c>
      <c r="T13" s="104"/>
      <c r="U13" s="166">
        <f t="shared" si="16"/>
        <v>44470</v>
      </c>
      <c r="V13" s="167">
        <v>63.91</v>
      </c>
      <c r="W13" s="168">
        <v>2.67</v>
      </c>
      <c r="X13" s="168">
        <v>1.17</v>
      </c>
      <c r="Y13" s="168">
        <v>23.11</v>
      </c>
      <c r="Z13" s="168">
        <v>7.28</v>
      </c>
      <c r="AA13" s="168">
        <f t="shared" si="2"/>
        <v>3.84</v>
      </c>
      <c r="AB13" s="169">
        <f t="shared" si="3"/>
        <v>0.4382022471910112</v>
      </c>
      <c r="AC13" s="170">
        <f>IF(X13&gt;0,IFERROR(GETPIVOTDATA("act_qty",RECPT!$A$63,"yymm","202110","unit","BOL","comm","L"),0),)</f>
        <v>23555.03</v>
      </c>
      <c r="AD13" s="119"/>
      <c r="AE13" s="172">
        <f t="shared" si="4"/>
        <v>44470</v>
      </c>
      <c r="AF13" s="167">
        <v>62.87</v>
      </c>
      <c r="AG13" s="168">
        <v>3.98</v>
      </c>
      <c r="AH13" s="168">
        <v>1.8</v>
      </c>
      <c r="AI13" s="168">
        <v>8.61</v>
      </c>
      <c r="AJ13" s="168">
        <v>39.32</v>
      </c>
      <c r="AK13" s="168">
        <f t="shared" si="5"/>
        <v>5.78</v>
      </c>
      <c r="AL13" s="169">
        <f t="shared" si="6"/>
        <v>0.45226130653266333</v>
      </c>
      <c r="AM13" s="170">
        <f>IF(AH13&gt;0,IFERROR(GETPIVOTDATA("act_qty",RECPT!$A$63,"yymm","202110","unit","BOL","comm","F"),0),)</f>
        <v>25017.21</v>
      </c>
      <c r="AN13" s="104"/>
      <c r="AO13" s="172">
        <f t="shared" si="7"/>
        <v>44470</v>
      </c>
      <c r="AP13" s="167"/>
      <c r="AQ13" s="168"/>
      <c r="AR13" s="168"/>
      <c r="AS13" s="168"/>
      <c r="AT13" s="168"/>
      <c r="AU13" s="168" t="str">
        <f t="shared" si="8"/>
        <v/>
      </c>
      <c r="AV13" s="169" t="str">
        <f t="shared" si="9"/>
        <v/>
      </c>
      <c r="AW13" s="170">
        <f>IF(AR13&gt;0,IFERROR(GETPIVOTDATA("act_qty",RECPT!$A$63,"yymm","202110","unit","MBR","comm","L"),0),)</f>
        <v>0</v>
      </c>
      <c r="AX13" s="104"/>
      <c r="AY13" s="172">
        <f t="shared" si="10"/>
        <v>44470</v>
      </c>
      <c r="AZ13" s="167">
        <v>60.49</v>
      </c>
      <c r="BA13" s="168">
        <v>7.83</v>
      </c>
      <c r="BB13" s="168">
        <v>1.6</v>
      </c>
      <c r="BC13" s="168">
        <v>7.07</v>
      </c>
      <c r="BD13" s="168">
        <v>42.56</v>
      </c>
      <c r="BE13" s="168">
        <f t="shared" si="11"/>
        <v>9.43</v>
      </c>
      <c r="BF13" s="169">
        <f t="shared" si="12"/>
        <v>0.20434227330779056</v>
      </c>
      <c r="BG13" s="170">
        <f>IF(BB13&gt;0,IFERROR(GETPIVOTDATA("act_qty",RECPT!$A$63,"yymm","202110","unit","MBR","comm","F"),0),)</f>
        <v>31653.8</v>
      </c>
    </row>
    <row r="14" spans="1:59" ht="21" x14ac:dyDescent="0.25">
      <c r="A14" s="166">
        <v>44501</v>
      </c>
      <c r="B14" s="167"/>
      <c r="C14" s="168"/>
      <c r="D14" s="168"/>
      <c r="E14" s="168"/>
      <c r="F14" s="168"/>
      <c r="G14" s="168" t="str">
        <f t="shared" si="0"/>
        <v/>
      </c>
      <c r="H14" s="169" t="str">
        <f t="shared" si="1"/>
        <v/>
      </c>
      <c r="I14" s="170">
        <f>IF(D14&gt;0,IFERROR(GETPIVOTDATA("act_qty",RECPT!$A$63,"yymm","202111","unit","KRB","comm","L"),0),)</f>
        <v>0</v>
      </c>
      <c r="J14" s="119"/>
      <c r="K14" s="166">
        <f t="shared" si="15"/>
        <v>44501</v>
      </c>
      <c r="L14" s="167"/>
      <c r="M14" s="168"/>
      <c r="N14" s="168"/>
      <c r="O14" s="168"/>
      <c r="P14" s="168"/>
      <c r="Q14" s="168" t="str">
        <f t="shared" si="13"/>
        <v/>
      </c>
      <c r="R14" s="169" t="str">
        <f t="shared" si="14"/>
        <v/>
      </c>
      <c r="S14" s="170">
        <f>IF(N14&gt;0,IFERROR(GETPIVOTDATA("act_qty",RECPT!$A$63,"yymm","202111","unit","KRB","comm","F"),0),)</f>
        <v>0</v>
      </c>
      <c r="T14" s="104"/>
      <c r="U14" s="166">
        <f t="shared" si="16"/>
        <v>44501</v>
      </c>
      <c r="V14" s="167">
        <v>64.12</v>
      </c>
      <c r="W14" s="168">
        <v>2.12</v>
      </c>
      <c r="X14" s="168">
        <v>1.53</v>
      </c>
      <c r="Y14" s="168">
        <v>18.7</v>
      </c>
      <c r="Z14" s="168">
        <v>10.8</v>
      </c>
      <c r="AA14" s="168">
        <f t="shared" si="2"/>
        <v>3.6500000000000004</v>
      </c>
      <c r="AB14" s="169">
        <f t="shared" si="3"/>
        <v>0.72169811320754718</v>
      </c>
      <c r="AC14" s="170">
        <f>IF(X14&gt;0,IFERROR(GETPIVOTDATA("act_qty",RECPT!$A$63,"yymm","202111","unit","BOL","comm","L"),0),)</f>
        <v>47623.39</v>
      </c>
      <c r="AD14" s="119"/>
      <c r="AE14" s="172">
        <f t="shared" si="4"/>
        <v>44501</v>
      </c>
      <c r="AF14" s="167">
        <v>63.43</v>
      </c>
      <c r="AG14" s="168">
        <v>3.23</v>
      </c>
      <c r="AH14" s="168">
        <v>1.65</v>
      </c>
      <c r="AI14" s="168">
        <v>7.6</v>
      </c>
      <c r="AJ14" s="168">
        <v>42.52</v>
      </c>
      <c r="AK14" s="168">
        <f t="shared" si="5"/>
        <v>4.88</v>
      </c>
      <c r="AL14" s="169">
        <f t="shared" si="6"/>
        <v>0.51083591331269351</v>
      </c>
      <c r="AM14" s="170">
        <f>IF(AH14&gt;0,IFERROR(GETPIVOTDATA("act_qty",RECPT!$A$63,"yymm","202111","unit","BOL","comm","F"),0),)</f>
        <v>49254.8</v>
      </c>
      <c r="AN14" s="104"/>
      <c r="AO14" s="172">
        <f t="shared" si="7"/>
        <v>44501</v>
      </c>
      <c r="AP14" s="167"/>
      <c r="AQ14" s="168"/>
      <c r="AR14" s="168"/>
      <c r="AS14" s="168"/>
      <c r="AT14" s="168"/>
      <c r="AU14" s="168" t="str">
        <f t="shared" si="8"/>
        <v/>
      </c>
      <c r="AV14" s="169" t="str">
        <f t="shared" si="9"/>
        <v/>
      </c>
      <c r="AW14" s="170">
        <f>IF(AR14&gt;0,IFERROR(GETPIVOTDATA("act_qty",RECPT!$A$63,"yymm","202111","unit","MBR","comm","L"),0),)</f>
        <v>0</v>
      </c>
      <c r="AX14" s="104"/>
      <c r="AY14" s="172">
        <f t="shared" si="10"/>
        <v>44501</v>
      </c>
      <c r="AZ14" s="167">
        <v>60.19</v>
      </c>
      <c r="BA14" s="168">
        <v>7.99</v>
      </c>
      <c r="BB14" s="168">
        <v>1.86</v>
      </c>
      <c r="BC14" s="168">
        <v>7.93</v>
      </c>
      <c r="BD14" s="168">
        <v>41.34</v>
      </c>
      <c r="BE14" s="168">
        <f t="shared" si="11"/>
        <v>9.85</v>
      </c>
      <c r="BF14" s="169">
        <f t="shared" si="12"/>
        <v>0.23279098873591991</v>
      </c>
      <c r="BG14" s="170">
        <f>IF(BB14&gt;0,IFERROR(GETPIVOTDATA("act_qty",RECPT!$A$63,"yymm","202111","unit","MBR","comm","F"),0),)</f>
        <v>40344.199999999997</v>
      </c>
    </row>
    <row r="15" spans="1:59" ht="21" x14ac:dyDescent="0.25">
      <c r="A15" s="166">
        <v>44531</v>
      </c>
      <c r="B15" s="167"/>
      <c r="C15" s="168"/>
      <c r="D15" s="168"/>
      <c r="E15" s="168"/>
      <c r="F15" s="168"/>
      <c r="G15" s="168" t="str">
        <f t="shared" si="0"/>
        <v/>
      </c>
      <c r="H15" s="169" t="str">
        <f t="shared" si="1"/>
        <v/>
      </c>
      <c r="I15" s="170">
        <f>IF(D15&gt;0,IFERROR(GETPIVOTDATA("act_qty",RECPT!$A$63,"yymm","202112","unit","KRB","comm","L"),0),)</f>
        <v>0</v>
      </c>
      <c r="J15" s="119"/>
      <c r="K15" s="166">
        <f t="shared" si="15"/>
        <v>44531</v>
      </c>
      <c r="L15" s="167"/>
      <c r="M15" s="168"/>
      <c r="N15" s="168"/>
      <c r="O15" s="168"/>
      <c r="P15" s="168"/>
      <c r="Q15" s="168" t="str">
        <f t="shared" si="13"/>
        <v/>
      </c>
      <c r="R15" s="169" t="str">
        <f t="shared" si="14"/>
        <v/>
      </c>
      <c r="S15" s="170">
        <f>IF(N15&gt;0,IFERROR(GETPIVOTDATA("act_qty",RECPT!$A$63,"yymm","202112","unit","KRB","comm","F"),0),)</f>
        <v>0</v>
      </c>
      <c r="T15" s="104"/>
      <c r="U15" s="166">
        <f t="shared" si="16"/>
        <v>44531</v>
      </c>
      <c r="V15" s="167">
        <v>63.19</v>
      </c>
      <c r="W15" s="168">
        <v>3.77</v>
      </c>
      <c r="X15" s="168">
        <v>1.33</v>
      </c>
      <c r="Y15" s="168">
        <v>22.9</v>
      </c>
      <c r="Z15" s="168">
        <v>10.8</v>
      </c>
      <c r="AA15" s="168">
        <f t="shared" si="2"/>
        <v>5.0999999999999996</v>
      </c>
      <c r="AB15" s="169">
        <f t="shared" si="3"/>
        <v>0.35278514588859416</v>
      </c>
      <c r="AC15" s="170">
        <f>IF(X15&gt;0,IFERROR(GETPIVOTDATA("act_qty",RECPT!$A$63,"yymm","202112","unit","BOL","comm","L"),0),)</f>
        <v>25101.919999999998</v>
      </c>
      <c r="AD15" s="119"/>
      <c r="AE15" s="172">
        <f t="shared" si="4"/>
        <v>44531</v>
      </c>
      <c r="AF15" s="167">
        <v>63.26</v>
      </c>
      <c r="AG15" s="168">
        <v>3.53</v>
      </c>
      <c r="AH15" s="168">
        <v>1.65</v>
      </c>
      <c r="AI15" s="168">
        <v>8.3800000000000008</v>
      </c>
      <c r="AJ15" s="168">
        <v>42.52</v>
      </c>
      <c r="AK15" s="168">
        <f t="shared" si="5"/>
        <v>5.18</v>
      </c>
      <c r="AL15" s="169">
        <f t="shared" si="6"/>
        <v>0.46742209631728043</v>
      </c>
      <c r="AM15" s="170">
        <f>IF(AH15&gt;0,IFERROR(GETPIVOTDATA("act_qty",RECPT!$A$63,"yymm","202112","unit","BOL","comm","F"),0),)</f>
        <v>46874.6</v>
      </c>
      <c r="AN15" s="104"/>
      <c r="AO15" s="172">
        <f t="shared" si="7"/>
        <v>44531</v>
      </c>
      <c r="AP15" s="167"/>
      <c r="AQ15" s="168"/>
      <c r="AR15" s="168"/>
      <c r="AS15" s="168"/>
      <c r="AT15" s="168"/>
      <c r="AU15" s="168" t="str">
        <f t="shared" si="8"/>
        <v/>
      </c>
      <c r="AV15" s="169" t="str">
        <f t="shared" si="9"/>
        <v/>
      </c>
      <c r="AW15" s="170">
        <f>IF(AR15&gt;0,IFERROR(GETPIVOTDATA("act_qty",RECPT!$A$63,"yymm","202112","unit","MBR","comm","L"),0),)</f>
        <v>0</v>
      </c>
      <c r="AX15" s="104"/>
      <c r="AY15" s="172">
        <f t="shared" si="10"/>
        <v>44531</v>
      </c>
      <c r="AZ15" s="167">
        <v>59.72</v>
      </c>
      <c r="BA15" s="168">
        <v>9.49</v>
      </c>
      <c r="BB15" s="168">
        <v>1.25</v>
      </c>
      <c r="BC15" s="168">
        <v>6.93</v>
      </c>
      <c r="BD15" s="168">
        <v>41.34</v>
      </c>
      <c r="BE15" s="168">
        <f t="shared" si="11"/>
        <v>10.74</v>
      </c>
      <c r="BF15" s="169">
        <f t="shared" si="12"/>
        <v>0.13171759747102213</v>
      </c>
      <c r="BG15" s="170">
        <f>IF(BB15&gt;0,IFERROR(GETPIVOTDATA("act_qty",RECPT!$A$63,"yymm","202112","unit","MBR","comm","F"),0),)</f>
        <v>47783.8</v>
      </c>
    </row>
    <row r="16" spans="1:59" ht="21" x14ac:dyDescent="0.25">
      <c r="A16" s="166">
        <v>44562</v>
      </c>
      <c r="B16" s="167"/>
      <c r="C16" s="168"/>
      <c r="D16" s="168"/>
      <c r="E16" s="168"/>
      <c r="F16" s="168"/>
      <c r="G16" s="168" t="str">
        <f t="shared" si="0"/>
        <v/>
      </c>
      <c r="H16" s="169" t="str">
        <f t="shared" si="1"/>
        <v/>
      </c>
      <c r="I16" s="170">
        <f>IF(D16&gt;0,IFERROR(GETPIVOTDATA("act_qty",RECPT!$A$63,"yymm","202201","unit","KRB","comm","L"),0),)</f>
        <v>0</v>
      </c>
      <c r="J16" s="119"/>
      <c r="K16" s="166">
        <f t="shared" si="15"/>
        <v>44562</v>
      </c>
      <c r="L16" s="167"/>
      <c r="M16" s="168"/>
      <c r="N16" s="168"/>
      <c r="O16" s="168"/>
      <c r="P16" s="168"/>
      <c r="Q16" s="168" t="str">
        <f t="shared" si="13"/>
        <v/>
      </c>
      <c r="R16" s="169" t="str">
        <f t="shared" si="14"/>
        <v/>
      </c>
      <c r="S16" s="170">
        <f>IF(N16&gt;0,IFERROR(GETPIVOTDATA("act_qty",RECPT!$A$63,"yymm","202201","unit","KRB","comm","F"),0),)</f>
        <v>0</v>
      </c>
      <c r="T16" s="104"/>
      <c r="U16" s="166">
        <f t="shared" si="16"/>
        <v>44562</v>
      </c>
      <c r="V16" s="167">
        <v>63.63</v>
      </c>
      <c r="W16" s="168">
        <v>2.59</v>
      </c>
      <c r="X16" s="168">
        <v>1.91</v>
      </c>
      <c r="Y16" s="168">
        <v>22.92</v>
      </c>
      <c r="Z16" s="168">
        <v>11.04</v>
      </c>
      <c r="AA16" s="168">
        <f t="shared" si="2"/>
        <v>4.5</v>
      </c>
      <c r="AB16" s="169">
        <f t="shared" si="3"/>
        <v>0.73745173745173742</v>
      </c>
      <c r="AC16" s="170">
        <f>IF(X16&gt;0,IFERROR(GETPIVOTDATA("act_qty",RECPT!$A$63,"yymm","202201","unit","BOL","comm","L"),0),)</f>
        <v>27293.88</v>
      </c>
      <c r="AD16" s="119"/>
      <c r="AE16" s="172">
        <f t="shared" si="4"/>
        <v>44562</v>
      </c>
      <c r="AF16" s="167">
        <v>63.24</v>
      </c>
      <c r="AG16" s="168">
        <v>3.25</v>
      </c>
      <c r="AH16" s="168">
        <v>1.86</v>
      </c>
      <c r="AI16" s="168">
        <v>6.86</v>
      </c>
      <c r="AJ16" s="168">
        <v>44.8</v>
      </c>
      <c r="AK16" s="168">
        <f t="shared" si="5"/>
        <v>5.1100000000000003</v>
      </c>
      <c r="AL16" s="169">
        <f t="shared" si="6"/>
        <v>0.5723076923076923</v>
      </c>
      <c r="AM16" s="170">
        <f>IF(AH16&gt;0,IFERROR(GETPIVOTDATA("act_qty",RECPT!$A$63,"yymm","202201","unit","BOL","comm","F"),0),)</f>
        <v>41022</v>
      </c>
      <c r="AN16" s="104"/>
      <c r="AO16" s="172">
        <f t="shared" si="7"/>
        <v>44562</v>
      </c>
      <c r="AP16" s="167"/>
      <c r="AQ16" s="168"/>
      <c r="AR16" s="168"/>
      <c r="AS16" s="168"/>
      <c r="AT16" s="168"/>
      <c r="AU16" s="168" t="str">
        <f t="shared" si="8"/>
        <v/>
      </c>
      <c r="AV16" s="169" t="str">
        <f t="shared" si="9"/>
        <v/>
      </c>
      <c r="AW16" s="170">
        <f>IF(AR16&gt;0,IFERROR(GETPIVOTDATA("act_qty",RECPT!$A$63,"yymm","202201","unit","MBR","comm","L"),0),)</f>
        <v>0</v>
      </c>
      <c r="AX16" s="104"/>
      <c r="AY16" s="172">
        <f t="shared" si="10"/>
        <v>44562</v>
      </c>
      <c r="AZ16" s="167">
        <v>60.88</v>
      </c>
      <c r="BA16" s="168">
        <v>7.75</v>
      </c>
      <c r="BB16" s="168">
        <v>1.29</v>
      </c>
      <c r="BC16" s="168">
        <v>6.24</v>
      </c>
      <c r="BD16" s="168">
        <v>48.54</v>
      </c>
      <c r="BE16" s="168">
        <f t="shared" si="11"/>
        <v>9.0399999999999991</v>
      </c>
      <c r="BF16" s="169">
        <f t="shared" si="12"/>
        <v>0.1664516129032258</v>
      </c>
      <c r="BG16" s="170">
        <f>IF(BB16&gt;0,IFERROR(GETPIVOTDATA("act_qty",RECPT!$A$63,"yymm","202201","unit","MBR","comm","F"),0),)</f>
        <v>34707</v>
      </c>
    </row>
    <row r="17" spans="1:59" ht="21" x14ac:dyDescent="0.25">
      <c r="A17" s="166">
        <v>44593</v>
      </c>
      <c r="B17" s="167"/>
      <c r="C17" s="168"/>
      <c r="D17" s="168"/>
      <c r="E17" s="168"/>
      <c r="F17" s="168"/>
      <c r="G17" s="168" t="str">
        <f t="shared" si="0"/>
        <v/>
      </c>
      <c r="H17" s="169" t="str">
        <f t="shared" si="1"/>
        <v/>
      </c>
      <c r="I17" s="170">
        <f>IF(D17&gt;0,IFERROR(GETPIVOTDATA("act_qty",RECPT!$A$63,"yymm","202202","unit","KRB","comm","L"),0),)</f>
        <v>0</v>
      </c>
      <c r="J17" s="119"/>
      <c r="K17" s="166">
        <f t="shared" si="15"/>
        <v>44593</v>
      </c>
      <c r="L17" s="167"/>
      <c r="M17" s="168"/>
      <c r="N17" s="168"/>
      <c r="O17" s="168"/>
      <c r="P17" s="168"/>
      <c r="Q17" s="168" t="str">
        <f t="shared" si="13"/>
        <v/>
      </c>
      <c r="R17" s="169" t="str">
        <f t="shared" si="14"/>
        <v/>
      </c>
      <c r="S17" s="170">
        <f>IF(N17&gt;0,IFERROR(GETPIVOTDATA("act_qty",RECPT!$A$63,"yymm","202202","unit","KRB","comm","F"),0),)</f>
        <v>0</v>
      </c>
      <c r="T17" s="104"/>
      <c r="U17" s="166">
        <f t="shared" si="16"/>
        <v>44593</v>
      </c>
      <c r="V17" s="167">
        <v>64.33</v>
      </c>
      <c r="W17" s="168">
        <v>2.1800000000000002</v>
      </c>
      <c r="X17" s="168">
        <v>1.3</v>
      </c>
      <c r="Y17" s="168">
        <v>14.93</v>
      </c>
      <c r="Z17" s="168">
        <v>13.15</v>
      </c>
      <c r="AA17" s="168">
        <f t="shared" si="2"/>
        <v>3.4800000000000004</v>
      </c>
      <c r="AB17" s="169">
        <f t="shared" si="3"/>
        <v>0.59633027522935778</v>
      </c>
      <c r="AC17" s="170">
        <f>IF(X17&gt;0,IFERROR(GETPIVOTDATA("act_qty",RECPT!$A$63,"yymm","202202","unit","BOL","comm","L"),0),)</f>
        <v>15903.21</v>
      </c>
      <c r="AD17" s="119"/>
      <c r="AE17" s="172">
        <f t="shared" si="4"/>
        <v>44593</v>
      </c>
      <c r="AF17" s="167">
        <v>63.44</v>
      </c>
      <c r="AG17" s="168">
        <v>3.23</v>
      </c>
      <c r="AH17" s="168">
        <v>1.74</v>
      </c>
      <c r="AI17" s="168">
        <v>7.56</v>
      </c>
      <c r="AJ17" s="168">
        <v>42.69</v>
      </c>
      <c r="AK17" s="168">
        <f t="shared" si="5"/>
        <v>4.97</v>
      </c>
      <c r="AL17" s="169">
        <f t="shared" si="6"/>
        <v>0.53869969040247678</v>
      </c>
      <c r="AM17" s="170">
        <f>IF(AH17&gt;0,IFERROR(GETPIVOTDATA("act_qty",RECPT!$A$63,"yymm","202202","unit","BOL","comm","F"),0),)</f>
        <v>18693.099999999999</v>
      </c>
      <c r="AN17" s="104"/>
      <c r="AO17" s="172">
        <f t="shared" si="7"/>
        <v>44593</v>
      </c>
      <c r="AP17" s="167"/>
      <c r="AQ17" s="168"/>
      <c r="AR17" s="168"/>
      <c r="AS17" s="168"/>
      <c r="AT17" s="168"/>
      <c r="AU17" s="168" t="str">
        <f t="shared" si="8"/>
        <v/>
      </c>
      <c r="AV17" s="169" t="str">
        <f t="shared" si="9"/>
        <v/>
      </c>
      <c r="AW17" s="170">
        <f>IF(AR17&gt;0,IFERROR(GETPIVOTDATA("act_qty",RECPT!$A$63,"yymm","202202","unit","MBR","comm","L"),0),)</f>
        <v>0</v>
      </c>
      <c r="AX17" s="104"/>
      <c r="AY17" s="172">
        <f t="shared" si="10"/>
        <v>44593</v>
      </c>
      <c r="AZ17" s="167">
        <v>60.77</v>
      </c>
      <c r="BA17" s="168">
        <v>7.25</v>
      </c>
      <c r="BB17" s="168">
        <v>1.68</v>
      </c>
      <c r="BC17" s="168">
        <v>7.59</v>
      </c>
      <c r="BD17" s="168">
        <v>43.26</v>
      </c>
      <c r="BE17" s="168">
        <f t="shared" si="11"/>
        <v>8.93</v>
      </c>
      <c r="BF17" s="169">
        <f t="shared" si="12"/>
        <v>0.23172413793103447</v>
      </c>
      <c r="BG17" s="170">
        <f>IF(BB17&gt;0,IFERROR(GETPIVOTDATA("act_qty",RECPT!$A$63,"yymm","202202","unit","MBR","comm","F"),0),)</f>
        <v>41347.800000000003</v>
      </c>
    </row>
    <row r="18" spans="1:59" ht="21.5" thickBot="1" x14ac:dyDescent="0.3">
      <c r="A18" s="166">
        <v>44621</v>
      </c>
      <c r="B18" s="183"/>
      <c r="C18" s="184"/>
      <c r="D18" s="184"/>
      <c r="E18" s="168"/>
      <c r="F18" s="168"/>
      <c r="G18" s="168" t="str">
        <f t="shared" si="0"/>
        <v/>
      </c>
      <c r="H18" s="169" t="str">
        <f t="shared" si="1"/>
        <v/>
      </c>
      <c r="I18" s="170">
        <f>IF(D18&gt;0,IFERROR(GETPIVOTDATA("act_qty",RECPT!$A$63,"yymm","202203","unit","KRB","comm","L"),0),)</f>
        <v>0</v>
      </c>
      <c r="J18" s="119"/>
      <c r="K18" s="166">
        <f t="shared" si="15"/>
        <v>44621</v>
      </c>
      <c r="L18" s="183"/>
      <c r="M18" s="184"/>
      <c r="N18" s="184"/>
      <c r="O18" s="168"/>
      <c r="P18" s="168"/>
      <c r="Q18" s="168" t="str">
        <f t="shared" si="13"/>
        <v/>
      </c>
      <c r="R18" s="169" t="str">
        <f t="shared" si="14"/>
        <v/>
      </c>
      <c r="S18" s="170">
        <f>IF(N18&gt;0,IFERROR(GETPIVOTDATA("act_qty",RECPT!$A$63,"yymm","202203","unit","KRB","comm","F"),0),)</f>
        <v>0</v>
      </c>
      <c r="T18" s="104"/>
      <c r="U18" s="166">
        <f t="shared" si="16"/>
        <v>44621</v>
      </c>
      <c r="V18" s="183">
        <v>64.5</v>
      </c>
      <c r="W18" s="184">
        <v>2.29</v>
      </c>
      <c r="X18" s="184">
        <v>1.27</v>
      </c>
      <c r="Y18" s="168">
        <v>7.14</v>
      </c>
      <c r="Z18" s="168">
        <v>17.62</v>
      </c>
      <c r="AA18" s="168">
        <f t="shared" si="2"/>
        <v>3.56</v>
      </c>
      <c r="AB18" s="169">
        <f t="shared" si="3"/>
        <v>0.55458515283842791</v>
      </c>
      <c r="AC18" s="170">
        <f>IF(X18&gt;0,IFERROR(GETPIVOTDATA("act_qty",RECPT!$A$63,"yymm","202203","unit","BOL","comm","L"),0),)</f>
        <v>1927.8</v>
      </c>
      <c r="AD18" s="119"/>
      <c r="AE18" s="185">
        <f t="shared" si="4"/>
        <v>44621</v>
      </c>
      <c r="AF18" s="183">
        <v>63.39</v>
      </c>
      <c r="AG18" s="184">
        <v>3.47</v>
      </c>
      <c r="AH18" s="184">
        <v>1.35</v>
      </c>
      <c r="AI18" s="168">
        <v>7.19</v>
      </c>
      <c r="AJ18" s="168">
        <v>44.9</v>
      </c>
      <c r="AK18" s="168">
        <f t="shared" si="5"/>
        <v>4.82</v>
      </c>
      <c r="AL18" s="169">
        <f t="shared" si="6"/>
        <v>0.38904899135446686</v>
      </c>
      <c r="AM18" s="170">
        <f>IF(AH18&gt;0,IFERROR(GETPIVOTDATA("act_qty",RECPT!$A$63,"yymm","202203","unit","BOL","comm","F"),0),)</f>
        <v>53832.6</v>
      </c>
      <c r="AN18" s="104"/>
      <c r="AO18" s="172">
        <f t="shared" si="7"/>
        <v>44621</v>
      </c>
      <c r="AP18" s="183"/>
      <c r="AQ18" s="184"/>
      <c r="AR18" s="184"/>
      <c r="AS18" s="168"/>
      <c r="AT18" s="168"/>
      <c r="AU18" s="168" t="str">
        <f t="shared" si="8"/>
        <v/>
      </c>
      <c r="AV18" s="169" t="str">
        <f t="shared" si="9"/>
        <v/>
      </c>
      <c r="AW18" s="170">
        <f>IF(AR18&gt;0,IFERROR(GETPIVOTDATA("act_qty",RECPT!$A$63,"yymm","202203","unit","MBR","comm","L"),0),)</f>
        <v>0</v>
      </c>
      <c r="AX18" s="104"/>
      <c r="AY18" s="172">
        <f t="shared" si="10"/>
        <v>44621</v>
      </c>
      <c r="AZ18" s="183">
        <v>60.82</v>
      </c>
      <c r="BA18" s="184">
        <v>7.06</v>
      </c>
      <c r="BB18" s="184">
        <v>1.98</v>
      </c>
      <c r="BC18" s="168">
        <v>7.38</v>
      </c>
      <c r="BD18" s="168">
        <v>45.47</v>
      </c>
      <c r="BE18" s="168">
        <f t="shared" si="11"/>
        <v>9.0399999999999991</v>
      </c>
      <c r="BF18" s="169">
        <f t="shared" si="12"/>
        <v>0.28045325779036828</v>
      </c>
      <c r="BG18" s="170">
        <f>IF(BB18&gt;0,IFERROR(GETPIVOTDATA("act_qty",RECPT!$A$63,"yymm","202203","unit","MBR","comm","F"),0),)</f>
        <v>29503.9</v>
      </c>
    </row>
    <row r="19" spans="1:59" ht="21.5" thickBot="1" x14ac:dyDescent="0.3">
      <c r="A19" s="191" t="s">
        <v>42</v>
      </c>
      <c r="B19" s="192"/>
      <c r="C19" s="192"/>
      <c r="D19" s="192"/>
      <c r="E19" s="192"/>
      <c r="F19" s="192"/>
      <c r="G19" s="193" t="str">
        <f t="shared" si="0"/>
        <v/>
      </c>
      <c r="H19" s="194" t="str">
        <f t="shared" si="1"/>
        <v/>
      </c>
      <c r="I19" s="195">
        <f>SUM(I7:I18)</f>
        <v>0</v>
      </c>
      <c r="J19" s="119"/>
      <c r="K19" s="191" t="s">
        <v>42</v>
      </c>
      <c r="L19" s="192"/>
      <c r="M19" s="192"/>
      <c r="N19" s="192"/>
      <c r="O19" s="192"/>
      <c r="P19" s="192"/>
      <c r="Q19" s="193" t="str">
        <f t="shared" si="13"/>
        <v/>
      </c>
      <c r="R19" s="194" t="str">
        <f t="shared" si="14"/>
        <v/>
      </c>
      <c r="S19" s="195">
        <f>SUM(S7:S18)</f>
        <v>0</v>
      </c>
      <c r="T19" s="104"/>
      <c r="U19" s="191" t="s">
        <v>42</v>
      </c>
      <c r="V19" s="192">
        <v>63.41</v>
      </c>
      <c r="W19" s="192">
        <v>3.18</v>
      </c>
      <c r="X19" s="192">
        <v>1.55</v>
      </c>
      <c r="Y19" s="192">
        <v>14.84</v>
      </c>
      <c r="Z19" s="192">
        <v>8.42</v>
      </c>
      <c r="AA19" s="193">
        <f t="shared" si="2"/>
        <v>4.7300000000000004</v>
      </c>
      <c r="AB19" s="194">
        <f t="shared" si="3"/>
        <v>0.48742138364779874</v>
      </c>
      <c r="AC19" s="195">
        <f>SUM(AC7:AC18)</f>
        <v>255887.22999999995</v>
      </c>
      <c r="AD19" s="171"/>
      <c r="AE19" s="196" t="str">
        <f t="shared" si="4"/>
        <v>CUMML</v>
      </c>
      <c r="AF19" s="192">
        <v>62.94</v>
      </c>
      <c r="AG19" s="192">
        <v>3.71</v>
      </c>
      <c r="AH19" s="192">
        <v>1.85</v>
      </c>
      <c r="AI19" s="192">
        <v>8.14</v>
      </c>
      <c r="AJ19" s="192">
        <v>41.83</v>
      </c>
      <c r="AK19" s="193">
        <f t="shared" si="5"/>
        <v>5.5600000000000005</v>
      </c>
      <c r="AL19" s="194">
        <f t="shared" si="6"/>
        <v>0.49865229110512133</v>
      </c>
      <c r="AM19" s="195">
        <f>SUM(AM7:AM18)</f>
        <v>394281.30999999994</v>
      </c>
      <c r="AN19" s="104"/>
      <c r="AO19" s="197" t="s">
        <v>42</v>
      </c>
      <c r="AP19" s="192"/>
      <c r="AQ19" s="192"/>
      <c r="AR19" s="192"/>
      <c r="AS19" s="192"/>
      <c r="AT19" s="192"/>
      <c r="AU19" s="193" t="str">
        <f t="shared" si="8"/>
        <v/>
      </c>
      <c r="AV19" s="194" t="str">
        <f t="shared" si="9"/>
        <v/>
      </c>
      <c r="AW19" s="195">
        <f>SUM(AW7:AW18)</f>
        <v>0</v>
      </c>
      <c r="AX19" s="104"/>
      <c r="AY19" s="197" t="str">
        <f t="shared" si="10"/>
        <v>CUMML</v>
      </c>
      <c r="AZ19" s="192">
        <v>60.85</v>
      </c>
      <c r="BA19" s="192">
        <v>7</v>
      </c>
      <c r="BB19" s="192">
        <v>1.88</v>
      </c>
      <c r="BC19" s="192">
        <v>8.2200000000000006</v>
      </c>
      <c r="BD19" s="192">
        <v>41.13</v>
      </c>
      <c r="BE19" s="193">
        <f t="shared" si="11"/>
        <v>8.879999999999999</v>
      </c>
      <c r="BF19" s="194">
        <f t="shared" si="12"/>
        <v>0.26857142857142857</v>
      </c>
      <c r="BG19" s="195">
        <f>SUM(BG7:BG18)</f>
        <v>477368.5</v>
      </c>
    </row>
    <row r="20" spans="1:59" s="7" customFormat="1" ht="21" x14ac:dyDescent="0.25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152"/>
      <c r="U20" s="104"/>
      <c r="V20" s="205">
        <f>V14*1.4298+AA14</f>
        <v>95.328776000000005</v>
      </c>
      <c r="W20" s="104"/>
      <c r="X20" s="104"/>
      <c r="Y20" s="104"/>
      <c r="Z20" s="104"/>
      <c r="AA20" s="104"/>
      <c r="AB20" s="119"/>
      <c r="AC20" s="119"/>
      <c r="AD20" s="104"/>
      <c r="AE20" s="104"/>
      <c r="AF20" s="205">
        <f>AF14*1.4298+AK14</f>
        <v>95.572213999999988</v>
      </c>
      <c r="AG20" s="104"/>
      <c r="AH20" s="104"/>
      <c r="AI20" s="104"/>
      <c r="AJ20" s="104"/>
      <c r="AK20" s="104"/>
      <c r="AL20" s="104"/>
      <c r="AM20" s="104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>
        <f>AZ14*1.4298+BE14</f>
        <v>95.909661999999983</v>
      </c>
      <c r="BA20" s="205"/>
      <c r="BB20" s="205"/>
      <c r="BC20" s="205"/>
      <c r="BD20" s="205"/>
      <c r="BE20" s="205"/>
      <c r="BF20" s="205"/>
      <c r="BG20" s="205"/>
    </row>
    <row r="21" spans="1:59" s="12" customFormat="1" ht="21" x14ac:dyDescent="0.25">
      <c r="A21" s="211"/>
      <c r="B21" s="212"/>
      <c r="C21" s="212"/>
      <c r="D21" s="212"/>
      <c r="E21" s="212"/>
      <c r="F21" s="212"/>
      <c r="G21" s="212"/>
      <c r="H21" s="212"/>
      <c r="I21" s="283"/>
      <c r="J21" s="212"/>
      <c r="K21" s="211"/>
      <c r="L21" s="212"/>
      <c r="M21" s="212"/>
      <c r="N21" s="212"/>
      <c r="O21" s="212"/>
      <c r="P21" s="212"/>
      <c r="Q21" s="212"/>
      <c r="R21" s="212"/>
      <c r="S21" s="283"/>
      <c r="T21" s="213"/>
      <c r="U21" s="213"/>
      <c r="V21" s="212">
        <f>V19*1.4298+AA19</f>
        <v>95.393618000000004</v>
      </c>
      <c r="W21" s="212"/>
      <c r="X21" s="212"/>
      <c r="Y21" s="212"/>
      <c r="Z21" s="212"/>
      <c r="AA21" s="212"/>
      <c r="AB21" s="212"/>
      <c r="AC21" s="283"/>
      <c r="AD21" s="213"/>
      <c r="AE21" s="213"/>
      <c r="AF21" s="212">
        <f>AF19*1.4298+AK19</f>
        <v>95.551611999999992</v>
      </c>
      <c r="AG21" s="212"/>
      <c r="AH21" s="212"/>
      <c r="AI21" s="212"/>
      <c r="AJ21" s="212"/>
      <c r="AK21" s="212"/>
      <c r="AL21" s="212"/>
      <c r="AM21" s="213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>
        <f>AZ19*1.4298+BE19</f>
        <v>95.883330000000001</v>
      </c>
      <c r="BA21" s="212"/>
      <c r="BB21" s="212"/>
      <c r="BC21" s="212"/>
      <c r="BD21" s="212"/>
      <c r="BE21" s="212"/>
      <c r="BF21" s="212"/>
      <c r="BG21" s="212"/>
    </row>
    <row r="22" spans="1:59" s="12" customFormat="1" ht="23.5" x14ac:dyDescent="0.25">
      <c r="A22" s="221"/>
      <c r="B22" s="205"/>
      <c r="C22" s="205"/>
      <c r="D22" s="205"/>
      <c r="E22" s="205"/>
      <c r="F22" s="205"/>
      <c r="G22" s="205"/>
      <c r="H22" s="205"/>
      <c r="I22" s="222"/>
      <c r="J22" s="212"/>
      <c r="K22" s="221"/>
      <c r="L22" s="205"/>
      <c r="M22" s="205"/>
      <c r="N22" s="205"/>
      <c r="O22" s="205"/>
      <c r="P22" s="205"/>
      <c r="Q22" s="205"/>
      <c r="R22" s="205"/>
      <c r="S22" s="222"/>
      <c r="T22" s="213"/>
      <c r="U22" s="223"/>
      <c r="V22" s="224"/>
      <c r="W22" s="224"/>
      <c r="X22" s="224"/>
      <c r="Y22" s="224"/>
      <c r="Z22" s="224"/>
      <c r="AA22" s="224"/>
      <c r="AB22" s="224"/>
      <c r="AC22" s="224"/>
      <c r="AD22" s="213"/>
      <c r="AE22" s="223"/>
      <c r="AF22" s="224"/>
      <c r="AG22" s="224"/>
      <c r="AH22" s="224"/>
      <c r="AI22" s="224"/>
      <c r="AJ22" s="224"/>
      <c r="AK22" s="224"/>
      <c r="AL22" s="224"/>
      <c r="AM22" s="224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3"/>
      <c r="AZ22" s="224"/>
      <c r="BA22" s="224"/>
      <c r="BB22" s="224"/>
      <c r="BC22" s="224"/>
      <c r="BD22" s="224"/>
      <c r="BE22" s="224"/>
      <c r="BF22" s="224"/>
      <c r="BG22" s="213"/>
    </row>
    <row r="23" spans="1:59" ht="28.5" x14ac:dyDescent="0.6">
      <c r="A23" s="586" t="s">
        <v>43</v>
      </c>
      <c r="B23" s="586"/>
      <c r="C23" s="586"/>
      <c r="D23" s="585" t="s">
        <v>30</v>
      </c>
      <c r="E23" s="585"/>
      <c r="F23" s="585"/>
      <c r="G23" s="110"/>
      <c r="H23" s="110"/>
      <c r="I23" s="110"/>
      <c r="J23" s="219"/>
      <c r="K23" s="586" t="s">
        <v>43</v>
      </c>
      <c r="L23" s="586"/>
      <c r="M23" s="586"/>
      <c r="N23" s="585" t="s">
        <v>31</v>
      </c>
      <c r="O23" s="585"/>
      <c r="P23" s="585"/>
      <c r="Q23" s="228"/>
      <c r="R23" s="228"/>
      <c r="S23" s="228"/>
      <c r="T23" s="111"/>
      <c r="U23" s="586" t="s">
        <v>44</v>
      </c>
      <c r="V23" s="586"/>
      <c r="W23" s="586"/>
      <c r="X23" s="585" t="s">
        <v>30</v>
      </c>
      <c r="Y23" s="585"/>
      <c r="Z23" s="585"/>
      <c r="AA23" s="110"/>
      <c r="AB23" s="110"/>
      <c r="AC23" s="110"/>
      <c r="AD23" s="111"/>
      <c r="AE23" s="586" t="s">
        <v>44</v>
      </c>
      <c r="AF23" s="586"/>
      <c r="AG23" s="586"/>
      <c r="AH23" s="585" t="s">
        <v>31</v>
      </c>
      <c r="AI23" s="585"/>
      <c r="AJ23" s="585"/>
      <c r="AK23" s="110"/>
      <c r="AL23" s="110"/>
      <c r="AM23" s="110"/>
      <c r="AN23" s="111"/>
      <c r="AO23" s="586" t="s">
        <v>45</v>
      </c>
      <c r="AP23" s="586"/>
      <c r="AQ23" s="586"/>
      <c r="AR23" s="585" t="s">
        <v>30</v>
      </c>
      <c r="AS23" s="585"/>
      <c r="AT23" s="585"/>
      <c r="AU23" s="110"/>
      <c r="AV23" s="110"/>
      <c r="AW23" s="110"/>
      <c r="AX23" s="111"/>
      <c r="AY23" s="586" t="s">
        <v>45</v>
      </c>
      <c r="AZ23" s="586"/>
      <c r="BA23" s="586"/>
      <c r="BB23" s="585" t="s">
        <v>31</v>
      </c>
      <c r="BC23" s="585"/>
      <c r="BD23" s="585"/>
      <c r="BE23" s="110"/>
      <c r="BF23" s="110"/>
      <c r="BG23" s="110"/>
    </row>
    <row r="24" spans="1:59" ht="13" customHeight="1" thickBot="1" x14ac:dyDescent="0.3">
      <c r="A24" s="103"/>
      <c r="B24" s="230"/>
      <c r="C24" s="230"/>
      <c r="D24" s="230"/>
      <c r="E24" s="230"/>
      <c r="F24" s="230"/>
      <c r="G24" s="230"/>
      <c r="H24" s="230"/>
      <c r="I24" s="103"/>
      <c r="J24" s="212"/>
      <c r="K24" s="103"/>
      <c r="L24" s="103"/>
      <c r="M24" s="103"/>
      <c r="N24" s="103"/>
      <c r="O24" s="103"/>
      <c r="P24" s="103"/>
      <c r="Q24" s="103"/>
      <c r="R24" s="103"/>
      <c r="S24" s="103"/>
      <c r="T24" s="104"/>
      <c r="U24" s="103"/>
      <c r="V24" s="103"/>
      <c r="W24" s="103"/>
      <c r="X24" s="103"/>
      <c r="Y24" s="103"/>
      <c r="Z24" s="103"/>
      <c r="AA24" s="103"/>
      <c r="AB24" s="103"/>
      <c r="AC24" s="103"/>
      <c r="AD24" s="104"/>
      <c r="AE24" s="103"/>
      <c r="AF24" s="103"/>
      <c r="AG24" s="103"/>
      <c r="AH24" s="103"/>
      <c r="AI24" s="103"/>
      <c r="AJ24" s="103"/>
      <c r="AK24" s="103"/>
      <c r="AL24" s="103"/>
      <c r="AM24" s="103"/>
      <c r="AN24" s="104"/>
      <c r="AO24" s="103"/>
      <c r="AP24" s="103"/>
      <c r="AQ24" s="103"/>
      <c r="AR24" s="103"/>
      <c r="AS24" s="103"/>
      <c r="AT24" s="103"/>
      <c r="AU24" s="103"/>
      <c r="AV24" s="103"/>
      <c r="AW24" s="103"/>
      <c r="AX24" s="104"/>
      <c r="AY24" s="103"/>
      <c r="AZ24" s="103"/>
      <c r="BA24" s="103"/>
      <c r="BB24" s="103"/>
      <c r="BC24" s="103"/>
      <c r="BD24" s="103"/>
      <c r="BE24" s="103"/>
      <c r="BF24" s="103"/>
      <c r="BG24" s="103"/>
    </row>
    <row r="25" spans="1:59" ht="22.5" customHeight="1" thickBot="1" x14ac:dyDescent="0.3">
      <c r="A25" s="119"/>
      <c r="B25" s="120" t="s">
        <v>34</v>
      </c>
      <c r="C25" s="121" t="s">
        <v>35</v>
      </c>
      <c r="D25" s="121" t="s">
        <v>36</v>
      </c>
      <c r="E25" s="121" t="s">
        <v>37</v>
      </c>
      <c r="F25" s="121" t="s">
        <v>38</v>
      </c>
      <c r="G25" s="124" t="s">
        <v>39</v>
      </c>
      <c r="H25" s="121" t="s">
        <v>40</v>
      </c>
      <c r="I25" s="123" t="s">
        <v>41</v>
      </c>
      <c r="J25" s="212"/>
      <c r="K25" s="119"/>
      <c r="L25" s="120" t="s">
        <v>34</v>
      </c>
      <c r="M25" s="121" t="s">
        <v>35</v>
      </c>
      <c r="N25" s="121" t="s">
        <v>36</v>
      </c>
      <c r="O25" s="121" t="s">
        <v>37</v>
      </c>
      <c r="P25" s="121" t="s">
        <v>38</v>
      </c>
      <c r="Q25" s="124" t="s">
        <v>39</v>
      </c>
      <c r="R25" s="121" t="s">
        <v>40</v>
      </c>
      <c r="S25" s="123" t="s">
        <v>41</v>
      </c>
      <c r="T25" s="104"/>
      <c r="U25" s="126"/>
      <c r="V25" s="120" t="s">
        <v>34</v>
      </c>
      <c r="W25" s="121" t="s">
        <v>35</v>
      </c>
      <c r="X25" s="121" t="s">
        <v>36</v>
      </c>
      <c r="Y25" s="121" t="s">
        <v>37</v>
      </c>
      <c r="Z25" s="125" t="s">
        <v>38</v>
      </c>
      <c r="AA25" s="121" t="s">
        <v>39</v>
      </c>
      <c r="AB25" s="121" t="s">
        <v>40</v>
      </c>
      <c r="AC25" s="123" t="s">
        <v>41</v>
      </c>
      <c r="AD25" s="104"/>
      <c r="AE25" s="126"/>
      <c r="AF25" s="120" t="s">
        <v>34</v>
      </c>
      <c r="AG25" s="121" t="s">
        <v>35</v>
      </c>
      <c r="AH25" s="121" t="s">
        <v>36</v>
      </c>
      <c r="AI25" s="121" t="s">
        <v>37</v>
      </c>
      <c r="AJ25" s="125" t="s">
        <v>38</v>
      </c>
      <c r="AK25" s="121" t="s">
        <v>39</v>
      </c>
      <c r="AL25" s="121" t="s">
        <v>40</v>
      </c>
      <c r="AM25" s="123" t="s">
        <v>41</v>
      </c>
      <c r="AN25" s="104"/>
      <c r="AO25" s="126"/>
      <c r="AP25" s="120" t="s">
        <v>34</v>
      </c>
      <c r="AQ25" s="121" t="s">
        <v>35</v>
      </c>
      <c r="AR25" s="121" t="s">
        <v>36</v>
      </c>
      <c r="AS25" s="121" t="s">
        <v>37</v>
      </c>
      <c r="AT25" s="125" t="s">
        <v>38</v>
      </c>
      <c r="AU25" s="121" t="s">
        <v>39</v>
      </c>
      <c r="AV25" s="121" t="s">
        <v>40</v>
      </c>
      <c r="AW25" s="123" t="s">
        <v>41</v>
      </c>
      <c r="AX25" s="104"/>
      <c r="AY25" s="126"/>
      <c r="AZ25" s="120" t="s">
        <v>34</v>
      </c>
      <c r="BA25" s="121" t="s">
        <v>35</v>
      </c>
      <c r="BB25" s="121" t="s">
        <v>36</v>
      </c>
      <c r="BC25" s="121" t="s">
        <v>37</v>
      </c>
      <c r="BD25" s="125" t="s">
        <v>38</v>
      </c>
      <c r="BE25" s="121" t="s">
        <v>39</v>
      </c>
      <c r="BF25" s="121" t="s">
        <v>40</v>
      </c>
      <c r="BG25" s="123" t="s">
        <v>41</v>
      </c>
    </row>
    <row r="26" spans="1:59" ht="21" customHeight="1" thickBot="1" x14ac:dyDescent="0.3">
      <c r="A26" s="132" t="str">
        <f>A5</f>
        <v>Act 20-21</v>
      </c>
      <c r="B26" s="133">
        <v>63.18</v>
      </c>
      <c r="C26" s="133">
        <v>3.44</v>
      </c>
      <c r="D26" s="133">
        <v>1.86</v>
      </c>
      <c r="E26" s="133">
        <v>14.64</v>
      </c>
      <c r="F26" s="133">
        <v>4.3</v>
      </c>
      <c r="G26" s="134">
        <f t="shared" ref="G26:G40" si="17">IF(C26&gt;0,+D26+C26,"")</f>
        <v>5.3</v>
      </c>
      <c r="H26" s="134">
        <f t="shared" ref="H26:H40" si="18">IF(C26&gt;0,+D26/C26,"")</f>
        <v>0.54069767441860472</v>
      </c>
      <c r="I26" s="135"/>
      <c r="J26" s="212"/>
      <c r="K26" s="132" t="str">
        <f>K5</f>
        <v>Act 20-21</v>
      </c>
      <c r="L26" s="133">
        <v>62.14</v>
      </c>
      <c r="M26" s="133">
        <v>4.01</v>
      </c>
      <c r="N26" s="133">
        <v>2.76</v>
      </c>
      <c r="O26" s="133">
        <v>7.95</v>
      </c>
      <c r="P26" s="133">
        <v>42.33</v>
      </c>
      <c r="Q26" s="134">
        <f t="shared" ref="Q26:Q40" si="19">IF(M26&gt;0,+N26+M26,"")</f>
        <v>6.77</v>
      </c>
      <c r="R26" s="134">
        <f t="shared" ref="R26:R40" si="20">IF(M26&gt;0,+N26/M26,"")</f>
        <v>0.6882793017456359</v>
      </c>
      <c r="S26" s="135"/>
      <c r="T26" s="138"/>
      <c r="U26" s="136" t="str">
        <f t="shared" ref="U26:U40" si="21">K26</f>
        <v>Act 20-21</v>
      </c>
      <c r="V26" s="133">
        <v>60.8</v>
      </c>
      <c r="W26" s="133">
        <v>3.88</v>
      </c>
      <c r="X26" s="133">
        <v>4.9800000000000004</v>
      </c>
      <c r="Y26" s="133">
        <v>25.08</v>
      </c>
      <c r="Z26" s="133">
        <v>9.84</v>
      </c>
      <c r="AA26" s="134">
        <f t="shared" ref="AA26:AA40" si="22">IF(W26&gt;0,+X26+W26,"")</f>
        <v>8.86</v>
      </c>
      <c r="AB26" s="134">
        <f t="shared" ref="AB26:AB40" si="23">IF(W26&gt;0,+X26/W26,"")</f>
        <v>1.2835051546391754</v>
      </c>
      <c r="AC26" s="135"/>
      <c r="AD26" s="104"/>
      <c r="AE26" s="136" t="str">
        <f t="shared" ref="AE26:AE40" si="24">K26</f>
        <v>Act 20-21</v>
      </c>
      <c r="AF26" s="139"/>
      <c r="AG26" s="134"/>
      <c r="AH26" s="134"/>
      <c r="AI26" s="134"/>
      <c r="AJ26" s="134"/>
      <c r="AK26" s="134" t="str">
        <f t="shared" ref="AK26:AK40" si="25">IF(AG26&gt;0,+AH26+AG26,"")</f>
        <v/>
      </c>
      <c r="AL26" s="134" t="str">
        <f t="shared" ref="AL26:AL40" si="26">IF(AG26&gt;0,+AH26/AG26,"")</f>
        <v/>
      </c>
      <c r="AM26" s="140"/>
      <c r="AN26" s="104"/>
      <c r="AO26" s="136" t="str">
        <f t="shared" ref="AO26:AO40" si="27">K26</f>
        <v>Act 20-21</v>
      </c>
      <c r="AP26" s="133"/>
      <c r="AQ26" s="133"/>
      <c r="AR26" s="133"/>
      <c r="AS26" s="133"/>
      <c r="AT26" s="133"/>
      <c r="AU26" s="134" t="str">
        <f t="shared" ref="AU26:AU40" si="28">IF(AQ26&gt;0,+AR26+AQ26,"")</f>
        <v/>
      </c>
      <c r="AV26" s="134" t="str">
        <f t="shared" ref="AV26:AV40" si="29">IF(AQ26&gt;0,+AR26/AQ26,"")</f>
        <v/>
      </c>
      <c r="AW26" s="140"/>
      <c r="AX26" s="104"/>
      <c r="AY26" s="136" t="str">
        <f>$AO$26</f>
        <v>Act 20-21</v>
      </c>
      <c r="AZ26" s="133"/>
      <c r="BA26" s="133"/>
      <c r="BB26" s="133"/>
      <c r="BC26" s="133"/>
      <c r="BD26" s="133"/>
      <c r="BE26" s="134" t="str">
        <f t="shared" ref="BE26:BE40" si="30">IF(BA26&gt;0,+BB26+BA26,"")</f>
        <v/>
      </c>
      <c r="BF26" s="134" t="str">
        <f t="shared" ref="BF26:BF40" si="31">IF(BA26&gt;0,+BB26/BA26,"")</f>
        <v/>
      </c>
      <c r="BG26" s="140"/>
    </row>
    <row r="27" spans="1:59" s="7" customFormat="1" ht="21" x14ac:dyDescent="0.25">
      <c r="A27" s="145" t="str">
        <f>A6</f>
        <v>APP 21-22</v>
      </c>
      <c r="B27" s="146">
        <f t="array" ref="B27:F27">BSP!B27:F27</f>
        <v>62.5</v>
      </c>
      <c r="C27" s="147">
        <v>3.6</v>
      </c>
      <c r="D27" s="147">
        <v>2.2000000000000002</v>
      </c>
      <c r="E27" s="147">
        <v>10</v>
      </c>
      <c r="F27" s="147">
        <v>10</v>
      </c>
      <c r="G27" s="147">
        <f t="shared" si="17"/>
        <v>5.8000000000000007</v>
      </c>
      <c r="H27" s="148">
        <f t="shared" si="18"/>
        <v>0.61111111111111116</v>
      </c>
      <c r="I27" s="149"/>
      <c r="J27" s="150"/>
      <c r="K27" s="145" t="str">
        <f>A6</f>
        <v>APP 21-22</v>
      </c>
      <c r="L27" s="146">
        <f t="array" ref="L27:P27">BSP!L27:P27</f>
        <v>62</v>
      </c>
      <c r="M27" s="147">
        <v>3.8</v>
      </c>
      <c r="N27" s="147">
        <v>2.7</v>
      </c>
      <c r="O27" s="147">
        <v>7</v>
      </c>
      <c r="P27" s="147">
        <v>40</v>
      </c>
      <c r="Q27" s="147">
        <f t="shared" si="19"/>
        <v>6.5</v>
      </c>
      <c r="R27" s="148">
        <f t="shared" si="20"/>
        <v>0.71052631578947378</v>
      </c>
      <c r="S27" s="149"/>
      <c r="T27" s="152"/>
      <c r="U27" s="151" t="str">
        <f t="shared" si="21"/>
        <v>APP 21-22</v>
      </c>
      <c r="V27" s="146">
        <f t="array" ref="V27:Z27">BSP!V27:Z27</f>
        <v>62.3</v>
      </c>
      <c r="W27" s="147">
        <v>3</v>
      </c>
      <c r="X27" s="147">
        <v>2.95</v>
      </c>
      <c r="Y27" s="147">
        <v>10</v>
      </c>
      <c r="Z27" s="147">
        <v>10</v>
      </c>
      <c r="AA27" s="147">
        <f t="shared" si="22"/>
        <v>5.95</v>
      </c>
      <c r="AB27" s="148">
        <f t="shared" si="23"/>
        <v>0.98333333333333339</v>
      </c>
      <c r="AC27" s="149"/>
      <c r="AD27" s="104"/>
      <c r="AE27" s="151" t="str">
        <f t="shared" si="24"/>
        <v>APP 21-22</v>
      </c>
      <c r="AF27" s="147">
        <f t="array" ref="AF27:AJ27">BSP!AF27:AJ27</f>
        <v>61.3</v>
      </c>
      <c r="AG27" s="147">
        <v>3.6</v>
      </c>
      <c r="AH27" s="147">
        <v>3.6</v>
      </c>
      <c r="AI27" s="147">
        <v>7</v>
      </c>
      <c r="AJ27" s="147">
        <v>40</v>
      </c>
      <c r="AK27" s="147">
        <f t="shared" si="25"/>
        <v>7.2</v>
      </c>
      <c r="AL27" s="154">
        <f t="shared" si="26"/>
        <v>1</v>
      </c>
      <c r="AM27" s="155"/>
      <c r="AN27" s="152"/>
      <c r="AO27" s="151" t="str">
        <f t="shared" si="27"/>
        <v>APP 21-22</v>
      </c>
      <c r="AP27" s="146">
        <f t="array" ref="AP27:AT27">BSP!AP27:AT27</f>
        <v>63</v>
      </c>
      <c r="AQ27" s="147">
        <v>2.6</v>
      </c>
      <c r="AR27" s="147">
        <v>2.2000000000000002</v>
      </c>
      <c r="AS27" s="147">
        <v>5</v>
      </c>
      <c r="AT27" s="147">
        <v>5</v>
      </c>
      <c r="AU27" s="147">
        <f t="shared" si="28"/>
        <v>4.8000000000000007</v>
      </c>
      <c r="AV27" s="148">
        <f t="shared" si="29"/>
        <v>0.84615384615384615</v>
      </c>
      <c r="AW27" s="155"/>
      <c r="AX27" s="152"/>
      <c r="AY27" s="151" t="str">
        <f>AO27</f>
        <v>APP 21-22</v>
      </c>
      <c r="AZ27" s="146">
        <f t="array" ref="AZ27:BD27">BSP!AZ27:BD27</f>
        <v>63</v>
      </c>
      <c r="BA27" s="147">
        <v>2.9</v>
      </c>
      <c r="BB27" s="147">
        <v>2.5</v>
      </c>
      <c r="BC27" s="147">
        <v>5</v>
      </c>
      <c r="BD27" s="147">
        <v>40</v>
      </c>
      <c r="BE27" s="147">
        <f t="shared" si="30"/>
        <v>5.4</v>
      </c>
      <c r="BF27" s="148">
        <f t="shared" si="31"/>
        <v>0.86206896551724144</v>
      </c>
      <c r="BG27" s="155"/>
    </row>
    <row r="28" spans="1:59" ht="21" x14ac:dyDescent="0.25">
      <c r="A28" s="166">
        <f>A7</f>
        <v>44287</v>
      </c>
      <c r="B28" s="167">
        <v>62.86</v>
      </c>
      <c r="C28" s="168">
        <v>3.47</v>
      </c>
      <c r="D28" s="168">
        <v>2</v>
      </c>
      <c r="E28" s="168">
        <v>11.73</v>
      </c>
      <c r="F28" s="168">
        <v>3.34</v>
      </c>
      <c r="G28" s="168">
        <f t="shared" si="17"/>
        <v>5.4700000000000006</v>
      </c>
      <c r="H28" s="169">
        <f t="shared" si="18"/>
        <v>0.57636887608069165</v>
      </c>
      <c r="I28" s="170">
        <f>IF(D28&gt;0,IFERROR(GETPIVOTDATA("act_qty",RECPT!$A$63,"yymm","202104","unit","GUA","comm","L"),0),)</f>
        <v>38630</v>
      </c>
      <c r="J28" s="119"/>
      <c r="K28" s="166">
        <f>A7</f>
        <v>44287</v>
      </c>
      <c r="L28" s="167">
        <v>61.09</v>
      </c>
      <c r="M28" s="168">
        <v>4.3</v>
      </c>
      <c r="N28" s="168">
        <v>3.72</v>
      </c>
      <c r="O28" s="168">
        <v>7.48</v>
      </c>
      <c r="P28" s="168">
        <v>44.18</v>
      </c>
      <c r="Q28" s="168">
        <f t="shared" si="19"/>
        <v>8.02</v>
      </c>
      <c r="R28" s="169">
        <f t="shared" si="20"/>
        <v>0.86511627906976751</v>
      </c>
      <c r="S28" s="170">
        <f>IF(N28&gt;0,IFERROR(GETPIVOTDATA("act_qty",RECPT!$A$63,"yymm","202104","unit","GUA","comm","F"),0),)</f>
        <v>162189</v>
      </c>
      <c r="T28" s="104"/>
      <c r="U28" s="172">
        <f t="shared" si="21"/>
        <v>44287</v>
      </c>
      <c r="V28" s="167"/>
      <c r="W28" s="168"/>
      <c r="X28" s="168"/>
      <c r="Y28" s="168"/>
      <c r="Z28" s="168"/>
      <c r="AA28" s="168" t="str">
        <f t="shared" si="22"/>
        <v/>
      </c>
      <c r="AB28" s="169" t="str">
        <f t="shared" si="23"/>
        <v/>
      </c>
      <c r="AC28" s="170">
        <f>IF(X28&gt;0,IFERROR(GETPIVOTDATA("act_qty",RECPT!$A$63,"yymm","202104","unit","BAR","comm","L"),0),)</f>
        <v>0</v>
      </c>
      <c r="AD28" s="104"/>
      <c r="AE28" s="172">
        <f t="shared" si="24"/>
        <v>44287</v>
      </c>
      <c r="AF28" s="167"/>
      <c r="AG28" s="168"/>
      <c r="AH28" s="168"/>
      <c r="AI28" s="168"/>
      <c r="AJ28" s="168"/>
      <c r="AK28" s="168" t="str">
        <f t="shared" si="25"/>
        <v/>
      </c>
      <c r="AL28" s="169" t="str">
        <f t="shared" si="26"/>
        <v/>
      </c>
      <c r="AM28" s="170">
        <f>IF(AH28&gt;0,IFERROR(GETPIVOTDATA("act_qty",RECPT!$A$63,"yymm","202104","unit","BAR","comm","F"),0),)</f>
        <v>0</v>
      </c>
      <c r="AN28" s="104"/>
      <c r="AO28" s="172">
        <f t="shared" si="27"/>
        <v>44287</v>
      </c>
      <c r="AP28" s="167"/>
      <c r="AQ28" s="168"/>
      <c r="AR28" s="168"/>
      <c r="AS28" s="168"/>
      <c r="AT28" s="168"/>
      <c r="AU28" s="168" t="str">
        <f t="shared" si="28"/>
        <v/>
      </c>
      <c r="AV28" s="169" t="str">
        <f t="shared" si="29"/>
        <v/>
      </c>
      <c r="AW28" s="170">
        <f>IF(AR28&gt;0,IFERROR(GETPIVOTDATA("act_qty",RECPT!$A$63,"yymm","202104","unit","KAL","comm","L"),0),)</f>
        <v>0</v>
      </c>
      <c r="AX28" s="104"/>
      <c r="AY28" s="172">
        <f t="shared" ref="AY28:AY40" si="32">AO28</f>
        <v>44287</v>
      </c>
      <c r="AZ28" s="167"/>
      <c r="BA28" s="168"/>
      <c r="BB28" s="168"/>
      <c r="BC28" s="168"/>
      <c r="BD28" s="168"/>
      <c r="BE28" s="168" t="str">
        <f t="shared" si="30"/>
        <v/>
      </c>
      <c r="BF28" s="169" t="str">
        <f t="shared" si="31"/>
        <v/>
      </c>
      <c r="BG28" s="170">
        <f>IF(BB28&gt;0,IFERROR(GETPIVOTDATA("act_qty",RECPT!$A$63,"yymm","202104","unit","KAL","comm","F"),0),)</f>
        <v>0</v>
      </c>
    </row>
    <row r="29" spans="1:59" ht="21" x14ac:dyDescent="0.25">
      <c r="A29" s="166">
        <f t="shared" ref="A29:A39" si="33">A8</f>
        <v>44317</v>
      </c>
      <c r="B29" s="167">
        <v>63.18</v>
      </c>
      <c r="C29" s="168">
        <v>3.4</v>
      </c>
      <c r="D29" s="168">
        <v>1.54</v>
      </c>
      <c r="E29" s="168">
        <v>14.28</v>
      </c>
      <c r="F29" s="168">
        <v>1.88</v>
      </c>
      <c r="G29" s="168">
        <f t="shared" si="17"/>
        <v>4.9399999999999995</v>
      </c>
      <c r="H29" s="169">
        <f t="shared" si="18"/>
        <v>0.45294117647058824</v>
      </c>
      <c r="I29" s="170">
        <f>IF(D29&gt;0,IFERROR(GETPIVOTDATA("act_qty",RECPT!$A$63,"yymm","202105","unit","GUA","comm","L"),0),)</f>
        <v>48167</v>
      </c>
      <c r="J29" s="119"/>
      <c r="K29" s="166">
        <f t="shared" ref="K29:K39" si="34">A8</f>
        <v>44317</v>
      </c>
      <c r="L29" s="167">
        <v>62.82</v>
      </c>
      <c r="M29" s="168">
        <v>3.51</v>
      </c>
      <c r="N29" s="168">
        <v>1.93</v>
      </c>
      <c r="O29" s="168">
        <v>6.16</v>
      </c>
      <c r="P29" s="168">
        <v>45.12</v>
      </c>
      <c r="Q29" s="168">
        <f t="shared" si="19"/>
        <v>5.4399999999999995</v>
      </c>
      <c r="R29" s="169">
        <f t="shared" si="20"/>
        <v>0.54985754985754987</v>
      </c>
      <c r="S29" s="170">
        <f>IF(N29&gt;0,IFERROR(GETPIVOTDATA("act_qty",RECPT!$A$63,"yymm","202105","unit","GUA","comm","F"),0),)</f>
        <v>159763</v>
      </c>
      <c r="T29" s="104"/>
      <c r="U29" s="172">
        <f t="shared" si="21"/>
        <v>44317</v>
      </c>
      <c r="V29" s="167"/>
      <c r="W29" s="168"/>
      <c r="X29" s="168"/>
      <c r="Y29" s="168"/>
      <c r="Z29" s="168"/>
      <c r="AA29" s="168" t="str">
        <f t="shared" si="22"/>
        <v/>
      </c>
      <c r="AB29" s="169" t="str">
        <f t="shared" si="23"/>
        <v/>
      </c>
      <c r="AC29" s="170">
        <f>IF(X29&gt;0,IFERROR(GETPIVOTDATA("act_qty",RECPT!$A$63,"yymm","202105","unit","BAR","comm","L"),0),)</f>
        <v>0</v>
      </c>
      <c r="AD29" s="104"/>
      <c r="AE29" s="172">
        <f t="shared" si="24"/>
        <v>44317</v>
      </c>
      <c r="AF29" s="167"/>
      <c r="AG29" s="168"/>
      <c r="AH29" s="168"/>
      <c r="AI29" s="168"/>
      <c r="AJ29" s="168"/>
      <c r="AK29" s="168" t="str">
        <f t="shared" si="25"/>
        <v/>
      </c>
      <c r="AL29" s="169" t="str">
        <f t="shared" si="26"/>
        <v/>
      </c>
      <c r="AM29" s="170">
        <f>IF(AH29&gt;0,IFERROR(GETPIVOTDATA("act_qty",RECPT!$A$63,"yymm","202105","unit","BAR","comm","F"),0),)</f>
        <v>0</v>
      </c>
      <c r="AN29" s="104"/>
      <c r="AO29" s="172">
        <f t="shared" si="27"/>
        <v>44317</v>
      </c>
      <c r="AP29" s="167"/>
      <c r="AQ29" s="168"/>
      <c r="AR29" s="168"/>
      <c r="AS29" s="168"/>
      <c r="AT29" s="168"/>
      <c r="AU29" s="168" t="str">
        <f t="shared" si="28"/>
        <v/>
      </c>
      <c r="AV29" s="169" t="str">
        <f t="shared" si="29"/>
        <v/>
      </c>
      <c r="AW29" s="170">
        <f>IF(AR29&gt;0,IFERROR(GETPIVOTDATA("act_qty",RECPT!$A$63,"yymm","202105","unit","KAL","comm","L"),0),)</f>
        <v>0</v>
      </c>
      <c r="AX29" s="104"/>
      <c r="AY29" s="172">
        <f t="shared" si="32"/>
        <v>44317</v>
      </c>
      <c r="AZ29" s="167"/>
      <c r="BA29" s="168"/>
      <c r="BB29" s="168"/>
      <c r="BC29" s="168"/>
      <c r="BD29" s="168"/>
      <c r="BE29" s="168" t="str">
        <f t="shared" si="30"/>
        <v/>
      </c>
      <c r="BF29" s="169" t="str">
        <f t="shared" si="31"/>
        <v/>
      </c>
      <c r="BG29" s="170">
        <f>IF(BB29&gt;0,IFERROR(GETPIVOTDATA("act_qty",RECPT!$A$63,"yymm","202105","unit","KAL","comm","F"),0),)</f>
        <v>0</v>
      </c>
    </row>
    <row r="30" spans="1:59" ht="21" x14ac:dyDescent="0.25">
      <c r="A30" s="166">
        <f t="shared" si="33"/>
        <v>44348</v>
      </c>
      <c r="B30" s="167">
        <v>60.89</v>
      </c>
      <c r="C30" s="168">
        <v>7.45</v>
      </c>
      <c r="D30" s="168">
        <v>1.28</v>
      </c>
      <c r="E30" s="168">
        <v>15.81</v>
      </c>
      <c r="F30" s="168">
        <v>2.78</v>
      </c>
      <c r="G30" s="168">
        <f t="shared" si="17"/>
        <v>8.73</v>
      </c>
      <c r="H30" s="169">
        <f t="shared" si="18"/>
        <v>0.17181208053691274</v>
      </c>
      <c r="I30" s="170">
        <f>IF(D30&gt;0,IFERROR(GETPIVOTDATA("act_qty",RECPT!$A$63,"yymm","202106","unit","GUA","comm","L"),0),)</f>
        <v>86412</v>
      </c>
      <c r="J30" s="119"/>
      <c r="K30" s="166">
        <f t="shared" si="34"/>
        <v>44348</v>
      </c>
      <c r="L30" s="167">
        <v>61.57</v>
      </c>
      <c r="M30" s="168">
        <v>5.53</v>
      </c>
      <c r="N30" s="168">
        <v>2.02</v>
      </c>
      <c r="O30" s="168">
        <v>7.2</v>
      </c>
      <c r="P30" s="168">
        <v>42.4</v>
      </c>
      <c r="Q30" s="168">
        <f t="shared" si="19"/>
        <v>7.5500000000000007</v>
      </c>
      <c r="R30" s="169">
        <f t="shared" si="20"/>
        <v>0.36528028933092221</v>
      </c>
      <c r="S30" s="170">
        <f>IF(N30&gt;0,IFERROR(GETPIVOTDATA("act_qty",RECPT!$A$63,"yymm","202106","unit","GUA","comm","F"),0),)</f>
        <v>206668</v>
      </c>
      <c r="T30" s="104"/>
      <c r="U30" s="172">
        <f t="shared" si="21"/>
        <v>44348</v>
      </c>
      <c r="V30" s="167"/>
      <c r="W30" s="168"/>
      <c r="X30" s="168"/>
      <c r="Y30" s="168"/>
      <c r="Z30" s="168"/>
      <c r="AA30" s="168" t="str">
        <f t="shared" si="22"/>
        <v/>
      </c>
      <c r="AB30" s="169" t="str">
        <f t="shared" si="23"/>
        <v/>
      </c>
      <c r="AC30" s="170">
        <f>IF(X30&gt;0,IFERROR(GETPIVOTDATA("act_qty",RECPT!$A$63,"yymm","202106","unit","BAR","comm","L"),0),)</f>
        <v>0</v>
      </c>
      <c r="AD30" s="171"/>
      <c r="AE30" s="172">
        <f t="shared" si="24"/>
        <v>44348</v>
      </c>
      <c r="AF30" s="167"/>
      <c r="AG30" s="168"/>
      <c r="AH30" s="168"/>
      <c r="AI30" s="168"/>
      <c r="AJ30" s="168"/>
      <c r="AK30" s="168" t="str">
        <f t="shared" si="25"/>
        <v/>
      </c>
      <c r="AL30" s="169" t="str">
        <f t="shared" si="26"/>
        <v/>
      </c>
      <c r="AM30" s="170">
        <f>IF(AH30&gt;0,IFERROR(GETPIVOTDATA("act_qty",RECPT!$A$63,"yymm","202106","unit","BAR","comm","F"),0),)</f>
        <v>0</v>
      </c>
      <c r="AN30" s="104"/>
      <c r="AO30" s="172">
        <f t="shared" si="27"/>
        <v>44348</v>
      </c>
      <c r="AP30" s="167"/>
      <c r="AQ30" s="168"/>
      <c r="AR30" s="168"/>
      <c r="AS30" s="168"/>
      <c r="AT30" s="168"/>
      <c r="AU30" s="168" t="str">
        <f t="shared" si="28"/>
        <v/>
      </c>
      <c r="AV30" s="169" t="str">
        <f t="shared" si="29"/>
        <v/>
      </c>
      <c r="AW30" s="170">
        <f>IF(AR30&gt;0,IFERROR(GETPIVOTDATA("act_qty",RECPT!$A$63,"yymm","202106","unit","KAL","comm","L"),0),)</f>
        <v>0</v>
      </c>
      <c r="AX30" s="104"/>
      <c r="AY30" s="172">
        <f t="shared" si="32"/>
        <v>44348</v>
      </c>
      <c r="AZ30" s="167"/>
      <c r="BA30" s="168"/>
      <c r="BB30" s="168"/>
      <c r="BC30" s="168"/>
      <c r="BD30" s="168"/>
      <c r="BE30" s="168" t="str">
        <f t="shared" si="30"/>
        <v/>
      </c>
      <c r="BF30" s="169" t="str">
        <f t="shared" si="31"/>
        <v/>
      </c>
      <c r="BG30" s="170">
        <f>IF(BB30&gt;0,IFERROR(GETPIVOTDATA("act_qty",RECPT!$A$63,"yymm","202106","unit","KAL","comm","F"),0),)</f>
        <v>0</v>
      </c>
    </row>
    <row r="31" spans="1:59" ht="21" x14ac:dyDescent="0.25">
      <c r="A31" s="166">
        <f t="shared" si="33"/>
        <v>44378</v>
      </c>
      <c r="B31" s="167">
        <v>62.86</v>
      </c>
      <c r="C31" s="168">
        <v>4.1399999999999997</v>
      </c>
      <c r="D31" s="168">
        <v>1.69</v>
      </c>
      <c r="E31" s="168">
        <v>3.07</v>
      </c>
      <c r="F31" s="581">
        <v>14.81</v>
      </c>
      <c r="G31" s="168">
        <f t="shared" si="17"/>
        <v>5.83</v>
      </c>
      <c r="H31" s="169">
        <f t="shared" si="18"/>
        <v>0.40821256038647347</v>
      </c>
      <c r="I31" s="170">
        <f>IF(D31&gt;0,IFERROR(GETPIVOTDATA("act_qty",RECPT!$A$63,"yymm","202107","unit","GUA","comm","L"),0),)</f>
        <v>75896</v>
      </c>
      <c r="J31" s="119"/>
      <c r="K31" s="166">
        <f t="shared" si="34"/>
        <v>44378</v>
      </c>
      <c r="L31" s="167">
        <v>62.55</v>
      </c>
      <c r="M31" s="168">
        <v>4.13</v>
      </c>
      <c r="N31" s="168">
        <v>2.14</v>
      </c>
      <c r="O31" s="168">
        <v>8.4700000000000006</v>
      </c>
      <c r="P31" s="168">
        <v>41.6</v>
      </c>
      <c r="Q31" s="168">
        <f t="shared" si="19"/>
        <v>6.27</v>
      </c>
      <c r="R31" s="169">
        <f t="shared" si="20"/>
        <v>0.51815980629539959</v>
      </c>
      <c r="S31" s="170">
        <f>IF(N31&gt;0,IFERROR(GETPIVOTDATA("act_qty",RECPT!$A$63,"yymm","202107","unit","GUA","comm","F"),0),)</f>
        <v>225389</v>
      </c>
      <c r="T31" s="104"/>
      <c r="U31" s="172">
        <f t="shared" si="21"/>
        <v>44378</v>
      </c>
      <c r="V31" s="167"/>
      <c r="W31" s="168"/>
      <c r="X31" s="168"/>
      <c r="Y31" s="168"/>
      <c r="Z31" s="168"/>
      <c r="AA31" s="168" t="str">
        <f t="shared" si="22"/>
        <v/>
      </c>
      <c r="AB31" s="169" t="str">
        <f t="shared" si="23"/>
        <v/>
      </c>
      <c r="AC31" s="170">
        <f>IF(X31&gt;0,IFERROR(GETPIVOTDATA("act_qty",RECPT!$A$63,"yymm","202107","unit","BAR","comm","L"),0),)</f>
        <v>0</v>
      </c>
      <c r="AD31" s="171"/>
      <c r="AE31" s="172">
        <f t="shared" si="24"/>
        <v>44378</v>
      </c>
      <c r="AF31" s="167"/>
      <c r="AG31" s="168"/>
      <c r="AH31" s="168"/>
      <c r="AI31" s="168"/>
      <c r="AJ31" s="168"/>
      <c r="AK31" s="168" t="str">
        <f t="shared" si="25"/>
        <v/>
      </c>
      <c r="AL31" s="169" t="str">
        <f t="shared" si="26"/>
        <v/>
      </c>
      <c r="AM31" s="170">
        <f>IF(AH31&gt;0,IFERROR(GETPIVOTDATA("act_qty",RECPT!$A$63,"yymm","202107","unit","BAR","comm","F"),0),)</f>
        <v>0</v>
      </c>
      <c r="AN31" s="104"/>
      <c r="AO31" s="172">
        <f t="shared" si="27"/>
        <v>44378</v>
      </c>
      <c r="AP31" s="167"/>
      <c r="AQ31" s="168"/>
      <c r="AR31" s="168"/>
      <c r="AS31" s="168"/>
      <c r="AT31" s="168"/>
      <c r="AU31" s="168" t="str">
        <f t="shared" si="28"/>
        <v/>
      </c>
      <c r="AV31" s="169" t="str">
        <f t="shared" si="29"/>
        <v/>
      </c>
      <c r="AW31" s="170">
        <f>IF(AR31&gt;0,IFERROR(GETPIVOTDATA("act_qty",RECPT!$A$63,"yymm","202107","unit","KAL","comm","L"),0),)</f>
        <v>0</v>
      </c>
      <c r="AX31" s="104"/>
      <c r="AY31" s="172">
        <f t="shared" si="32"/>
        <v>44378</v>
      </c>
      <c r="AZ31" s="167"/>
      <c r="BA31" s="168"/>
      <c r="BB31" s="168"/>
      <c r="BC31" s="168"/>
      <c r="BD31" s="168"/>
      <c r="BE31" s="168" t="str">
        <f t="shared" si="30"/>
        <v/>
      </c>
      <c r="BF31" s="169" t="str">
        <f t="shared" si="31"/>
        <v/>
      </c>
      <c r="BG31" s="170">
        <f>IF(BB31&gt;0,IFERROR(GETPIVOTDATA("act_qty",RECPT!$A$63,"yymm","202107","unit","KAL","comm","F"),0),)</f>
        <v>0</v>
      </c>
    </row>
    <row r="32" spans="1:59" ht="21" x14ac:dyDescent="0.25">
      <c r="A32" s="166">
        <f t="shared" si="33"/>
        <v>44409</v>
      </c>
      <c r="B32" s="167">
        <v>63.02</v>
      </c>
      <c r="C32" s="168">
        <v>4.17</v>
      </c>
      <c r="D32" s="168">
        <v>1.22</v>
      </c>
      <c r="E32" s="168">
        <v>11.39</v>
      </c>
      <c r="F32" s="581">
        <v>6.72</v>
      </c>
      <c r="G32" s="168">
        <f t="shared" si="17"/>
        <v>5.39</v>
      </c>
      <c r="H32" s="169">
        <f t="shared" si="18"/>
        <v>0.29256594724220625</v>
      </c>
      <c r="I32" s="170">
        <f>IF(D32&gt;0,IFERROR(GETPIVOTDATA("act_qty",RECPT!$A$63,"yymm","202108","unit","GUA","comm","L"),0),)</f>
        <v>73792</v>
      </c>
      <c r="J32" s="119"/>
      <c r="K32" s="166">
        <f t="shared" si="34"/>
        <v>44409</v>
      </c>
      <c r="L32" s="167">
        <v>62.09</v>
      </c>
      <c r="M32" s="168">
        <v>4.99</v>
      </c>
      <c r="N32" s="168">
        <v>1.85</v>
      </c>
      <c r="O32" s="168">
        <v>7.26</v>
      </c>
      <c r="P32" s="168">
        <v>40.799999999999997</v>
      </c>
      <c r="Q32" s="168">
        <f t="shared" si="19"/>
        <v>6.84</v>
      </c>
      <c r="R32" s="169">
        <f t="shared" si="20"/>
        <v>0.37074148296593185</v>
      </c>
      <c r="S32" s="170">
        <f>IF(N32&gt;0,IFERROR(GETPIVOTDATA("act_qty",RECPT!$A$63,"yymm","202108","unit","GUA","comm","F"),0),)</f>
        <v>220622</v>
      </c>
      <c r="T32" s="104"/>
      <c r="U32" s="172">
        <f t="shared" si="21"/>
        <v>44409</v>
      </c>
      <c r="V32" s="167"/>
      <c r="W32" s="168"/>
      <c r="X32" s="168"/>
      <c r="Y32" s="168"/>
      <c r="Z32" s="168"/>
      <c r="AA32" s="168" t="str">
        <f t="shared" si="22"/>
        <v/>
      </c>
      <c r="AB32" s="169" t="str">
        <f t="shared" si="23"/>
        <v/>
      </c>
      <c r="AC32" s="170">
        <f>IF(X32&gt;0,IFERROR(GETPIVOTDATA("act_qty",RECPT!$A$63,"yymm","202108","unit","BAR","comm","L"),0),)</f>
        <v>0</v>
      </c>
      <c r="AD32" s="171"/>
      <c r="AE32" s="172">
        <f t="shared" si="24"/>
        <v>44409</v>
      </c>
      <c r="AF32" s="167"/>
      <c r="AG32" s="168"/>
      <c r="AH32" s="168"/>
      <c r="AI32" s="168"/>
      <c r="AJ32" s="168"/>
      <c r="AK32" s="168" t="str">
        <f t="shared" si="25"/>
        <v/>
      </c>
      <c r="AL32" s="169" t="str">
        <f t="shared" si="26"/>
        <v/>
      </c>
      <c r="AM32" s="170">
        <f>IF(AH32&gt;0,IFERROR(GETPIVOTDATA("act_qty",RECPT!$A$63,"yymm","202108","unit","BAR","comm","F"),0),)</f>
        <v>0</v>
      </c>
      <c r="AN32" s="104"/>
      <c r="AO32" s="172">
        <f t="shared" si="27"/>
        <v>44409</v>
      </c>
      <c r="AP32" s="167"/>
      <c r="AQ32" s="168"/>
      <c r="AR32" s="168"/>
      <c r="AS32" s="168"/>
      <c r="AT32" s="168"/>
      <c r="AU32" s="168" t="str">
        <f t="shared" si="28"/>
        <v/>
      </c>
      <c r="AV32" s="169" t="str">
        <f t="shared" si="29"/>
        <v/>
      </c>
      <c r="AW32" s="170">
        <f>IF(AR32&gt;0,IFERROR(GETPIVOTDATA("act_qty",RECPT!$A$63,"yymm","202108","unit","KAL","comm","L"),0),)</f>
        <v>0</v>
      </c>
      <c r="AX32" s="104"/>
      <c r="AY32" s="172">
        <f t="shared" si="32"/>
        <v>44409</v>
      </c>
      <c r="AZ32" s="167"/>
      <c r="BA32" s="168"/>
      <c r="BB32" s="168"/>
      <c r="BC32" s="168"/>
      <c r="BD32" s="168"/>
      <c r="BE32" s="168" t="str">
        <f t="shared" si="30"/>
        <v/>
      </c>
      <c r="BF32" s="169" t="str">
        <f t="shared" si="31"/>
        <v/>
      </c>
      <c r="BG32" s="170">
        <f>IF(BB32&gt;0,IFERROR(GETPIVOTDATA("act_qty",RECPT!$A$63,"yymm","202108","unit","KAL","comm","F"),0),)</f>
        <v>0</v>
      </c>
    </row>
    <row r="33" spans="1:60" ht="21" x14ac:dyDescent="0.25">
      <c r="A33" s="166">
        <f t="shared" si="33"/>
        <v>44440</v>
      </c>
      <c r="B33" s="167">
        <v>63.99</v>
      </c>
      <c r="C33" s="168">
        <v>2.64</v>
      </c>
      <c r="D33" s="168">
        <v>1.26</v>
      </c>
      <c r="E33" s="168">
        <v>1.85</v>
      </c>
      <c r="F33" s="168">
        <v>3.9</v>
      </c>
      <c r="G33" s="168">
        <f t="shared" si="17"/>
        <v>3.9000000000000004</v>
      </c>
      <c r="H33" s="169">
        <f t="shared" si="18"/>
        <v>0.47727272727272724</v>
      </c>
      <c r="I33" s="170">
        <f>IF(D33&gt;0,IFERROR(GETPIVOTDATA("act_qty",RECPT!$A$63,"yymm","202109","unit","GUA","comm","L"),0),)</f>
        <v>74018</v>
      </c>
      <c r="J33" s="119"/>
      <c r="K33" s="166">
        <f t="shared" si="34"/>
        <v>44440</v>
      </c>
      <c r="L33" s="167">
        <v>62.57</v>
      </c>
      <c r="M33" s="168">
        <v>4.09</v>
      </c>
      <c r="N33" s="168">
        <v>2.0699999999999998</v>
      </c>
      <c r="O33" s="168">
        <v>7.15</v>
      </c>
      <c r="P33" s="168">
        <v>42.53</v>
      </c>
      <c r="Q33" s="168">
        <f t="shared" si="19"/>
        <v>6.16</v>
      </c>
      <c r="R33" s="169">
        <f t="shared" si="20"/>
        <v>0.50611246943765276</v>
      </c>
      <c r="S33" s="170">
        <f>IF(N33&gt;0,IFERROR(GETPIVOTDATA("act_qty",RECPT!$A$63,"yymm","202109","unit","GUA","comm","F"),0),)</f>
        <v>190347</v>
      </c>
      <c r="T33" s="104"/>
      <c r="U33" s="172">
        <f t="shared" si="21"/>
        <v>44440</v>
      </c>
      <c r="V33" s="167"/>
      <c r="W33" s="168"/>
      <c r="X33" s="168"/>
      <c r="Y33" s="168"/>
      <c r="Z33" s="168"/>
      <c r="AA33" s="168" t="str">
        <f t="shared" si="22"/>
        <v/>
      </c>
      <c r="AB33" s="169" t="str">
        <f t="shared" si="23"/>
        <v/>
      </c>
      <c r="AC33" s="170">
        <f>IF(X33&gt;0,IFERROR(GETPIVOTDATA("act_qty",RECPT!$A$63,"yymm","202109","unit","BAR","comm","L"),0),)</f>
        <v>0</v>
      </c>
      <c r="AD33" s="171"/>
      <c r="AE33" s="172">
        <f t="shared" si="24"/>
        <v>44440</v>
      </c>
      <c r="AF33" s="167"/>
      <c r="AG33" s="168"/>
      <c r="AH33" s="168"/>
      <c r="AI33" s="168"/>
      <c r="AJ33" s="168"/>
      <c r="AK33" s="168" t="str">
        <f t="shared" si="25"/>
        <v/>
      </c>
      <c r="AL33" s="169" t="str">
        <f t="shared" si="26"/>
        <v/>
      </c>
      <c r="AM33" s="170">
        <f>IF(AH33&gt;0,IFERROR(GETPIVOTDATA("act_qty",RECPT!$A$63,"yymm","202109","unit","BAR","comm","F"),0),)</f>
        <v>0</v>
      </c>
      <c r="AN33" s="104"/>
      <c r="AO33" s="172">
        <f t="shared" si="27"/>
        <v>44440</v>
      </c>
      <c r="AP33" s="167"/>
      <c r="AQ33" s="168"/>
      <c r="AR33" s="168"/>
      <c r="AS33" s="168"/>
      <c r="AT33" s="168"/>
      <c r="AU33" s="168" t="str">
        <f t="shared" si="28"/>
        <v/>
      </c>
      <c r="AV33" s="169" t="str">
        <f t="shared" si="29"/>
        <v/>
      </c>
      <c r="AW33" s="170">
        <f>IF(AR33&gt;0,IFERROR(GETPIVOTDATA("act_qty",RECPT!$A$63,"yymm","202109","unit","KAL","comm","L"),0),)</f>
        <v>0</v>
      </c>
      <c r="AX33" s="104"/>
      <c r="AY33" s="172">
        <f t="shared" si="32"/>
        <v>44440</v>
      </c>
      <c r="AZ33" s="167"/>
      <c r="BA33" s="168"/>
      <c r="BB33" s="168"/>
      <c r="BC33" s="168"/>
      <c r="BD33" s="168"/>
      <c r="BE33" s="168" t="str">
        <f t="shared" si="30"/>
        <v/>
      </c>
      <c r="BF33" s="169" t="str">
        <f t="shared" si="31"/>
        <v/>
      </c>
      <c r="BG33" s="170">
        <f>IF(BB33&gt;0,IFERROR(GETPIVOTDATA("act_qty",RECPT!$A$63,"yymm","202109","unit","KAL","comm","F"),0),)</f>
        <v>0</v>
      </c>
    </row>
    <row r="34" spans="1:60" ht="21" x14ac:dyDescent="0.25">
      <c r="A34" s="166">
        <f t="shared" si="33"/>
        <v>44470</v>
      </c>
      <c r="B34" s="167">
        <v>62.4</v>
      </c>
      <c r="C34" s="168">
        <v>4.7</v>
      </c>
      <c r="D34" s="168">
        <v>1.66</v>
      </c>
      <c r="E34" s="168">
        <v>22.32</v>
      </c>
      <c r="F34" s="581">
        <v>6.89</v>
      </c>
      <c r="G34" s="168">
        <f t="shared" si="17"/>
        <v>6.36</v>
      </c>
      <c r="H34" s="169">
        <f t="shared" si="18"/>
        <v>0.35319148936170208</v>
      </c>
      <c r="I34" s="170">
        <f>IF(D34&gt;0,IFERROR(GETPIVOTDATA("act_qty",RECPT!$A$63,"yymm","202110","unit","GUA","comm","L"),0),)</f>
        <v>83966.97</v>
      </c>
      <c r="J34" s="119"/>
      <c r="K34" s="166">
        <f t="shared" si="34"/>
        <v>44470</v>
      </c>
      <c r="L34" s="167">
        <v>61.1</v>
      </c>
      <c r="M34" s="168">
        <v>6.41</v>
      </c>
      <c r="N34" s="168">
        <v>1.94</v>
      </c>
      <c r="O34" s="168">
        <v>6.75</v>
      </c>
      <c r="P34" s="168">
        <v>42.25</v>
      </c>
      <c r="Q34" s="168">
        <f t="shared" si="19"/>
        <v>8.35</v>
      </c>
      <c r="R34" s="169">
        <f t="shared" si="20"/>
        <v>0.30265210608424337</v>
      </c>
      <c r="S34" s="170">
        <f>IF(N34&gt;0,IFERROR(GETPIVOTDATA("act_qty",RECPT!$A$63,"yymm","202110","unit","GUA","comm","F"),0),)</f>
        <v>191668.93</v>
      </c>
      <c r="T34" s="104"/>
      <c r="U34" s="172">
        <f t="shared" si="21"/>
        <v>44470</v>
      </c>
      <c r="V34" s="167"/>
      <c r="W34" s="168"/>
      <c r="X34" s="168"/>
      <c r="Y34" s="168"/>
      <c r="Z34" s="168"/>
      <c r="AA34" s="168" t="str">
        <f t="shared" si="22"/>
        <v/>
      </c>
      <c r="AB34" s="169" t="str">
        <f t="shared" si="23"/>
        <v/>
      </c>
      <c r="AC34" s="170">
        <f>IF(X34&gt;0,IFERROR(GETPIVOTDATA("act_qty",RECPT!$A$63,"yymm","202110","unit","BAR","comm","L"),0),)</f>
        <v>0</v>
      </c>
      <c r="AD34" s="171"/>
      <c r="AE34" s="172">
        <f t="shared" si="24"/>
        <v>44470</v>
      </c>
      <c r="AF34" s="167">
        <v>62.16</v>
      </c>
      <c r="AG34" s="168">
        <v>3.77</v>
      </c>
      <c r="AH34" s="168">
        <v>2.68</v>
      </c>
      <c r="AI34" s="168">
        <v>6.06</v>
      </c>
      <c r="AJ34" s="168">
        <v>41.8</v>
      </c>
      <c r="AK34" s="168">
        <f t="shared" si="25"/>
        <v>6.45</v>
      </c>
      <c r="AL34" s="169">
        <f t="shared" si="26"/>
        <v>0.71087533156498672</v>
      </c>
      <c r="AM34" s="170">
        <f>IF(AH34&gt;0,IFERROR(GETPIVOTDATA("act_qty",RECPT!$A$63,"yymm","202110","unit","BAR","comm","F"),0),)</f>
        <v>23968.880000000001</v>
      </c>
      <c r="AN34" s="104"/>
      <c r="AO34" s="172">
        <f t="shared" si="27"/>
        <v>44470</v>
      </c>
      <c r="AP34" s="167"/>
      <c r="AQ34" s="168"/>
      <c r="AR34" s="168"/>
      <c r="AS34" s="168"/>
      <c r="AT34" s="168"/>
      <c r="AU34" s="168" t="str">
        <f t="shared" si="28"/>
        <v/>
      </c>
      <c r="AV34" s="169" t="str">
        <f t="shared" si="29"/>
        <v/>
      </c>
      <c r="AW34" s="170">
        <f>IF(AR34&gt;0,IFERROR(GETPIVOTDATA("act_qty",RECPT!$A$63,"yymm","202110","unit","KAL","comm","L"),0),)</f>
        <v>0</v>
      </c>
      <c r="AX34" s="104"/>
      <c r="AY34" s="172">
        <f t="shared" si="32"/>
        <v>44470</v>
      </c>
      <c r="AZ34" s="167"/>
      <c r="BA34" s="168"/>
      <c r="BB34" s="168"/>
      <c r="BC34" s="168"/>
      <c r="BD34" s="168"/>
      <c r="BE34" s="168" t="str">
        <f t="shared" si="30"/>
        <v/>
      </c>
      <c r="BF34" s="169" t="str">
        <f t="shared" si="31"/>
        <v/>
      </c>
      <c r="BG34" s="170">
        <f>IF(BB34&gt;0,IFERROR(GETPIVOTDATA("act_qty",RECPT!$A$63,"yymm","202110","unit","KAL","comm","F"),0),)</f>
        <v>0</v>
      </c>
    </row>
    <row r="35" spans="1:60" ht="21" x14ac:dyDescent="0.25">
      <c r="A35" s="166">
        <f t="shared" si="33"/>
        <v>44501</v>
      </c>
      <c r="B35" s="167">
        <v>62.81</v>
      </c>
      <c r="C35" s="168">
        <v>4.4000000000000004</v>
      </c>
      <c r="D35" s="168">
        <v>1.38</v>
      </c>
      <c r="E35" s="168">
        <v>11.41</v>
      </c>
      <c r="F35" s="581">
        <v>11.63</v>
      </c>
      <c r="G35" s="168">
        <f t="shared" si="17"/>
        <v>5.78</v>
      </c>
      <c r="H35" s="169">
        <f t="shared" si="18"/>
        <v>0.3136363636363636</v>
      </c>
      <c r="I35" s="170">
        <f>IF(D35&gt;0,IFERROR(GETPIVOTDATA("act_qty",RECPT!$A$63,"yymm","202111","unit","GUA","comm","L"),0),)</f>
        <v>93246.43</v>
      </c>
      <c r="J35" s="119"/>
      <c r="K35" s="166">
        <f t="shared" si="34"/>
        <v>44501</v>
      </c>
      <c r="L35" s="167">
        <v>62.43</v>
      </c>
      <c r="M35" s="168">
        <v>4.43</v>
      </c>
      <c r="N35" s="168">
        <v>1.99</v>
      </c>
      <c r="O35" s="168">
        <v>6.74</v>
      </c>
      <c r="P35" s="168">
        <v>44.15</v>
      </c>
      <c r="Q35" s="168">
        <f t="shared" si="19"/>
        <v>6.42</v>
      </c>
      <c r="R35" s="169">
        <f t="shared" si="20"/>
        <v>0.44920993227990974</v>
      </c>
      <c r="S35" s="170">
        <f>IF(N35&gt;0,IFERROR(GETPIVOTDATA("act_qty",RECPT!$A$63,"yymm","202111","unit","GUA","comm","F"),0),)</f>
        <v>183540.67</v>
      </c>
      <c r="T35" s="104"/>
      <c r="U35" s="172">
        <f t="shared" si="21"/>
        <v>44501</v>
      </c>
      <c r="V35" s="167"/>
      <c r="W35" s="168"/>
      <c r="X35" s="168"/>
      <c r="Y35" s="168"/>
      <c r="Z35" s="168"/>
      <c r="AA35" s="168" t="str">
        <f t="shared" si="22"/>
        <v/>
      </c>
      <c r="AB35" s="169" t="str">
        <f t="shared" si="23"/>
        <v/>
      </c>
      <c r="AC35" s="170">
        <f>IF(X35&gt;0,IFERROR(GETPIVOTDATA("act_qty",RECPT!$A$63,"yymm","202111","unit","BAR","comm","L"),0),)</f>
        <v>0</v>
      </c>
      <c r="AD35" s="171"/>
      <c r="AE35" s="172">
        <f t="shared" si="24"/>
        <v>44501</v>
      </c>
      <c r="AF35" s="167">
        <v>63.57</v>
      </c>
      <c r="AG35" s="168">
        <v>2.64</v>
      </c>
      <c r="AH35" s="168">
        <v>1.9</v>
      </c>
      <c r="AI35" s="168">
        <v>7.88</v>
      </c>
      <c r="AJ35" s="168">
        <v>43.03</v>
      </c>
      <c r="AK35" s="168">
        <f t="shared" si="25"/>
        <v>4.54</v>
      </c>
      <c r="AL35" s="169">
        <f t="shared" si="26"/>
        <v>0.71969696969696961</v>
      </c>
      <c r="AM35" s="170">
        <f>IF(AH35&gt;0,IFERROR(GETPIVOTDATA("act_qty",RECPT!$A$63,"yymm","202111","unit","BAR","comm","F"),0),)</f>
        <v>3514.8</v>
      </c>
      <c r="AN35" s="104"/>
      <c r="AO35" s="172">
        <f t="shared" si="27"/>
        <v>44501</v>
      </c>
      <c r="AP35" s="167"/>
      <c r="AQ35" s="168"/>
      <c r="AR35" s="168"/>
      <c r="AS35" s="168"/>
      <c r="AT35" s="168"/>
      <c r="AU35" s="168" t="str">
        <f t="shared" si="28"/>
        <v/>
      </c>
      <c r="AV35" s="169" t="str">
        <f t="shared" si="29"/>
        <v/>
      </c>
      <c r="AW35" s="170">
        <f>IF(AR35&gt;0,IFERROR(GETPIVOTDATA("act_qty",RECPT!$A$63,"yymm","202111","unit","KAL","comm","L"),0),)</f>
        <v>0</v>
      </c>
      <c r="AX35" s="104"/>
      <c r="AY35" s="172">
        <f t="shared" si="32"/>
        <v>44501</v>
      </c>
      <c r="AZ35" s="167"/>
      <c r="BA35" s="168"/>
      <c r="BB35" s="168"/>
      <c r="BC35" s="168"/>
      <c r="BD35" s="168"/>
      <c r="BE35" s="168" t="str">
        <f t="shared" si="30"/>
        <v/>
      </c>
      <c r="BF35" s="169" t="str">
        <f t="shared" si="31"/>
        <v/>
      </c>
      <c r="BG35" s="170">
        <f>IF(BB35&gt;0,IFERROR(GETPIVOTDATA("act_qty",RECPT!$A$63,"yymm","202111","unit","KAL","comm","F"),0),)</f>
        <v>0</v>
      </c>
    </row>
    <row r="36" spans="1:60" ht="21" x14ac:dyDescent="0.25">
      <c r="A36" s="166">
        <f t="shared" si="33"/>
        <v>44531</v>
      </c>
      <c r="B36" s="167">
        <v>62.15</v>
      </c>
      <c r="C36" s="168">
        <v>5.4</v>
      </c>
      <c r="D36" s="168">
        <v>1.41</v>
      </c>
      <c r="E36" s="168">
        <v>23.48</v>
      </c>
      <c r="F36" s="581">
        <v>11.63</v>
      </c>
      <c r="G36" s="168">
        <f t="shared" si="17"/>
        <v>6.8100000000000005</v>
      </c>
      <c r="H36" s="169">
        <f t="shared" si="18"/>
        <v>0.26111111111111107</v>
      </c>
      <c r="I36" s="170">
        <f>IF(D36&gt;0,IFERROR(GETPIVOTDATA("act_qty",RECPT!$A$63,"yymm","202112","unit","GUA","comm","L"),0),)</f>
        <v>102835.98</v>
      </c>
      <c r="J36" s="119"/>
      <c r="K36" s="166">
        <f t="shared" si="34"/>
        <v>44531</v>
      </c>
      <c r="L36" s="167">
        <v>62.08</v>
      </c>
      <c r="M36" s="168">
        <v>5</v>
      </c>
      <c r="N36" s="168">
        <v>1.92</v>
      </c>
      <c r="O36" s="168">
        <v>6.79</v>
      </c>
      <c r="P36" s="168">
        <v>44.15</v>
      </c>
      <c r="Q36" s="168">
        <f t="shared" si="19"/>
        <v>6.92</v>
      </c>
      <c r="R36" s="169">
        <f t="shared" si="20"/>
        <v>0.38400000000000001</v>
      </c>
      <c r="S36" s="170">
        <f>IF(N36&gt;0,IFERROR(GETPIVOTDATA("act_qty",RECPT!$A$63,"yymm","202112","unit","GUA","comm","F"),0),)</f>
        <v>233534.92</v>
      </c>
      <c r="T36" s="104"/>
      <c r="U36" s="172">
        <f t="shared" si="21"/>
        <v>44531</v>
      </c>
      <c r="V36" s="167"/>
      <c r="W36" s="168"/>
      <c r="X36" s="168"/>
      <c r="Y36" s="168"/>
      <c r="Z36" s="168"/>
      <c r="AA36" s="168" t="str">
        <f t="shared" si="22"/>
        <v/>
      </c>
      <c r="AB36" s="169" t="str">
        <f t="shared" si="23"/>
        <v/>
      </c>
      <c r="AC36" s="170">
        <f>IF(X36&gt;0,IFERROR(GETPIVOTDATA("act_qty",RECPT!$A$63,"yymm","202112","unit","BAR","comm","L"),0),)</f>
        <v>0</v>
      </c>
      <c r="AD36" s="171"/>
      <c r="AE36" s="172">
        <f t="shared" si="24"/>
        <v>44531</v>
      </c>
      <c r="AF36" s="167">
        <v>0</v>
      </c>
      <c r="AG36" s="168">
        <v>0</v>
      </c>
      <c r="AH36" s="168">
        <v>0</v>
      </c>
      <c r="AI36" s="168">
        <v>0</v>
      </c>
      <c r="AJ36" s="168">
        <v>0</v>
      </c>
      <c r="AK36" s="168" t="str">
        <f t="shared" si="25"/>
        <v/>
      </c>
      <c r="AL36" s="169" t="str">
        <f t="shared" si="26"/>
        <v/>
      </c>
      <c r="AM36" s="170">
        <f>IF(AH36&gt;0,IFERROR(GETPIVOTDATA("act_qty",RECPT!$A$63,"yymm","202112","unit","BAR","comm","F"),0),)</f>
        <v>0</v>
      </c>
      <c r="AN36" s="104"/>
      <c r="AO36" s="172">
        <f t="shared" si="27"/>
        <v>44531</v>
      </c>
      <c r="AP36" s="167"/>
      <c r="AQ36" s="168"/>
      <c r="AR36" s="168"/>
      <c r="AS36" s="168"/>
      <c r="AT36" s="168"/>
      <c r="AU36" s="168" t="str">
        <f t="shared" si="28"/>
        <v/>
      </c>
      <c r="AV36" s="169" t="str">
        <f t="shared" si="29"/>
        <v/>
      </c>
      <c r="AW36" s="170">
        <f>IF(AR36&gt;0,IFERROR(GETPIVOTDATA("act_qty",RECPT!$A$63,"yymm","202112","unit","KAL","comm","L"),0),)</f>
        <v>0</v>
      </c>
      <c r="AX36" s="104"/>
      <c r="AY36" s="172">
        <f t="shared" si="32"/>
        <v>44531</v>
      </c>
      <c r="AZ36" s="167"/>
      <c r="BA36" s="168"/>
      <c r="BB36" s="168"/>
      <c r="BC36" s="168"/>
      <c r="BD36" s="168"/>
      <c r="BE36" s="168" t="str">
        <f t="shared" si="30"/>
        <v/>
      </c>
      <c r="BF36" s="169" t="str">
        <f t="shared" si="31"/>
        <v/>
      </c>
      <c r="BG36" s="170">
        <f>IF(BB36&gt;0,IFERROR(GETPIVOTDATA("act_qty",RECPT!$A$63,"yymm","202112","unit","KAL","comm","F"),0),)</f>
        <v>0</v>
      </c>
    </row>
    <row r="37" spans="1:60" ht="18.75" customHeight="1" x14ac:dyDescent="0.25">
      <c r="A37" s="166">
        <f t="shared" si="33"/>
        <v>44562</v>
      </c>
      <c r="B37" s="167">
        <v>62.27</v>
      </c>
      <c r="C37" s="168">
        <v>4.6500000000000004</v>
      </c>
      <c r="D37" s="168">
        <v>1.97</v>
      </c>
      <c r="E37" s="168">
        <v>9.33</v>
      </c>
      <c r="F37" s="581">
        <v>17.21</v>
      </c>
      <c r="G37" s="168">
        <f t="shared" si="17"/>
        <v>6.62</v>
      </c>
      <c r="H37" s="169">
        <f t="shared" si="18"/>
        <v>0.42365591397849456</v>
      </c>
      <c r="I37" s="170">
        <f>IF(D37&gt;0,IFERROR(GETPIVOTDATA("act_qty",RECPT!$A$63,"yymm","202201","unit","GUA","comm","L"),0),)</f>
        <v>96763.199999999997</v>
      </c>
      <c r="J37" s="119"/>
      <c r="K37" s="166">
        <f t="shared" si="34"/>
        <v>44562</v>
      </c>
      <c r="L37" s="167">
        <v>62.35</v>
      </c>
      <c r="M37" s="168">
        <v>4.5</v>
      </c>
      <c r="N37" s="168">
        <v>1.99</v>
      </c>
      <c r="O37" s="168">
        <v>6.37</v>
      </c>
      <c r="P37" s="168">
        <v>45.59</v>
      </c>
      <c r="Q37" s="168">
        <f t="shared" si="19"/>
        <v>6.49</v>
      </c>
      <c r="R37" s="169">
        <f t="shared" si="20"/>
        <v>0.44222222222222224</v>
      </c>
      <c r="S37" s="170">
        <f>IF(N37&gt;0,IFERROR(GETPIVOTDATA("act_qty",RECPT!$A$63,"yymm","202201","unit","GUA","comm","F"),0),)</f>
        <v>230170.4</v>
      </c>
      <c r="T37" s="104"/>
      <c r="U37" s="172">
        <f t="shared" si="21"/>
        <v>44562</v>
      </c>
      <c r="V37" s="167"/>
      <c r="W37" s="168"/>
      <c r="X37" s="168"/>
      <c r="Y37" s="168"/>
      <c r="Z37" s="168"/>
      <c r="AA37" s="168" t="str">
        <f t="shared" si="22"/>
        <v/>
      </c>
      <c r="AB37" s="169" t="str">
        <f t="shared" si="23"/>
        <v/>
      </c>
      <c r="AC37" s="170">
        <f>IF(X37&gt;0,IFERROR(GETPIVOTDATA("act_qty",RECPT!$A$63,"yymm","202201","unit","BAR","comm","L"),0),)</f>
        <v>0</v>
      </c>
      <c r="AD37" s="171"/>
      <c r="AE37" s="172">
        <f t="shared" si="24"/>
        <v>44562</v>
      </c>
      <c r="AF37" s="167">
        <v>0</v>
      </c>
      <c r="AG37" s="168">
        <v>0</v>
      </c>
      <c r="AH37" s="168">
        <v>0</v>
      </c>
      <c r="AI37" s="168">
        <v>0</v>
      </c>
      <c r="AJ37" s="168">
        <v>0</v>
      </c>
      <c r="AK37" s="168" t="str">
        <f t="shared" si="25"/>
        <v/>
      </c>
      <c r="AL37" s="169" t="str">
        <f t="shared" si="26"/>
        <v/>
      </c>
      <c r="AM37" s="170">
        <f>IF(AH37&gt;0,IFERROR(GETPIVOTDATA("act_qty",RECPT!$A$63,"yymm","202201","unit","BAR","comm","F"),0),)</f>
        <v>0</v>
      </c>
      <c r="AN37" s="104"/>
      <c r="AO37" s="172">
        <f t="shared" si="27"/>
        <v>44562</v>
      </c>
      <c r="AP37" s="167"/>
      <c r="AQ37" s="168"/>
      <c r="AR37" s="168"/>
      <c r="AS37" s="168"/>
      <c r="AT37" s="168"/>
      <c r="AU37" s="168" t="str">
        <f t="shared" si="28"/>
        <v/>
      </c>
      <c r="AV37" s="169" t="str">
        <f t="shared" si="29"/>
        <v/>
      </c>
      <c r="AW37" s="170">
        <f>IF(AR37&gt;0,IFERROR(GETPIVOTDATA("act_qty",RECPT!$A$63,"yymm","202201","unit","KAL","comm","L"),0),)</f>
        <v>0</v>
      </c>
      <c r="AX37" s="104"/>
      <c r="AY37" s="172">
        <f t="shared" si="32"/>
        <v>44562</v>
      </c>
      <c r="AZ37" s="167"/>
      <c r="BA37" s="168"/>
      <c r="BB37" s="168"/>
      <c r="BC37" s="168"/>
      <c r="BD37" s="168"/>
      <c r="BE37" s="168" t="str">
        <f t="shared" si="30"/>
        <v/>
      </c>
      <c r="BF37" s="169" t="str">
        <f t="shared" si="31"/>
        <v/>
      </c>
      <c r="BG37" s="170">
        <f>IF(BB37&gt;0,IFERROR(GETPIVOTDATA("act_qty",RECPT!$A$63,"yymm","202201","unit","KAL","comm","F"),0),)</f>
        <v>0</v>
      </c>
    </row>
    <row r="38" spans="1:60" ht="21" x14ac:dyDescent="0.25">
      <c r="A38" s="166">
        <f t="shared" si="33"/>
        <v>44593</v>
      </c>
      <c r="B38" s="167">
        <v>63.28</v>
      </c>
      <c r="C38" s="168">
        <v>3.15</v>
      </c>
      <c r="D38" s="168">
        <v>1.85</v>
      </c>
      <c r="E38" s="168">
        <v>3.15</v>
      </c>
      <c r="F38" s="581">
        <v>20.5</v>
      </c>
      <c r="G38" s="168">
        <f t="shared" si="17"/>
        <v>5</v>
      </c>
      <c r="H38" s="169">
        <f t="shared" si="18"/>
        <v>0.58730158730158732</v>
      </c>
      <c r="I38" s="170">
        <f>IF(D38&gt;0,IFERROR(GETPIVOTDATA("act_qty",RECPT!$A$63,"yymm","202202","unit","GUA","comm","L"),0),)</f>
        <v>85431.4</v>
      </c>
      <c r="J38" s="119"/>
      <c r="K38" s="166">
        <f t="shared" si="34"/>
        <v>44593</v>
      </c>
      <c r="L38" s="167">
        <v>62.62</v>
      </c>
      <c r="M38" s="168">
        <v>4.1399999999999997</v>
      </c>
      <c r="N38" s="168">
        <v>1.91</v>
      </c>
      <c r="O38" s="168">
        <v>7.08</v>
      </c>
      <c r="P38" s="168">
        <v>45.4</v>
      </c>
      <c r="Q38" s="168">
        <f t="shared" si="19"/>
        <v>6.05</v>
      </c>
      <c r="R38" s="169">
        <f t="shared" si="20"/>
        <v>0.46135265700483091</v>
      </c>
      <c r="S38" s="170">
        <f>IF(N38&gt;0,IFERROR(GETPIVOTDATA("act_qty",RECPT!$A$63,"yymm","202202","unit","GUA","comm","F"),0),)</f>
        <v>212992.4</v>
      </c>
      <c r="T38" s="104"/>
      <c r="U38" s="172">
        <f t="shared" si="21"/>
        <v>44593</v>
      </c>
      <c r="V38" s="167"/>
      <c r="W38" s="168"/>
      <c r="X38" s="168"/>
      <c r="Y38" s="168"/>
      <c r="Z38" s="168"/>
      <c r="AA38" s="168" t="str">
        <f t="shared" si="22"/>
        <v/>
      </c>
      <c r="AB38" s="169" t="str">
        <f t="shared" si="23"/>
        <v/>
      </c>
      <c r="AC38" s="170">
        <f>IF(X38&gt;0,IFERROR(GETPIVOTDATA("act_qty",RECPT!$A$63,"yymm","202202","unit","BAR","comm","L"),0),)</f>
        <v>0</v>
      </c>
      <c r="AD38" s="171"/>
      <c r="AE38" s="172">
        <f t="shared" si="24"/>
        <v>44593</v>
      </c>
      <c r="AF38" s="167">
        <v>0</v>
      </c>
      <c r="AG38" s="168">
        <v>0</v>
      </c>
      <c r="AH38" s="168">
        <v>0</v>
      </c>
      <c r="AI38" s="168">
        <v>0</v>
      </c>
      <c r="AJ38" s="168">
        <v>0</v>
      </c>
      <c r="AK38" s="168" t="str">
        <f t="shared" si="25"/>
        <v/>
      </c>
      <c r="AL38" s="169" t="str">
        <f t="shared" si="26"/>
        <v/>
      </c>
      <c r="AM38" s="170">
        <f>IF(AH38&gt;0,IFERROR(GETPIVOTDATA("act_qty",RECPT!$A$63,"yymm","202202","unit","BAR","comm","F"),0),)</f>
        <v>0</v>
      </c>
      <c r="AN38" s="104"/>
      <c r="AO38" s="172">
        <f t="shared" si="27"/>
        <v>44593</v>
      </c>
      <c r="AP38" s="167"/>
      <c r="AQ38" s="168"/>
      <c r="AR38" s="168"/>
      <c r="AS38" s="168"/>
      <c r="AT38" s="168"/>
      <c r="AU38" s="168" t="str">
        <f t="shared" si="28"/>
        <v/>
      </c>
      <c r="AV38" s="169" t="str">
        <f t="shared" si="29"/>
        <v/>
      </c>
      <c r="AW38" s="170">
        <f>IF(AR38&gt;0,IFERROR(GETPIVOTDATA("act_qty",RECPT!$A$63,"yymm","202202","unit","KAL","comm","L"),0),)</f>
        <v>0</v>
      </c>
      <c r="AX38" s="104"/>
      <c r="AY38" s="172">
        <f t="shared" si="32"/>
        <v>44593</v>
      </c>
      <c r="AZ38" s="167"/>
      <c r="BA38" s="168"/>
      <c r="BB38" s="168"/>
      <c r="BC38" s="168"/>
      <c r="BD38" s="168"/>
      <c r="BE38" s="168" t="str">
        <f t="shared" si="30"/>
        <v/>
      </c>
      <c r="BF38" s="169" t="str">
        <f t="shared" si="31"/>
        <v/>
      </c>
      <c r="BG38" s="170">
        <f>IF(BB38&gt;0,IFERROR(GETPIVOTDATA("act_qty",RECPT!$A$63,"yymm","202202","unit","KAL","comm","F"),0),)</f>
        <v>0</v>
      </c>
    </row>
    <row r="39" spans="1:60" ht="21.5" thickBot="1" x14ac:dyDescent="0.3">
      <c r="A39" s="166">
        <f t="shared" si="33"/>
        <v>44621</v>
      </c>
      <c r="B39" s="183">
        <v>63.09</v>
      </c>
      <c r="C39" s="184">
        <v>3.86</v>
      </c>
      <c r="D39" s="184">
        <v>1.46</v>
      </c>
      <c r="E39" s="168">
        <v>9.94</v>
      </c>
      <c r="F39" s="168">
        <v>19.55</v>
      </c>
      <c r="G39" s="168">
        <f t="shared" si="17"/>
        <v>5.32</v>
      </c>
      <c r="H39" s="169">
        <f t="shared" si="18"/>
        <v>0.37823834196891193</v>
      </c>
      <c r="I39" s="170">
        <f>IF(D39&gt;0,IFERROR(GETPIVOTDATA("act_qty",RECPT!$A$63,"yymm","202203","unit","GUA","comm","L"),0),)</f>
        <v>94229.6</v>
      </c>
      <c r="J39" s="119"/>
      <c r="K39" s="166">
        <f t="shared" si="34"/>
        <v>44621</v>
      </c>
      <c r="L39" s="183">
        <v>61.87</v>
      </c>
      <c r="M39" s="184">
        <v>4.9400000000000004</v>
      </c>
      <c r="N39" s="184">
        <v>2.2799999999999998</v>
      </c>
      <c r="O39" s="168">
        <v>6.66</v>
      </c>
      <c r="P39" s="168">
        <v>46.51</v>
      </c>
      <c r="Q39" s="168">
        <f t="shared" si="19"/>
        <v>7.2200000000000006</v>
      </c>
      <c r="R39" s="169">
        <f t="shared" si="20"/>
        <v>0.46153846153846145</v>
      </c>
      <c r="S39" s="170">
        <f>IF(N39&gt;0,IFERROR(GETPIVOTDATA("act_qty",RECPT!$A$63,"yymm","202203","unit","GUA","comm","F"),0),)</f>
        <v>263264.40000000002</v>
      </c>
      <c r="T39" s="104"/>
      <c r="U39" s="172">
        <f t="shared" si="21"/>
        <v>44621</v>
      </c>
      <c r="V39" s="183"/>
      <c r="W39" s="184"/>
      <c r="X39" s="184"/>
      <c r="Y39" s="168"/>
      <c r="Z39" s="168"/>
      <c r="AA39" s="168" t="str">
        <f t="shared" si="22"/>
        <v/>
      </c>
      <c r="AB39" s="169" t="str">
        <f t="shared" si="23"/>
        <v/>
      </c>
      <c r="AC39" s="170">
        <f>IF(X39&gt;0,IFERROR(GETPIVOTDATA("act_qty",RECPT!$A$63,"yymm","202203","unit","BAR","comm","L"),0),)</f>
        <v>0</v>
      </c>
      <c r="AD39" s="171"/>
      <c r="AE39" s="172">
        <f t="shared" si="24"/>
        <v>44621</v>
      </c>
      <c r="AF39" s="183">
        <v>0</v>
      </c>
      <c r="AG39" s="184">
        <v>0</v>
      </c>
      <c r="AH39" s="184">
        <v>0</v>
      </c>
      <c r="AI39" s="168">
        <v>0</v>
      </c>
      <c r="AJ39" s="168">
        <v>0</v>
      </c>
      <c r="AK39" s="168" t="str">
        <f t="shared" si="25"/>
        <v/>
      </c>
      <c r="AL39" s="169" t="str">
        <f t="shared" si="26"/>
        <v/>
      </c>
      <c r="AM39" s="170">
        <f>IF(AH39&gt;0,IFERROR(GETPIVOTDATA("act_qty",RECPT!$A$63,"yymm","202203","unit","BAR","comm","F"),0),)</f>
        <v>0</v>
      </c>
      <c r="AN39" s="104"/>
      <c r="AO39" s="185">
        <f t="shared" si="27"/>
        <v>44621</v>
      </c>
      <c r="AP39" s="183"/>
      <c r="AQ39" s="184"/>
      <c r="AR39" s="184"/>
      <c r="AS39" s="168"/>
      <c r="AT39" s="168"/>
      <c r="AU39" s="168" t="str">
        <f t="shared" si="28"/>
        <v/>
      </c>
      <c r="AV39" s="169" t="str">
        <f t="shared" si="29"/>
        <v/>
      </c>
      <c r="AW39" s="170">
        <f>IF(AR39&gt;0,IFERROR(GETPIVOTDATA("act_qty",RECPT!$A$63,"yymm","202203","unit","KAL","comm","L"),0),)</f>
        <v>0</v>
      </c>
      <c r="AX39" s="104"/>
      <c r="AY39" s="185">
        <f t="shared" si="32"/>
        <v>44621</v>
      </c>
      <c r="AZ39" s="183"/>
      <c r="BA39" s="184"/>
      <c r="BB39" s="184"/>
      <c r="BC39" s="168"/>
      <c r="BD39" s="168"/>
      <c r="BE39" s="168" t="str">
        <f t="shared" si="30"/>
        <v/>
      </c>
      <c r="BF39" s="169" t="str">
        <f t="shared" si="31"/>
        <v/>
      </c>
      <c r="BG39" s="235">
        <f>IF(BB39&gt;0,IFERROR(GETPIVOTDATA("act_qty",RECPT!$A$63,"yymm","202203","unit","KAL","comm","F"),0),)</f>
        <v>0</v>
      </c>
    </row>
    <row r="40" spans="1:60" ht="21.5" thickBot="1" x14ac:dyDescent="0.3">
      <c r="A40" s="191" t="s">
        <v>42</v>
      </c>
      <c r="B40" s="192">
        <v>62.68</v>
      </c>
      <c r="C40" s="192">
        <v>4.3899999999999997</v>
      </c>
      <c r="D40" s="192">
        <v>1.55</v>
      </c>
      <c r="E40" s="192">
        <v>11.71</v>
      </c>
      <c r="F40" s="192">
        <v>11.01</v>
      </c>
      <c r="G40" s="193">
        <f t="shared" si="17"/>
        <v>5.9399999999999995</v>
      </c>
      <c r="H40" s="194">
        <f t="shared" si="18"/>
        <v>0.35307517084282464</v>
      </c>
      <c r="I40" s="195">
        <f>SUM(I28:I39)</f>
        <v>953388.57999999984</v>
      </c>
      <c r="J40" s="119"/>
      <c r="K40" s="191" t="s">
        <v>42</v>
      </c>
      <c r="L40" s="192">
        <v>62.09</v>
      </c>
      <c r="M40" s="192">
        <v>4.6900000000000004</v>
      </c>
      <c r="N40" s="192">
        <v>2.13</v>
      </c>
      <c r="O40" s="192">
        <v>7.02</v>
      </c>
      <c r="P40" s="192">
        <v>43.77</v>
      </c>
      <c r="Q40" s="193">
        <f t="shared" si="19"/>
        <v>6.82</v>
      </c>
      <c r="R40" s="194">
        <f t="shared" si="20"/>
        <v>0.45415778251599143</v>
      </c>
      <c r="S40" s="195">
        <f>SUM(S28:S39)</f>
        <v>2480149.7199999997</v>
      </c>
      <c r="T40" s="104"/>
      <c r="U40" s="191" t="str">
        <f t="shared" si="21"/>
        <v>CUMML</v>
      </c>
      <c r="V40" s="192"/>
      <c r="W40" s="192"/>
      <c r="X40" s="192"/>
      <c r="Y40" s="192"/>
      <c r="Z40" s="192"/>
      <c r="AA40" s="193" t="str">
        <f t="shared" si="22"/>
        <v/>
      </c>
      <c r="AB40" s="194" t="str">
        <f t="shared" si="23"/>
        <v/>
      </c>
      <c r="AC40" s="195">
        <f>SUM(AC28:AC39)</f>
        <v>0</v>
      </c>
      <c r="AD40" s="171"/>
      <c r="AE40" s="196" t="str">
        <f t="shared" si="24"/>
        <v>CUMML</v>
      </c>
      <c r="AF40" s="192">
        <v>62.34</v>
      </c>
      <c r="AG40" s="192">
        <v>3.63</v>
      </c>
      <c r="AH40" s="192">
        <v>2.58</v>
      </c>
      <c r="AI40" s="192">
        <v>6.29</v>
      </c>
      <c r="AJ40" s="192">
        <v>41.96</v>
      </c>
      <c r="AK40" s="193">
        <f t="shared" si="25"/>
        <v>6.21</v>
      </c>
      <c r="AL40" s="194">
        <f t="shared" si="26"/>
        <v>0.71074380165289264</v>
      </c>
      <c r="AM40" s="195">
        <f>SUM(AM28:AM39)</f>
        <v>27483.68</v>
      </c>
      <c r="AN40" s="104"/>
      <c r="AO40" s="197" t="str">
        <f t="shared" si="27"/>
        <v>CUMML</v>
      </c>
      <c r="AP40" s="192"/>
      <c r="AQ40" s="192"/>
      <c r="AR40" s="192"/>
      <c r="AS40" s="192"/>
      <c r="AT40" s="192"/>
      <c r="AU40" s="193" t="str">
        <f t="shared" si="28"/>
        <v/>
      </c>
      <c r="AV40" s="194" t="str">
        <f t="shared" si="29"/>
        <v/>
      </c>
      <c r="AW40" s="195">
        <f>SUM(AW28:AW39)</f>
        <v>0</v>
      </c>
      <c r="AX40" s="104"/>
      <c r="AY40" s="197" t="str">
        <f t="shared" si="32"/>
        <v>CUMML</v>
      </c>
      <c r="AZ40" s="192"/>
      <c r="BA40" s="192"/>
      <c r="BB40" s="192"/>
      <c r="BC40" s="192"/>
      <c r="BD40" s="192"/>
      <c r="BE40" s="193" t="str">
        <f t="shared" si="30"/>
        <v/>
      </c>
      <c r="BF40" s="194" t="str">
        <f t="shared" si="31"/>
        <v/>
      </c>
      <c r="BG40" s="195">
        <f>SUM(BG28:BG39)</f>
        <v>0</v>
      </c>
    </row>
    <row r="41" spans="1:60" s="7" customFormat="1" ht="15.75" customHeight="1" x14ac:dyDescent="0.4">
      <c r="A41" s="209"/>
      <c r="B41" s="209"/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16"/>
    </row>
    <row r="42" spans="1:60" s="18" customFormat="1" ht="26.25" customHeight="1" x14ac:dyDescent="0.4">
      <c r="A42" s="211"/>
      <c r="B42" s="212"/>
      <c r="C42" s="212"/>
      <c r="D42" s="212"/>
      <c r="E42" s="212"/>
      <c r="F42" s="212"/>
      <c r="G42" s="212"/>
      <c r="H42" s="212"/>
      <c r="I42" s="283"/>
      <c r="J42" s="212"/>
      <c r="K42" s="211"/>
      <c r="L42" s="212"/>
      <c r="M42" s="212"/>
      <c r="N42" s="212"/>
      <c r="O42" s="212"/>
      <c r="P42" s="212"/>
      <c r="Q42" s="212"/>
      <c r="R42" s="212"/>
      <c r="S42" s="283"/>
      <c r="T42" s="213"/>
      <c r="U42" s="213"/>
      <c r="V42" s="212"/>
      <c r="W42" s="212"/>
      <c r="X42" s="212"/>
      <c r="Y42" s="212"/>
      <c r="Z42" s="212"/>
      <c r="AA42" s="212"/>
      <c r="AB42" s="212"/>
      <c r="AC42" s="283"/>
      <c r="AD42" s="213"/>
      <c r="AE42" s="213"/>
      <c r="AF42" s="212"/>
      <c r="AG42" s="212"/>
      <c r="AH42" s="212"/>
      <c r="AI42" s="212"/>
      <c r="AJ42" s="212"/>
      <c r="AK42" s="212"/>
      <c r="AL42" s="212"/>
      <c r="AM42" s="213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2"/>
      <c r="BH42" s="17"/>
    </row>
    <row r="43" spans="1:60" s="12" customFormat="1" ht="18.75" customHeight="1" x14ac:dyDescent="0.25">
      <c r="A43" s="221"/>
      <c r="B43" s="205"/>
      <c r="C43" s="205"/>
      <c r="D43" s="205"/>
      <c r="E43" s="205"/>
      <c r="F43" s="205"/>
      <c r="G43" s="205"/>
      <c r="H43" s="205"/>
      <c r="I43" s="222"/>
      <c r="J43" s="212"/>
      <c r="K43" s="221"/>
      <c r="L43" s="205"/>
      <c r="M43" s="205"/>
      <c r="N43" s="205"/>
      <c r="O43" s="205"/>
      <c r="P43" s="205"/>
      <c r="Q43" s="205"/>
      <c r="R43" s="205"/>
      <c r="S43" s="213"/>
      <c r="T43" s="213"/>
      <c r="U43" s="223"/>
      <c r="V43" s="224"/>
      <c r="W43" s="224"/>
      <c r="X43" s="224"/>
      <c r="Y43" s="224"/>
      <c r="Z43" s="224"/>
      <c r="AA43" s="224"/>
      <c r="AB43" s="224"/>
      <c r="AC43" s="224"/>
      <c r="AD43" s="213"/>
      <c r="AE43" s="223"/>
      <c r="AF43" s="224"/>
      <c r="AG43" s="224"/>
      <c r="AH43" s="224"/>
      <c r="AI43" s="224"/>
      <c r="AJ43" s="224"/>
      <c r="AK43" s="224"/>
      <c r="AL43" s="224"/>
      <c r="AM43" s="213"/>
      <c r="AN43" s="213"/>
      <c r="AO43" s="223"/>
      <c r="AP43" s="224"/>
      <c r="AQ43" s="224"/>
      <c r="AR43" s="224"/>
      <c r="AS43" s="224"/>
      <c r="AT43" s="224"/>
      <c r="AU43" s="224"/>
      <c r="AV43" s="224"/>
      <c r="AW43" s="213"/>
      <c r="AX43" s="213"/>
      <c r="AY43" s="223"/>
      <c r="AZ43" s="224"/>
      <c r="BA43" s="224"/>
      <c r="BB43" s="224"/>
      <c r="BC43" s="224"/>
      <c r="BD43" s="224"/>
      <c r="BE43" s="224"/>
      <c r="BF43" s="224"/>
      <c r="BG43" s="213"/>
    </row>
    <row r="44" spans="1:60" s="19" customFormat="1" ht="28" customHeight="1" x14ac:dyDescent="0.6">
      <c r="A44" s="586" t="s">
        <v>46</v>
      </c>
      <c r="B44" s="586"/>
      <c r="C44" s="586"/>
      <c r="D44" s="585" t="s">
        <v>30</v>
      </c>
      <c r="E44" s="585"/>
      <c r="F44" s="585"/>
      <c r="G44" s="246"/>
      <c r="H44" s="246"/>
      <c r="I44" s="246"/>
      <c r="J44" s="104"/>
      <c r="K44" s="586" t="s">
        <v>46</v>
      </c>
      <c r="L44" s="586"/>
      <c r="M44" s="586"/>
      <c r="N44" s="585" t="s">
        <v>31</v>
      </c>
      <c r="O44" s="585"/>
      <c r="P44" s="585"/>
      <c r="Q44" s="246"/>
      <c r="R44" s="246"/>
      <c r="S44" s="104"/>
      <c r="T44" s="104"/>
      <c r="U44" s="586" t="s">
        <v>47</v>
      </c>
      <c r="V44" s="586"/>
      <c r="W44" s="586"/>
      <c r="X44" s="585" t="s">
        <v>30</v>
      </c>
      <c r="Y44" s="585"/>
      <c r="Z44" s="585"/>
      <c r="AA44" s="246"/>
      <c r="AB44" s="246"/>
      <c r="AC44" s="246"/>
      <c r="AD44" s="104"/>
      <c r="AE44" s="586" t="s">
        <v>47</v>
      </c>
      <c r="AF44" s="586"/>
      <c r="AG44" s="586"/>
      <c r="AH44" s="585" t="s">
        <v>31</v>
      </c>
      <c r="AI44" s="585"/>
      <c r="AJ44" s="585"/>
      <c r="AK44" s="246"/>
      <c r="AL44" s="246"/>
      <c r="AM44" s="104"/>
      <c r="AN44" s="104"/>
      <c r="AO44" s="586" t="s">
        <v>48</v>
      </c>
      <c r="AP44" s="586"/>
      <c r="AQ44" s="586"/>
      <c r="AR44" s="585" t="s">
        <v>30</v>
      </c>
      <c r="AS44" s="585"/>
      <c r="AT44" s="585"/>
      <c r="AU44" s="246"/>
      <c r="AV44" s="246"/>
      <c r="AW44" s="246"/>
      <c r="AX44" s="104"/>
      <c r="AY44" s="586" t="s">
        <v>48</v>
      </c>
      <c r="AZ44" s="586"/>
      <c r="BA44" s="586"/>
      <c r="BB44" s="585" t="s">
        <v>31</v>
      </c>
      <c r="BC44" s="585"/>
      <c r="BD44" s="585"/>
      <c r="BE44" s="246"/>
      <c r="BF44" s="246"/>
      <c r="BG44" s="246"/>
    </row>
    <row r="45" spans="1:60" ht="13.5" thickBot="1" x14ac:dyDescent="0.3">
      <c r="A45" s="103"/>
      <c r="B45" s="103"/>
      <c r="C45" s="103"/>
      <c r="D45" s="103"/>
      <c r="E45" s="103"/>
      <c r="F45" s="103"/>
      <c r="G45" s="103"/>
      <c r="H45" s="103"/>
      <c r="I45" s="103"/>
      <c r="J45" s="104"/>
      <c r="K45" s="103"/>
      <c r="L45" s="103"/>
      <c r="M45" s="103"/>
      <c r="N45" s="103"/>
      <c r="O45" s="103"/>
      <c r="P45" s="103"/>
      <c r="Q45" s="103"/>
      <c r="R45" s="103"/>
      <c r="S45" s="104"/>
      <c r="T45" s="104"/>
      <c r="U45" s="103"/>
      <c r="V45" s="103"/>
      <c r="W45" s="103"/>
      <c r="X45" s="103"/>
      <c r="Y45" s="103"/>
      <c r="Z45" s="103"/>
      <c r="AA45" s="103"/>
      <c r="AB45" s="103"/>
      <c r="AC45" s="103"/>
      <c r="AD45" s="104"/>
      <c r="AE45" s="103"/>
      <c r="AF45" s="103"/>
      <c r="AG45" s="103"/>
      <c r="AH45" s="103"/>
      <c r="AI45" s="103"/>
      <c r="AJ45" s="103"/>
      <c r="AK45" s="103"/>
      <c r="AL45" s="103"/>
      <c r="AM45" s="104"/>
      <c r="AN45" s="104"/>
      <c r="AO45" s="103"/>
      <c r="AP45" s="103"/>
      <c r="AQ45" s="103"/>
      <c r="AR45" s="103"/>
      <c r="AS45" s="103"/>
      <c r="AT45" s="103"/>
      <c r="AU45" s="103"/>
      <c r="AV45" s="103"/>
      <c r="AW45" s="103"/>
      <c r="AX45" s="104"/>
      <c r="AY45" s="103"/>
      <c r="AZ45" s="103"/>
      <c r="BA45" s="103"/>
      <c r="BB45" s="103"/>
      <c r="BC45" s="103"/>
      <c r="BD45" s="103"/>
      <c r="BE45" s="103"/>
      <c r="BF45" s="103"/>
      <c r="BG45" s="103"/>
    </row>
    <row r="46" spans="1:60" ht="25" thickBot="1" x14ac:dyDescent="0.3">
      <c r="A46" s="119"/>
      <c r="B46" s="120" t="s">
        <v>34</v>
      </c>
      <c r="C46" s="121" t="s">
        <v>35</v>
      </c>
      <c r="D46" s="121" t="s">
        <v>36</v>
      </c>
      <c r="E46" s="121" t="s">
        <v>37</v>
      </c>
      <c r="F46" s="121" t="s">
        <v>38</v>
      </c>
      <c r="G46" s="124" t="s">
        <v>39</v>
      </c>
      <c r="H46" s="121" t="s">
        <v>40</v>
      </c>
      <c r="I46" s="123" t="s">
        <v>41</v>
      </c>
      <c r="J46" s="104"/>
      <c r="K46" s="119"/>
      <c r="L46" s="120" t="s">
        <v>34</v>
      </c>
      <c r="M46" s="121" t="s">
        <v>35</v>
      </c>
      <c r="N46" s="121" t="s">
        <v>36</v>
      </c>
      <c r="O46" s="121" t="s">
        <v>37</v>
      </c>
      <c r="P46" s="121" t="s">
        <v>38</v>
      </c>
      <c r="Q46" s="124" t="s">
        <v>39</v>
      </c>
      <c r="R46" s="121" t="s">
        <v>40</v>
      </c>
      <c r="S46" s="123" t="s">
        <v>41</v>
      </c>
      <c r="T46" s="104"/>
      <c r="U46" s="119"/>
      <c r="V46" s="120" t="s">
        <v>34</v>
      </c>
      <c r="W46" s="121" t="s">
        <v>35</v>
      </c>
      <c r="X46" s="121" t="s">
        <v>36</v>
      </c>
      <c r="Y46" s="121" t="s">
        <v>37</v>
      </c>
      <c r="Z46" s="121" t="s">
        <v>38</v>
      </c>
      <c r="AA46" s="124" t="s">
        <v>39</v>
      </c>
      <c r="AB46" s="121" t="s">
        <v>40</v>
      </c>
      <c r="AC46" s="123" t="s">
        <v>41</v>
      </c>
      <c r="AD46" s="104"/>
      <c r="AE46" s="119"/>
      <c r="AF46" s="120" t="s">
        <v>34</v>
      </c>
      <c r="AG46" s="121" t="s">
        <v>35</v>
      </c>
      <c r="AH46" s="121" t="s">
        <v>36</v>
      </c>
      <c r="AI46" s="121" t="s">
        <v>37</v>
      </c>
      <c r="AJ46" s="121" t="s">
        <v>38</v>
      </c>
      <c r="AK46" s="124" t="s">
        <v>39</v>
      </c>
      <c r="AL46" s="121" t="s">
        <v>40</v>
      </c>
      <c r="AM46" s="123" t="s">
        <v>41</v>
      </c>
      <c r="AN46" s="104"/>
      <c r="AO46" s="126"/>
      <c r="AP46" s="120" t="s">
        <v>34</v>
      </c>
      <c r="AQ46" s="121" t="s">
        <v>35</v>
      </c>
      <c r="AR46" s="121" t="s">
        <v>36</v>
      </c>
      <c r="AS46" s="121" t="s">
        <v>37</v>
      </c>
      <c r="AT46" s="125" t="s">
        <v>38</v>
      </c>
      <c r="AU46" s="124" t="s">
        <v>39</v>
      </c>
      <c r="AV46" s="121" t="s">
        <v>40</v>
      </c>
      <c r="AW46" s="250" t="s">
        <v>41</v>
      </c>
      <c r="AX46" s="251"/>
      <c r="AY46" s="126"/>
      <c r="AZ46" s="120" t="s">
        <v>34</v>
      </c>
      <c r="BA46" s="121" t="s">
        <v>35</v>
      </c>
      <c r="BB46" s="121" t="s">
        <v>36</v>
      </c>
      <c r="BC46" s="121" t="s">
        <v>37</v>
      </c>
      <c r="BD46" s="125" t="s">
        <v>38</v>
      </c>
      <c r="BE46" s="124" t="s">
        <v>39</v>
      </c>
      <c r="BF46" s="121" t="s">
        <v>40</v>
      </c>
      <c r="BG46" s="250" t="s">
        <v>41</v>
      </c>
      <c r="BH46" s="20"/>
    </row>
    <row r="47" spans="1:60" ht="21.5" thickBot="1" x14ac:dyDescent="0.3">
      <c r="A47" s="132" t="str">
        <f>A5</f>
        <v>Act 20-21</v>
      </c>
      <c r="B47" s="133"/>
      <c r="C47" s="133"/>
      <c r="D47" s="133"/>
      <c r="E47" s="168"/>
      <c r="F47" s="168"/>
      <c r="G47" s="134" t="str">
        <f t="shared" ref="G47:G61" si="35">IF(C47&gt;0,+D47+C47,"")</f>
        <v/>
      </c>
      <c r="H47" s="134" t="str">
        <f t="shared" ref="H47:H61" si="36">IF(C47&gt;0,+D47/C47,"")</f>
        <v/>
      </c>
      <c r="I47" s="135"/>
      <c r="J47" s="104"/>
      <c r="K47" s="132" t="str">
        <f>A5</f>
        <v>Act 20-21</v>
      </c>
      <c r="L47" s="133"/>
      <c r="M47" s="133"/>
      <c r="N47" s="133"/>
      <c r="O47" s="168"/>
      <c r="P47" s="168"/>
      <c r="Q47" s="134" t="str">
        <f t="shared" ref="Q47:Q61" si="37">IF(M47&gt;0,+N47+M47,"")</f>
        <v/>
      </c>
      <c r="R47" s="134" t="str">
        <f t="shared" ref="R47:R61" si="38">IF(M47&gt;0,+N47/M47,"")</f>
        <v/>
      </c>
      <c r="S47" s="135"/>
      <c r="T47" s="104"/>
      <c r="U47" s="132" t="str">
        <f>K47</f>
        <v>Act 20-21</v>
      </c>
      <c r="V47" s="133"/>
      <c r="W47" s="133"/>
      <c r="X47" s="133"/>
      <c r="Y47" s="168"/>
      <c r="Z47" s="168"/>
      <c r="AA47" s="134" t="str">
        <f t="shared" ref="AA47:AA61" si="39">IF(W47&gt;0,+X47+W47,"")</f>
        <v/>
      </c>
      <c r="AB47" s="134" t="str">
        <f t="shared" ref="AB47:AB61" si="40">IF(W47&gt;0,+X47/W47,"")</f>
        <v/>
      </c>
      <c r="AC47" s="135"/>
      <c r="AD47" s="104"/>
      <c r="AE47" s="132" t="str">
        <f>K47</f>
        <v>Act 20-21</v>
      </c>
      <c r="AF47" s="139"/>
      <c r="AG47" s="134"/>
      <c r="AH47" s="134"/>
      <c r="AI47" s="168"/>
      <c r="AJ47" s="168"/>
      <c r="AK47" s="134" t="str">
        <f t="shared" ref="AK47:AK61" si="41">IF(AG47&gt;0,+AH47+AG47,"")</f>
        <v/>
      </c>
      <c r="AL47" s="134" t="str">
        <f t="shared" ref="AL47:AL61" si="42">IF(AG47&gt;0,+AH47/AG47,"")</f>
        <v/>
      </c>
      <c r="AM47" s="140"/>
      <c r="AN47" s="104"/>
      <c r="AO47" s="136" t="str">
        <f>AE47</f>
        <v>Act 20-21</v>
      </c>
      <c r="AP47" s="133">
        <v>63.139678565511346</v>
      </c>
      <c r="AQ47" s="133">
        <v>3.4480857058870686</v>
      </c>
      <c r="AR47" s="133">
        <v>1.8906989123754041</v>
      </c>
      <c r="AS47" s="133">
        <v>16.055575329360522</v>
      </c>
      <c r="AT47" s="133">
        <v>4.3657793645279392</v>
      </c>
      <c r="AU47" s="134">
        <f t="shared" ref="AU47:AU61" si="43">IF(AQ47&gt;0,+AR47+AQ47,"")</f>
        <v>5.3387846182624727</v>
      </c>
      <c r="AV47" s="134">
        <f t="shared" ref="AV47:AV48" si="44">IF(AQ47=0,0,AR47/AQ47)</f>
        <v>0.54833292256840671</v>
      </c>
      <c r="AW47" s="140"/>
      <c r="AX47" s="104"/>
      <c r="AY47" s="136" t="str">
        <f>+AO47</f>
        <v>Act 20-21</v>
      </c>
      <c r="AZ47" s="133">
        <v>61.928373398064736</v>
      </c>
      <c r="BA47" s="133">
        <v>4.1647974273115977</v>
      </c>
      <c r="BB47" s="133">
        <v>2.8851103769362014</v>
      </c>
      <c r="BC47" s="133">
        <v>8.3081115875618021</v>
      </c>
      <c r="BD47" s="133">
        <v>41.619309405674386</v>
      </c>
      <c r="BE47" s="134">
        <f t="shared" ref="BE47:BE61" si="45">IF(BA47&gt;0,+BB47+BA47,"")</f>
        <v>7.0499078042477992</v>
      </c>
      <c r="BF47" s="134">
        <f t="shared" ref="BF47:BF48" si="46">IF(BA47=0,0,BB47/BA47)</f>
        <v>0.69273726448648854</v>
      </c>
      <c r="BG47" s="140"/>
    </row>
    <row r="48" spans="1:60" ht="21" x14ac:dyDescent="0.25">
      <c r="A48" s="145" t="str">
        <f>A6</f>
        <v>APP 21-22</v>
      </c>
      <c r="B48" s="146">
        <f t="array" ref="B48:F48">BSP!B48:F48</f>
        <v>62.5</v>
      </c>
      <c r="C48" s="147">
        <v>2.4</v>
      </c>
      <c r="D48" s="147">
        <v>2.4</v>
      </c>
      <c r="E48" s="147">
        <v>5</v>
      </c>
      <c r="F48" s="147">
        <v>10</v>
      </c>
      <c r="G48" s="147">
        <f t="shared" si="35"/>
        <v>4.8</v>
      </c>
      <c r="H48" s="148">
        <f t="shared" si="36"/>
        <v>1</v>
      </c>
      <c r="I48" s="149"/>
      <c r="J48" s="153"/>
      <c r="K48" s="145" t="str">
        <f>A6</f>
        <v>APP 21-22</v>
      </c>
      <c r="L48" s="146">
        <f t="array" ref="L48:P48">BSP!L48:P48</f>
        <v>62.2</v>
      </c>
      <c r="M48" s="147">
        <v>3</v>
      </c>
      <c r="N48" s="147">
        <v>3</v>
      </c>
      <c r="O48" s="147">
        <v>5</v>
      </c>
      <c r="P48" s="147">
        <v>40</v>
      </c>
      <c r="Q48" s="147">
        <f t="shared" si="37"/>
        <v>6</v>
      </c>
      <c r="R48" s="148">
        <f t="shared" si="38"/>
        <v>1</v>
      </c>
      <c r="S48" s="149"/>
      <c r="T48" s="104"/>
      <c r="U48" s="145" t="str">
        <f>K48</f>
        <v>APP 21-22</v>
      </c>
      <c r="V48" s="146">
        <f t="array" ref="V48:Z48">BSP!V48:AA48</f>
        <v>63</v>
      </c>
      <c r="W48" s="147">
        <v>2.5</v>
      </c>
      <c r="X48" s="147">
        <v>2.2000000000000002</v>
      </c>
      <c r="Y48" s="147">
        <v>10</v>
      </c>
      <c r="Z48" s="147">
        <v>10</v>
      </c>
      <c r="AA48" s="147">
        <f t="shared" si="39"/>
        <v>4.7</v>
      </c>
      <c r="AB48" s="148">
        <f t="shared" si="40"/>
        <v>0.88000000000000012</v>
      </c>
      <c r="AC48" s="149"/>
      <c r="AD48" s="153"/>
      <c r="AE48" s="145" t="str">
        <f>K48</f>
        <v>APP 21-22</v>
      </c>
      <c r="AF48" s="147">
        <f t="array" ref="AF48:AJ48">BSP!AF48:AJ48</f>
        <v>63</v>
      </c>
      <c r="AG48" s="147">
        <v>2.8</v>
      </c>
      <c r="AH48" s="147">
        <v>2.4</v>
      </c>
      <c r="AI48" s="147">
        <v>5</v>
      </c>
      <c r="AJ48" s="147">
        <v>40</v>
      </c>
      <c r="AK48" s="147">
        <f t="shared" si="41"/>
        <v>5.1999999999999993</v>
      </c>
      <c r="AL48" s="154">
        <f t="shared" si="42"/>
        <v>0.85714285714285721</v>
      </c>
      <c r="AM48" s="155"/>
      <c r="AN48" s="104"/>
      <c r="AO48" s="156" t="str">
        <f t="shared" ref="AO48:AO61" si="47">K48</f>
        <v>APP 21-22</v>
      </c>
      <c r="AP48" s="146">
        <v>62.5</v>
      </c>
      <c r="AQ48" s="147">
        <v>3.4793028322440089</v>
      </c>
      <c r="AR48" s="147">
        <v>2.2000000000000002</v>
      </c>
      <c r="AS48" s="147">
        <v>10</v>
      </c>
      <c r="AT48" s="147">
        <v>10</v>
      </c>
      <c r="AU48" s="147">
        <f t="shared" si="43"/>
        <v>5.6793028322440087</v>
      </c>
      <c r="AV48" s="148">
        <f t="shared" si="44"/>
        <v>0.63231058234189108</v>
      </c>
      <c r="AW48" s="155">
        <f t="shared" ref="AW48:AW60" si="48">+I6+I27+I48+AC6+AC27+AC48+AW6+AW27</f>
        <v>0</v>
      </c>
      <c r="AX48" s="152"/>
      <c r="AY48" s="156" t="str">
        <f>+AO48</f>
        <v>APP 21-22</v>
      </c>
      <c r="AZ48" s="146">
        <v>61.908062645011604</v>
      </c>
      <c r="BA48" s="147">
        <v>3.8837006960556844</v>
      </c>
      <c r="BB48" s="147">
        <v>2.7024361948955917</v>
      </c>
      <c r="BC48" s="147">
        <v>5</v>
      </c>
      <c r="BD48" s="147">
        <v>40</v>
      </c>
      <c r="BE48" s="147">
        <f t="shared" si="45"/>
        <v>6.5861368909512761</v>
      </c>
      <c r="BF48" s="148">
        <f t="shared" si="46"/>
        <v>0.69584048988126357</v>
      </c>
      <c r="BG48" s="155">
        <f t="shared" ref="BG48:BG60" si="49">+S6+S27+S48+AM6+AM27+AM48+BG6+BG27</f>
        <v>0</v>
      </c>
    </row>
    <row r="49" spans="1:59" ht="21" x14ac:dyDescent="0.25">
      <c r="A49" s="166">
        <f>A7</f>
        <v>44287</v>
      </c>
      <c r="B49" s="167"/>
      <c r="C49" s="168"/>
      <c r="D49" s="168"/>
      <c r="E49" s="168"/>
      <c r="F49" s="168"/>
      <c r="G49" s="168" t="str">
        <f t="shared" si="35"/>
        <v/>
      </c>
      <c r="H49" s="169" t="str">
        <f t="shared" si="36"/>
        <v/>
      </c>
      <c r="I49" s="170">
        <f>IF(D49&gt;0,IFERROR(GETPIVOTDATA("act_qty",RECPT!$A$63,"yymm","202104","unit","TAL","comm","L"),0),)</f>
        <v>0</v>
      </c>
      <c r="J49" s="171"/>
      <c r="K49" s="166">
        <f>A7</f>
        <v>44287</v>
      </c>
      <c r="L49" s="167"/>
      <c r="M49" s="168"/>
      <c r="N49" s="168"/>
      <c r="O49" s="168"/>
      <c r="P49" s="168"/>
      <c r="Q49" s="168" t="str">
        <f t="shared" si="37"/>
        <v/>
      </c>
      <c r="R49" s="169" t="str">
        <f t="shared" si="38"/>
        <v/>
      </c>
      <c r="S49" s="170">
        <f>IF(N49&gt;0,IFERROR(GETPIVOTDATA("act_qty",RECPT!$A$63,"yymm","202104","unit","TAL","comm","F"),0),)</f>
        <v>0</v>
      </c>
      <c r="T49" s="104"/>
      <c r="U49" s="166">
        <f>A7</f>
        <v>44287</v>
      </c>
      <c r="V49" s="167"/>
      <c r="W49" s="168"/>
      <c r="X49" s="168"/>
      <c r="Y49" s="168"/>
      <c r="Z49" s="168"/>
      <c r="AA49" s="168" t="str">
        <f t="shared" si="39"/>
        <v/>
      </c>
      <c r="AB49" s="169" t="str">
        <f t="shared" si="40"/>
        <v/>
      </c>
      <c r="AC49" s="170">
        <f>IF(X49&gt;0,IFERROR(GETPIVOTDATA("act_qty",RECPT!$A$63,"yymm","202104","unit","MPR","comm","L"),0),)</f>
        <v>0</v>
      </c>
      <c r="AD49" s="171"/>
      <c r="AE49" s="166">
        <f>A7</f>
        <v>44287</v>
      </c>
      <c r="AF49" s="167"/>
      <c r="AG49" s="168"/>
      <c r="AH49" s="168"/>
      <c r="AI49" s="168"/>
      <c r="AJ49" s="168"/>
      <c r="AK49" s="168" t="str">
        <f t="shared" si="41"/>
        <v/>
      </c>
      <c r="AL49" s="169" t="str">
        <f t="shared" si="42"/>
        <v/>
      </c>
      <c r="AM49" s="170">
        <f>IF(AH49&gt;0,IFERROR(GETPIVOTDATA("act_qty",RECPT!$A$63,"yymm","202104","unit","MPR","comm","F"),0),)</f>
        <v>0</v>
      </c>
      <c r="AN49" s="104"/>
      <c r="AO49" s="172">
        <f t="shared" si="47"/>
        <v>44287</v>
      </c>
      <c r="AP49" s="167">
        <f t="shared" ref="AP49:AP60" si="50">IF(AW49=0,0,(B7*$I7+B28*$I28+B49*$I49+V7*$AC7+V28*$AC28+V49*$AC49+AP7*$AW7+AP28*$AW28)/$AW49)</f>
        <v>62.549801407277094</v>
      </c>
      <c r="AQ49" s="168">
        <f t="shared" ref="AQ49:AQ60" si="51">IF(AW49=0,0,(C7*$I7+C28*$I28+C49*$I49+W7*$AC7+W28*$AC28+W49*$AC49+AQ7*$AW7+AQ28*$AW28)/$AW49)</f>
        <v>3.756907230811962</v>
      </c>
      <c r="AR49" s="168">
        <f t="shared" ref="AR49:AR60" si="52">IF(AW49=0,0,(D7*$I7+D28*$I28+D49*$I49+X7*$AC7+X28*$AC28+X49*$AC49+AR7*$AW7+AR28*$AW28)/$AW49)</f>
        <v>2.1535112489584298</v>
      </c>
      <c r="AS49" s="168">
        <f t="shared" ref="AS49:AS60" si="53">IF(AW49=0,0,(E7*$I7+E28*$I28+E49*$I49+Y7*$AC7+Y28*$AC28+Y49*$AC49+AS7*$AW7+AS28*$AW28)/$AW49)</f>
        <v>11.024906953059903</v>
      </c>
      <c r="AT49" s="168">
        <f t="shared" ref="AT49:AT60" si="54">IF(AW49=0,0,(F7*$I7+F28*$I28+F49*$I49+Z7*$AC7+Z28*$AC28+Z49*$AC49+AT7*$AW7+AT28*$AW28)/$AW49)</f>
        <v>3.2468345523562632</v>
      </c>
      <c r="AU49" s="168">
        <f t="shared" si="43"/>
        <v>5.9104184797703923</v>
      </c>
      <c r="AV49" s="169">
        <f t="shared" ref="AV49:AV60" si="55">IF(AQ49=0,0,AR49/AQ49)</f>
        <v>0.57321384762886518</v>
      </c>
      <c r="AW49" s="170">
        <f t="shared" si="48"/>
        <v>43204</v>
      </c>
      <c r="AX49" s="104"/>
      <c r="AY49" s="172">
        <f t="shared" ref="AY49:AY60" si="56">AO49</f>
        <v>44287</v>
      </c>
      <c r="AZ49" s="167">
        <f t="shared" ref="AZ49:AZ60" si="57">IF(BG49=0,0,((L7*$S7+L28*$S28+L49*$S49+AF7*$AM7+AF28*$AM28+AF49*$AM49+AZ7*$BG7+AZ28*$BG28)/$BG49))</f>
        <v>61.075574966789667</v>
      </c>
      <c r="BA49" s="168">
        <f t="shared" ref="BA49:BA60" si="58">IF(BG49=0,0,((M7*$S7+M28*$S28+M49*$S49+AG7*$AM7+AG28*$AM28+AG49*$AM49+BA7*$BG7+BA28*$BG28)/$BG49))</f>
        <v>4.3369111143911434</v>
      </c>
      <c r="BB49" s="168">
        <f t="shared" ref="BB49:BB60" si="59">IF(BG49=0,0,((N7*$S7+N28*$S28+N49*$S49+AH7*$AM7+AH28*$AM28+AH49*$AM49+BB7*$BG7+BB28*$BG28)/$BG49))</f>
        <v>3.7208485313653141</v>
      </c>
      <c r="BC49" s="168">
        <f t="shared" ref="BC49:BC60" si="60">IF(BG49=0,0,((O7*$S7+O28*$S28+O49*$S49+AI7*$AM7+AI28*$AM28+AI49*$AM49+BC7*$BG7+BC28*$BG28)/$BG49))</f>
        <v>7.5385486642066413</v>
      </c>
      <c r="BD49" s="168">
        <f t="shared" ref="BD49:BD60" si="61">IF(BG49=0,0,((P7*$S7+P28*$S28+P49*$S49+AJ7*$AM7+AJ28*$AM28+AJ49*$AM49+BD7*$BG7+BD28*$BG28)/$BG49))</f>
        <v>44.202486081180808</v>
      </c>
      <c r="BE49" s="168">
        <f t="shared" si="45"/>
        <v>8.0577596457564571</v>
      </c>
      <c r="BF49" s="169">
        <f t="shared" ref="BF49:BF60" si="62">IF(BA49=0,0,BB49/BA49)</f>
        <v>0.85794899485452836</v>
      </c>
      <c r="BG49" s="170">
        <f t="shared" si="49"/>
        <v>169375</v>
      </c>
    </row>
    <row r="50" spans="1:59" ht="21" x14ac:dyDescent="0.25">
      <c r="A50" s="166">
        <f t="shared" ref="A50:A60" si="63">A8</f>
        <v>44317</v>
      </c>
      <c r="B50" s="167"/>
      <c r="C50" s="168"/>
      <c r="D50" s="168"/>
      <c r="E50" s="168"/>
      <c r="F50" s="168"/>
      <c r="G50" s="168" t="str">
        <f t="shared" si="35"/>
        <v/>
      </c>
      <c r="H50" s="169" t="str">
        <f t="shared" si="36"/>
        <v/>
      </c>
      <c r="I50" s="170">
        <f>IF(D50&gt;0,IFERROR(GETPIVOTDATA("act_qty",RECPT!$A$63,"yymm","202105","unit","TAL","comm","L"),0),)</f>
        <v>0</v>
      </c>
      <c r="J50" s="171"/>
      <c r="K50" s="166">
        <f t="shared" ref="K50:K60" si="64">A8</f>
        <v>44317</v>
      </c>
      <c r="L50" s="167"/>
      <c r="M50" s="168"/>
      <c r="N50" s="168"/>
      <c r="O50" s="168"/>
      <c r="P50" s="168"/>
      <c r="Q50" s="168" t="str">
        <f t="shared" si="37"/>
        <v/>
      </c>
      <c r="R50" s="169" t="str">
        <f t="shared" si="38"/>
        <v/>
      </c>
      <c r="S50" s="170">
        <f>IF(N50&gt;0,IFERROR(GETPIVOTDATA("act_qty",RECPT!$A$63,"yymm","202105","unit","TAL","comm","F"),0),)</f>
        <v>0</v>
      </c>
      <c r="T50" s="104"/>
      <c r="U50" s="166">
        <f t="shared" ref="U50:U60" si="65">A8</f>
        <v>44317</v>
      </c>
      <c r="V50" s="167"/>
      <c r="W50" s="168"/>
      <c r="X50" s="168"/>
      <c r="Y50" s="168"/>
      <c r="Z50" s="168"/>
      <c r="AA50" s="168" t="str">
        <f t="shared" si="39"/>
        <v/>
      </c>
      <c r="AB50" s="169" t="str">
        <f t="shared" si="40"/>
        <v/>
      </c>
      <c r="AC50" s="170">
        <f>IF(X50&gt;0,IFERROR(GETPIVOTDATA("act_qty",RECPT!$A$63,"yymm","202105","unit","MPR","comm","L"),0),)</f>
        <v>0</v>
      </c>
      <c r="AD50" s="171"/>
      <c r="AE50" s="166">
        <f t="shared" ref="AE50:AE60" si="66">A8</f>
        <v>44317</v>
      </c>
      <c r="AF50" s="167"/>
      <c r="AG50" s="168"/>
      <c r="AH50" s="168"/>
      <c r="AI50" s="168"/>
      <c r="AJ50" s="168"/>
      <c r="AK50" s="168" t="str">
        <f t="shared" si="41"/>
        <v/>
      </c>
      <c r="AL50" s="169" t="str">
        <f t="shared" si="42"/>
        <v/>
      </c>
      <c r="AM50" s="170">
        <f>IF(AH50&gt;0,IFERROR(GETPIVOTDATA("act_qty",RECPT!$A$63,"yymm","202105","unit","MPR","comm","F"),0),)</f>
        <v>0</v>
      </c>
      <c r="AN50" s="104"/>
      <c r="AO50" s="172">
        <f t="shared" si="47"/>
        <v>44317</v>
      </c>
      <c r="AP50" s="167">
        <f t="shared" si="50"/>
        <v>63.448127811742999</v>
      </c>
      <c r="AQ50" s="168">
        <f t="shared" si="51"/>
        <v>3.0184334986734336</v>
      </c>
      <c r="AR50" s="168">
        <f t="shared" si="52"/>
        <v>1.5111246971969086</v>
      </c>
      <c r="AS50" s="168">
        <f t="shared" si="53"/>
        <v>14.232562002537779</v>
      </c>
      <c r="AT50" s="168">
        <f t="shared" si="54"/>
        <v>2.3151920636751644</v>
      </c>
      <c r="AU50" s="168">
        <f t="shared" si="43"/>
        <v>4.5295581958703419</v>
      </c>
      <c r="AV50" s="169">
        <f t="shared" si="55"/>
        <v>0.50063209868994307</v>
      </c>
      <c r="AW50" s="170">
        <f t="shared" si="48"/>
        <v>60683</v>
      </c>
      <c r="AX50" s="104"/>
      <c r="AY50" s="172">
        <f t="shared" si="56"/>
        <v>44317</v>
      </c>
      <c r="AZ50" s="167">
        <f t="shared" si="57"/>
        <v>62.790450715805761</v>
      </c>
      <c r="BA50" s="168">
        <f t="shared" si="58"/>
        <v>3.3986219288063459</v>
      </c>
      <c r="BB50" s="168">
        <f t="shared" si="59"/>
        <v>2.0595622460824141</v>
      </c>
      <c r="BC50" s="168">
        <f t="shared" si="60"/>
        <v>6.7805349680789329</v>
      </c>
      <c r="BD50" s="168">
        <f t="shared" si="61"/>
        <v>43.951666763397171</v>
      </c>
      <c r="BE50" s="168">
        <f t="shared" si="45"/>
        <v>5.4581841748887605</v>
      </c>
      <c r="BF50" s="169">
        <f t="shared" si="62"/>
        <v>0.60599922239828763</v>
      </c>
      <c r="BG50" s="170">
        <f t="shared" si="49"/>
        <v>206760</v>
      </c>
    </row>
    <row r="51" spans="1:59" ht="21" x14ac:dyDescent="0.25">
      <c r="A51" s="166">
        <f t="shared" si="63"/>
        <v>44348</v>
      </c>
      <c r="B51" s="167"/>
      <c r="C51" s="168"/>
      <c r="D51" s="168"/>
      <c r="E51" s="168"/>
      <c r="F51" s="168"/>
      <c r="G51" s="168" t="str">
        <f t="shared" si="35"/>
        <v/>
      </c>
      <c r="H51" s="169" t="str">
        <f t="shared" si="36"/>
        <v/>
      </c>
      <c r="I51" s="170">
        <f>IF(D51&gt;0,IFERROR(GETPIVOTDATA("act_qty",RECPT!$A$63,"yymm","202106","unit","TAL","comm","L"),0),)</f>
        <v>0</v>
      </c>
      <c r="J51" s="171"/>
      <c r="K51" s="166">
        <f t="shared" si="64"/>
        <v>44348</v>
      </c>
      <c r="L51" s="167"/>
      <c r="M51" s="168"/>
      <c r="N51" s="168"/>
      <c r="O51" s="168"/>
      <c r="P51" s="168"/>
      <c r="Q51" s="168" t="str">
        <f t="shared" si="37"/>
        <v/>
      </c>
      <c r="R51" s="169" t="str">
        <f t="shared" si="38"/>
        <v/>
      </c>
      <c r="S51" s="170">
        <f>IF(N51&gt;0,IFERROR(GETPIVOTDATA("act_qty",RECPT!$A$63,"yymm","202106","unit","TAL","comm","F"),0),)</f>
        <v>0</v>
      </c>
      <c r="T51" s="104"/>
      <c r="U51" s="166">
        <f t="shared" si="65"/>
        <v>44348</v>
      </c>
      <c r="V51" s="167"/>
      <c r="W51" s="168"/>
      <c r="X51" s="168"/>
      <c r="Y51" s="168"/>
      <c r="Z51" s="168"/>
      <c r="AA51" s="168" t="str">
        <f t="shared" si="39"/>
        <v/>
      </c>
      <c r="AB51" s="169" t="str">
        <f t="shared" si="40"/>
        <v/>
      </c>
      <c r="AC51" s="170">
        <f>IF(X51&gt;0,IFERROR(GETPIVOTDATA("act_qty",RECPT!$A$63,"yymm","202106","unit","MPR","comm","L"),0),)</f>
        <v>0</v>
      </c>
      <c r="AD51" s="171"/>
      <c r="AE51" s="166">
        <f t="shared" si="66"/>
        <v>44348</v>
      </c>
      <c r="AF51" s="167"/>
      <c r="AG51" s="168"/>
      <c r="AH51" s="168"/>
      <c r="AI51" s="168"/>
      <c r="AJ51" s="168"/>
      <c r="AK51" s="168" t="str">
        <f t="shared" si="41"/>
        <v/>
      </c>
      <c r="AL51" s="169" t="str">
        <f t="shared" si="42"/>
        <v/>
      </c>
      <c r="AM51" s="170">
        <f>IF(AH51&gt;0,IFERROR(GETPIVOTDATA("act_qty",RECPT!$A$63,"yymm","202106","unit","MPR","comm","F"),0),)</f>
        <v>0</v>
      </c>
      <c r="AN51" s="104"/>
      <c r="AO51" s="172">
        <f t="shared" si="47"/>
        <v>44348</v>
      </c>
      <c r="AP51" s="167">
        <f t="shared" si="50"/>
        <v>60.921585967720418</v>
      </c>
      <c r="AQ51" s="168">
        <f t="shared" si="51"/>
        <v>7.4014365746298516</v>
      </c>
      <c r="AR51" s="168">
        <f t="shared" si="52"/>
        <v>1.2724983326663999</v>
      </c>
      <c r="AS51" s="168">
        <f t="shared" si="53"/>
        <v>15.982538348672803</v>
      </c>
      <c r="AT51" s="168">
        <f t="shared" si="54"/>
        <v>2.8088221955448844</v>
      </c>
      <c r="AU51" s="168">
        <f t="shared" si="43"/>
        <v>8.6739349072962515</v>
      </c>
      <c r="AV51" s="169">
        <f t="shared" si="55"/>
        <v>0.17192585788388492</v>
      </c>
      <c r="AW51" s="170">
        <f t="shared" si="48"/>
        <v>89964</v>
      </c>
      <c r="AX51" s="104"/>
      <c r="AY51" s="172">
        <f t="shared" si="56"/>
        <v>44348</v>
      </c>
      <c r="AZ51" s="167">
        <f t="shared" si="57"/>
        <v>61.55947907297957</v>
      </c>
      <c r="BA51" s="168">
        <f t="shared" si="58"/>
        <v>5.4609958402929459</v>
      </c>
      <c r="BB51" s="168">
        <f t="shared" si="59"/>
        <v>2.1018440832583836</v>
      </c>
      <c r="BC51" s="168">
        <f t="shared" si="60"/>
        <v>7.5338893260953359</v>
      </c>
      <c r="BD51" s="168">
        <f t="shared" si="61"/>
        <v>41.701127136065779</v>
      </c>
      <c r="BE51" s="168">
        <f t="shared" si="45"/>
        <v>7.5628399235513299</v>
      </c>
      <c r="BF51" s="169">
        <f t="shared" si="62"/>
        <v>0.38488293064614998</v>
      </c>
      <c r="BG51" s="170">
        <f t="shared" si="49"/>
        <v>249056</v>
      </c>
    </row>
    <row r="52" spans="1:59" ht="21" x14ac:dyDescent="0.25">
      <c r="A52" s="166">
        <f t="shared" si="63"/>
        <v>44378</v>
      </c>
      <c r="B52" s="167"/>
      <c r="C52" s="168"/>
      <c r="D52" s="168"/>
      <c r="E52" s="168"/>
      <c r="F52" s="168"/>
      <c r="G52" s="168" t="str">
        <f t="shared" si="35"/>
        <v/>
      </c>
      <c r="H52" s="169" t="str">
        <f t="shared" si="36"/>
        <v/>
      </c>
      <c r="I52" s="170">
        <f>IF(D52&gt;0,IFERROR(GETPIVOTDATA("act_qty",RECPT!$A$63,"yymm","202107","unit","TAL","comm","L"),0),)</f>
        <v>0</v>
      </c>
      <c r="J52" s="171"/>
      <c r="K52" s="166">
        <f t="shared" si="64"/>
        <v>44378</v>
      </c>
      <c r="L52" s="167"/>
      <c r="M52" s="168"/>
      <c r="N52" s="168"/>
      <c r="O52" s="168"/>
      <c r="P52" s="168"/>
      <c r="Q52" s="168" t="str">
        <f t="shared" si="37"/>
        <v/>
      </c>
      <c r="R52" s="169" t="str">
        <f t="shared" si="38"/>
        <v/>
      </c>
      <c r="S52" s="170">
        <f>IF(N52&gt;0,IFERROR(GETPIVOTDATA("act_qty",RECPT!$A$63,"yymm","202107","unit","TAL","comm","F"),0),)</f>
        <v>0</v>
      </c>
      <c r="T52" s="104"/>
      <c r="U52" s="166">
        <f t="shared" si="65"/>
        <v>44378</v>
      </c>
      <c r="V52" s="167"/>
      <c r="W52" s="168"/>
      <c r="X52" s="168"/>
      <c r="Y52" s="168"/>
      <c r="Z52" s="168"/>
      <c r="AA52" s="168" t="str">
        <f t="shared" si="39"/>
        <v/>
      </c>
      <c r="AB52" s="169" t="str">
        <f t="shared" si="40"/>
        <v/>
      </c>
      <c r="AC52" s="170">
        <f>IF(X52&gt;0,IFERROR(GETPIVOTDATA("act_qty",RECPT!$A$63,"yymm","202107","unit","MPR","comm","L"),0),)</f>
        <v>0</v>
      </c>
      <c r="AD52" s="171"/>
      <c r="AE52" s="166">
        <f t="shared" si="66"/>
        <v>44378</v>
      </c>
      <c r="AF52" s="167"/>
      <c r="AG52" s="168"/>
      <c r="AH52" s="168"/>
      <c r="AI52" s="168"/>
      <c r="AJ52" s="168"/>
      <c r="AK52" s="168" t="str">
        <f t="shared" si="41"/>
        <v/>
      </c>
      <c r="AL52" s="169" t="str">
        <f t="shared" si="42"/>
        <v/>
      </c>
      <c r="AM52" s="170">
        <f>IF(AH52&gt;0,IFERROR(GETPIVOTDATA("act_qty",RECPT!$A$63,"yymm","202107","unit","MPR","comm","F"),0),)</f>
        <v>0</v>
      </c>
      <c r="AN52" s="104"/>
      <c r="AO52" s="172">
        <f t="shared" si="47"/>
        <v>44378</v>
      </c>
      <c r="AP52" s="167">
        <f t="shared" si="50"/>
        <v>62.822748996020422</v>
      </c>
      <c r="AQ52" s="168">
        <f t="shared" si="51"/>
        <v>4.1493127509948939</v>
      </c>
      <c r="AR52" s="168">
        <f t="shared" si="52"/>
        <v>1.6682702476785811</v>
      </c>
      <c r="AS52" s="168">
        <f t="shared" si="53"/>
        <v>3.1134595046428379</v>
      </c>
      <c r="AT52" s="168">
        <f t="shared" si="54"/>
        <v>12.944345550689611</v>
      </c>
      <c r="AU52" s="168">
        <f t="shared" si="43"/>
        <v>5.8175829986734753</v>
      </c>
      <c r="AV52" s="169">
        <f t="shared" si="55"/>
        <v>0.40205941267709328</v>
      </c>
      <c r="AW52" s="170">
        <f t="shared" si="48"/>
        <v>110062</v>
      </c>
      <c r="AX52" s="104"/>
      <c r="AY52" s="172">
        <f t="shared" si="56"/>
        <v>44378</v>
      </c>
      <c r="AZ52" s="167">
        <f t="shared" si="57"/>
        <v>62.314196362441848</v>
      </c>
      <c r="BA52" s="168">
        <f t="shared" si="58"/>
        <v>4.3988141213366436</v>
      </c>
      <c r="BB52" s="168">
        <f t="shared" si="59"/>
        <v>2.2356813526336503</v>
      </c>
      <c r="BC52" s="168">
        <f t="shared" si="60"/>
        <v>8.5614435880987596</v>
      </c>
      <c r="BD52" s="168">
        <f t="shared" si="61"/>
        <v>41.306374496806519</v>
      </c>
      <c r="BE52" s="168">
        <f t="shared" si="45"/>
        <v>6.6344954739702935</v>
      </c>
      <c r="BF52" s="169">
        <f t="shared" si="62"/>
        <v>0.50824637981163567</v>
      </c>
      <c r="BG52" s="170">
        <f t="shared" si="49"/>
        <v>322689</v>
      </c>
    </row>
    <row r="53" spans="1:59" ht="21" x14ac:dyDescent="0.25">
      <c r="A53" s="166">
        <f t="shared" si="63"/>
        <v>44409</v>
      </c>
      <c r="B53" s="167"/>
      <c r="C53" s="168"/>
      <c r="D53" s="168"/>
      <c r="E53" s="168"/>
      <c r="F53" s="168"/>
      <c r="G53" s="168" t="str">
        <f t="shared" si="35"/>
        <v/>
      </c>
      <c r="H53" s="169" t="str">
        <f t="shared" si="36"/>
        <v/>
      </c>
      <c r="I53" s="170">
        <f>IF(D53&gt;0,IFERROR(GETPIVOTDATA("act_qty",RECPT!$A$63,"yymm","202108","unit","TAL","comm","L"),0),)</f>
        <v>0</v>
      </c>
      <c r="J53" s="171"/>
      <c r="K53" s="166">
        <f t="shared" si="64"/>
        <v>44409</v>
      </c>
      <c r="L53" s="167"/>
      <c r="M53" s="168"/>
      <c r="N53" s="168"/>
      <c r="O53" s="168"/>
      <c r="P53" s="168"/>
      <c r="Q53" s="168" t="str">
        <f t="shared" si="37"/>
        <v/>
      </c>
      <c r="R53" s="169" t="str">
        <f t="shared" si="38"/>
        <v/>
      </c>
      <c r="S53" s="170">
        <f>IF(N53&gt;0,IFERROR(GETPIVOTDATA("act_qty",RECPT!$A$63,"yymm","202108","unit","TAL","comm","F"),0),)</f>
        <v>0</v>
      </c>
      <c r="T53" s="104"/>
      <c r="U53" s="166">
        <f t="shared" si="65"/>
        <v>44409</v>
      </c>
      <c r="V53" s="167"/>
      <c r="W53" s="168"/>
      <c r="X53" s="168"/>
      <c r="Y53" s="168"/>
      <c r="Z53" s="168"/>
      <c r="AA53" s="168" t="str">
        <f t="shared" si="39"/>
        <v/>
      </c>
      <c r="AB53" s="169" t="str">
        <f t="shared" si="40"/>
        <v/>
      </c>
      <c r="AC53" s="170">
        <f>IF(X53&gt;0,IFERROR(GETPIVOTDATA("act_qty",RECPT!$A$63,"yymm","202108","unit","MPR","comm","L"),0),)</f>
        <v>0</v>
      </c>
      <c r="AD53" s="171"/>
      <c r="AE53" s="166">
        <f t="shared" si="66"/>
        <v>44409</v>
      </c>
      <c r="AF53" s="167"/>
      <c r="AG53" s="168"/>
      <c r="AH53" s="168"/>
      <c r="AI53" s="168"/>
      <c r="AJ53" s="168"/>
      <c r="AK53" s="168" t="str">
        <f t="shared" si="41"/>
        <v/>
      </c>
      <c r="AL53" s="169" t="str">
        <f t="shared" si="42"/>
        <v/>
      </c>
      <c r="AM53" s="170">
        <f>IF(AH53&gt;0,IFERROR(GETPIVOTDATA("act_qty",RECPT!$A$63,"yymm","202108","unit","MPR","comm","F"),0),)</f>
        <v>0</v>
      </c>
      <c r="AN53" s="104"/>
      <c r="AO53" s="172">
        <f t="shared" si="47"/>
        <v>44409</v>
      </c>
      <c r="AP53" s="167">
        <f t="shared" si="50"/>
        <v>63.108107798165143</v>
      </c>
      <c r="AQ53" s="168">
        <f t="shared" si="51"/>
        <v>3.8751777522935784</v>
      </c>
      <c r="AR53" s="168">
        <f t="shared" si="52"/>
        <v>1.3419954128440368</v>
      </c>
      <c r="AS53" s="168">
        <f t="shared" si="53"/>
        <v>12.562511467889909</v>
      </c>
      <c r="AT53" s="168">
        <f t="shared" si="54"/>
        <v>6.557339449541284</v>
      </c>
      <c r="AU53" s="168">
        <f t="shared" si="43"/>
        <v>5.2171731651376154</v>
      </c>
      <c r="AV53" s="169">
        <f t="shared" si="55"/>
        <v>0.34630551128906484</v>
      </c>
      <c r="AW53" s="170">
        <f t="shared" si="48"/>
        <v>111616</v>
      </c>
      <c r="AX53" s="104"/>
      <c r="AY53" s="172">
        <f t="shared" si="56"/>
        <v>44409</v>
      </c>
      <c r="AZ53" s="167">
        <f t="shared" si="57"/>
        <v>61.966534887169729</v>
      </c>
      <c r="BA53" s="168">
        <f t="shared" si="58"/>
        <v>5.0806169826243854</v>
      </c>
      <c r="BB53" s="168">
        <f t="shared" si="59"/>
        <v>1.9646678118589187</v>
      </c>
      <c r="BC53" s="168">
        <f t="shared" si="60"/>
        <v>7.9506877332608319</v>
      </c>
      <c r="BD53" s="168">
        <f t="shared" si="61"/>
        <v>39.489830754591068</v>
      </c>
      <c r="BE53" s="168">
        <f t="shared" si="45"/>
        <v>7.0452847944833046</v>
      </c>
      <c r="BF53" s="169">
        <f t="shared" si="62"/>
        <v>0.38669866643717599</v>
      </c>
      <c r="BG53" s="170">
        <f t="shared" si="49"/>
        <v>323672</v>
      </c>
    </row>
    <row r="54" spans="1:59" ht="21" x14ac:dyDescent="0.25">
      <c r="A54" s="166">
        <f t="shared" si="63"/>
        <v>44440</v>
      </c>
      <c r="B54" s="167"/>
      <c r="C54" s="168"/>
      <c r="D54" s="168"/>
      <c r="E54" s="168"/>
      <c r="F54" s="168"/>
      <c r="G54" s="168" t="str">
        <f t="shared" si="35"/>
        <v/>
      </c>
      <c r="H54" s="169" t="str">
        <f t="shared" si="36"/>
        <v/>
      </c>
      <c r="I54" s="170">
        <f>IF(D54&gt;0,IFERROR(GETPIVOTDATA("act_qty",RECPT!$A$63,"yymm","202109","unit","TAL","comm","L"),0),)</f>
        <v>0</v>
      </c>
      <c r="J54" s="171"/>
      <c r="K54" s="166">
        <f t="shared" si="64"/>
        <v>44440</v>
      </c>
      <c r="L54" s="167"/>
      <c r="M54" s="168"/>
      <c r="N54" s="168"/>
      <c r="O54" s="168"/>
      <c r="P54" s="168"/>
      <c r="Q54" s="168" t="str">
        <f t="shared" si="37"/>
        <v/>
      </c>
      <c r="R54" s="169" t="str">
        <f t="shared" si="38"/>
        <v/>
      </c>
      <c r="S54" s="170">
        <f>IF(N54&gt;0,IFERROR(GETPIVOTDATA("act_qty",RECPT!$A$63,"yymm","202109","unit","TAL","comm","F"),0),)</f>
        <v>0</v>
      </c>
      <c r="T54" s="104"/>
      <c r="U54" s="166">
        <f t="shared" si="65"/>
        <v>44440</v>
      </c>
      <c r="V54" s="167"/>
      <c r="W54" s="168"/>
      <c r="X54" s="168"/>
      <c r="Y54" s="168"/>
      <c r="Z54" s="168"/>
      <c r="AA54" s="168" t="str">
        <f t="shared" si="39"/>
        <v/>
      </c>
      <c r="AB54" s="169" t="str">
        <f t="shared" si="40"/>
        <v/>
      </c>
      <c r="AC54" s="170">
        <f>IF(X54&gt;0,IFERROR(GETPIVOTDATA("act_qty",RECPT!$A$63,"yymm","202109","unit","MPR","comm","L"),0),)</f>
        <v>0</v>
      </c>
      <c r="AD54" s="171"/>
      <c r="AE54" s="166">
        <f t="shared" si="66"/>
        <v>44440</v>
      </c>
      <c r="AF54" s="167"/>
      <c r="AG54" s="168"/>
      <c r="AH54" s="168"/>
      <c r="AI54" s="168"/>
      <c r="AJ54" s="168"/>
      <c r="AK54" s="168" t="str">
        <f t="shared" si="41"/>
        <v/>
      </c>
      <c r="AL54" s="169" t="str">
        <f t="shared" si="42"/>
        <v/>
      </c>
      <c r="AM54" s="170">
        <f>IF(AH54&gt;0,IFERROR(GETPIVOTDATA("act_qty",RECPT!$A$63,"yymm","202109","unit","MPR","comm","F"),0),)</f>
        <v>0</v>
      </c>
      <c r="AN54" s="104"/>
      <c r="AO54" s="172">
        <f t="shared" si="47"/>
        <v>44440</v>
      </c>
      <c r="AP54" s="167">
        <f t="shared" si="50"/>
        <v>63.793990904159891</v>
      </c>
      <c r="AQ54" s="168">
        <f t="shared" si="51"/>
        <v>2.8656383777694332</v>
      </c>
      <c r="AR54" s="168">
        <f t="shared" si="52"/>
        <v>1.3215377393916636</v>
      </c>
      <c r="AS54" s="168">
        <f t="shared" si="53"/>
        <v>2.1873179788876373</v>
      </c>
      <c r="AT54" s="168">
        <f t="shared" si="54"/>
        <v>4.1871761171610968</v>
      </c>
      <c r="AU54" s="168">
        <f t="shared" si="43"/>
        <v>4.1871761171610968</v>
      </c>
      <c r="AV54" s="169">
        <f t="shared" si="55"/>
        <v>0.46116696008947483</v>
      </c>
      <c r="AW54" s="170">
        <f t="shared" si="48"/>
        <v>95868</v>
      </c>
      <c r="AX54" s="104"/>
      <c r="AY54" s="172">
        <f t="shared" si="56"/>
        <v>44440</v>
      </c>
      <c r="AZ54" s="167">
        <f t="shared" si="57"/>
        <v>62.07196176907366</v>
      </c>
      <c r="BA54" s="168">
        <f t="shared" si="58"/>
        <v>5.1212148858678015</v>
      </c>
      <c r="BB54" s="168">
        <f t="shared" si="59"/>
        <v>1.8497616713818794</v>
      </c>
      <c r="BC54" s="168">
        <f t="shared" si="60"/>
        <v>7.8829235086431009</v>
      </c>
      <c r="BD54" s="168">
        <f t="shared" si="61"/>
        <v>41.57072619746198</v>
      </c>
      <c r="BE54" s="168">
        <f t="shared" si="45"/>
        <v>6.9709765572496813</v>
      </c>
      <c r="BF54" s="169">
        <f t="shared" si="62"/>
        <v>0.36119587102005252</v>
      </c>
      <c r="BG54" s="170">
        <f t="shared" si="49"/>
        <v>305041</v>
      </c>
    </row>
    <row r="55" spans="1:59" ht="21" x14ac:dyDescent="0.25">
      <c r="A55" s="166">
        <f t="shared" si="63"/>
        <v>44470</v>
      </c>
      <c r="B55" s="167"/>
      <c r="C55" s="168"/>
      <c r="D55" s="168"/>
      <c r="E55" s="168"/>
      <c r="F55" s="168"/>
      <c r="G55" s="168" t="str">
        <f t="shared" si="35"/>
        <v/>
      </c>
      <c r="H55" s="169" t="str">
        <f t="shared" si="36"/>
        <v/>
      </c>
      <c r="I55" s="170">
        <f>IF(D55&gt;0,IFERROR(GETPIVOTDATA("act_qty",RECPT!$A$63,"yymm","202110","unit","TAL","comm","L"),0),)</f>
        <v>0</v>
      </c>
      <c r="J55" s="119"/>
      <c r="K55" s="166">
        <f t="shared" si="64"/>
        <v>44470</v>
      </c>
      <c r="L55" s="167"/>
      <c r="M55" s="168"/>
      <c r="N55" s="168"/>
      <c r="O55" s="168"/>
      <c r="P55" s="168"/>
      <c r="Q55" s="168" t="str">
        <f t="shared" si="37"/>
        <v/>
      </c>
      <c r="R55" s="169" t="str">
        <f t="shared" si="38"/>
        <v/>
      </c>
      <c r="S55" s="170">
        <f>IF(N55&gt;0,IFERROR(GETPIVOTDATA("act_qty",RECPT!$A$63,"yymm","202110","unit","TAL","comm","F"),0),)</f>
        <v>0</v>
      </c>
      <c r="T55" s="104"/>
      <c r="U55" s="166">
        <f t="shared" si="65"/>
        <v>44470</v>
      </c>
      <c r="V55" s="167"/>
      <c r="W55" s="168"/>
      <c r="X55" s="168"/>
      <c r="Y55" s="168"/>
      <c r="Z55" s="168"/>
      <c r="AA55" s="168" t="str">
        <f t="shared" si="39"/>
        <v/>
      </c>
      <c r="AB55" s="169" t="str">
        <f t="shared" si="40"/>
        <v/>
      </c>
      <c r="AC55" s="170">
        <f>IF(X55&gt;0,IFERROR(GETPIVOTDATA("act_qty",RECPT!$A$63,"yymm","202110","unit","MPR","comm","L"),0),)</f>
        <v>0</v>
      </c>
      <c r="AD55" s="119"/>
      <c r="AE55" s="166">
        <f t="shared" si="66"/>
        <v>44470</v>
      </c>
      <c r="AF55" s="167"/>
      <c r="AG55" s="168"/>
      <c r="AH55" s="168"/>
      <c r="AI55" s="168"/>
      <c r="AJ55" s="168"/>
      <c r="AK55" s="168" t="str">
        <f t="shared" si="41"/>
        <v/>
      </c>
      <c r="AL55" s="169" t="str">
        <f t="shared" si="42"/>
        <v/>
      </c>
      <c r="AM55" s="170">
        <f>IF(AH55&gt;0,IFERROR(GETPIVOTDATA("act_qty",RECPT!$A$63,"yymm","202110","unit","MPR","comm","F"),0),)</f>
        <v>0</v>
      </c>
      <c r="AN55" s="104"/>
      <c r="AO55" s="172">
        <f t="shared" si="47"/>
        <v>44470</v>
      </c>
      <c r="AP55" s="167">
        <f t="shared" si="50"/>
        <v>62.730798304533025</v>
      </c>
      <c r="AQ55" s="168">
        <f t="shared" si="51"/>
        <v>4.2552843985416944</v>
      </c>
      <c r="AR55" s="168">
        <f t="shared" si="52"/>
        <v>1.5526548548204087</v>
      </c>
      <c r="AS55" s="168">
        <f t="shared" si="53"/>
        <v>22.493066662636483</v>
      </c>
      <c r="AT55" s="168">
        <f t="shared" si="54"/>
        <v>6.9754379726939613</v>
      </c>
      <c r="AU55" s="168">
        <f t="shared" si="43"/>
        <v>5.807939253362103</v>
      </c>
      <c r="AV55" s="169">
        <f t="shared" si="55"/>
        <v>0.36487687059236523</v>
      </c>
      <c r="AW55" s="170">
        <f t="shared" si="48"/>
        <v>107522</v>
      </c>
      <c r="AX55" s="104"/>
      <c r="AY55" s="172">
        <f t="shared" si="56"/>
        <v>44470</v>
      </c>
      <c r="AZ55" s="167">
        <f t="shared" si="57"/>
        <v>61.28500559952483</v>
      </c>
      <c r="BA55" s="168">
        <f t="shared" si="58"/>
        <v>6.1194428762902353</v>
      </c>
      <c r="BB55" s="168">
        <f t="shared" si="59"/>
        <v>1.9527512204709345</v>
      </c>
      <c r="BC55" s="168">
        <f t="shared" si="60"/>
        <v>6.8973426362025281</v>
      </c>
      <c r="BD55" s="168">
        <f t="shared" si="61"/>
        <v>41.977244445111985</v>
      </c>
      <c r="BE55" s="168">
        <f t="shared" si="45"/>
        <v>8.0721940967611694</v>
      </c>
      <c r="BF55" s="169">
        <f t="shared" si="62"/>
        <v>0.31910604608090448</v>
      </c>
      <c r="BG55" s="170">
        <f t="shared" si="49"/>
        <v>272308.82</v>
      </c>
    </row>
    <row r="56" spans="1:59" ht="21" x14ac:dyDescent="0.25">
      <c r="A56" s="166">
        <f t="shared" si="63"/>
        <v>44501</v>
      </c>
      <c r="B56" s="167"/>
      <c r="C56" s="168"/>
      <c r="D56" s="168"/>
      <c r="E56" s="168"/>
      <c r="F56" s="168"/>
      <c r="G56" s="168" t="str">
        <f t="shared" si="35"/>
        <v/>
      </c>
      <c r="H56" s="169" t="str">
        <f t="shared" si="36"/>
        <v/>
      </c>
      <c r="I56" s="170">
        <f>IF(D56&gt;0,IFERROR(GETPIVOTDATA("act_qty",RECPT!$A$63,"yymm","202111","unit","TAL","comm","L"),0),)</f>
        <v>0</v>
      </c>
      <c r="J56" s="119"/>
      <c r="K56" s="166">
        <f t="shared" si="64"/>
        <v>44501</v>
      </c>
      <c r="L56" s="167"/>
      <c r="M56" s="168"/>
      <c r="N56" s="168"/>
      <c r="O56" s="168"/>
      <c r="P56" s="168"/>
      <c r="Q56" s="168" t="str">
        <f t="shared" si="37"/>
        <v/>
      </c>
      <c r="R56" s="169" t="str">
        <f t="shared" si="38"/>
        <v/>
      </c>
      <c r="S56" s="170">
        <f>IF(N56&gt;0,IFERROR(GETPIVOTDATA("act_qty",RECPT!$A$63,"yymm","202111","unit","TAL","comm","F"),0),)</f>
        <v>0</v>
      </c>
      <c r="T56" s="104"/>
      <c r="U56" s="166">
        <f t="shared" si="65"/>
        <v>44501</v>
      </c>
      <c r="V56" s="167"/>
      <c r="W56" s="168"/>
      <c r="X56" s="168"/>
      <c r="Y56" s="168"/>
      <c r="Z56" s="168"/>
      <c r="AA56" s="168" t="str">
        <f t="shared" si="39"/>
        <v/>
      </c>
      <c r="AB56" s="169" t="str">
        <f t="shared" si="40"/>
        <v/>
      </c>
      <c r="AC56" s="170">
        <f>IF(X56&gt;0,IFERROR(GETPIVOTDATA("act_qty",RECPT!$A$63,"yymm","202111","unit","MPR","comm","L"),0),)</f>
        <v>0</v>
      </c>
      <c r="AD56" s="119"/>
      <c r="AE56" s="166">
        <f t="shared" si="66"/>
        <v>44501</v>
      </c>
      <c r="AF56" s="167"/>
      <c r="AG56" s="168"/>
      <c r="AH56" s="168"/>
      <c r="AI56" s="168"/>
      <c r="AJ56" s="168"/>
      <c r="AK56" s="168" t="str">
        <f t="shared" si="41"/>
        <v/>
      </c>
      <c r="AL56" s="169" t="str">
        <f t="shared" si="42"/>
        <v/>
      </c>
      <c r="AM56" s="170">
        <f>IF(AH56&gt;0,IFERROR(GETPIVOTDATA("act_qty",RECPT!$A$63,"yymm","202111","unit","MPR","comm","F"),0),)</f>
        <v>0</v>
      </c>
      <c r="AN56" s="104"/>
      <c r="AO56" s="172">
        <f t="shared" si="47"/>
        <v>44501</v>
      </c>
      <c r="AP56" s="167">
        <f t="shared" si="50"/>
        <v>63.252867328857235</v>
      </c>
      <c r="AQ56" s="168">
        <f t="shared" si="51"/>
        <v>3.6292080077904547</v>
      </c>
      <c r="AR56" s="168">
        <f t="shared" si="52"/>
        <v>1.4307099994874699</v>
      </c>
      <c r="AS56" s="168">
        <f t="shared" si="53"/>
        <v>13.874505975091044</v>
      </c>
      <c r="AT56" s="168">
        <f t="shared" si="54"/>
        <v>11.349404669502665</v>
      </c>
      <c r="AU56" s="168">
        <f t="shared" si="43"/>
        <v>5.0599180072779246</v>
      </c>
      <c r="AV56" s="169">
        <f t="shared" si="55"/>
        <v>0.39422099709256375</v>
      </c>
      <c r="AW56" s="170">
        <f t="shared" si="48"/>
        <v>140869.82</v>
      </c>
      <c r="AX56" s="104"/>
      <c r="AY56" s="172">
        <f t="shared" si="56"/>
        <v>44501</v>
      </c>
      <c r="AZ56" s="167">
        <f t="shared" si="57"/>
        <v>62.295863956580916</v>
      </c>
      <c r="BA56" s="168">
        <f t="shared" si="58"/>
        <v>4.7127646341662217</v>
      </c>
      <c r="BB56" s="168">
        <f t="shared" si="59"/>
        <v>1.9093661682025234</v>
      </c>
      <c r="BC56" s="168">
        <f t="shared" si="60"/>
        <v>7.081131657840193</v>
      </c>
      <c r="BD56" s="168">
        <f t="shared" si="61"/>
        <v>43.435791037462721</v>
      </c>
      <c r="BE56" s="168">
        <f t="shared" si="45"/>
        <v>6.6221308023687451</v>
      </c>
      <c r="BF56" s="169">
        <f t="shared" si="62"/>
        <v>0.40514778827700287</v>
      </c>
      <c r="BG56" s="170">
        <f t="shared" si="49"/>
        <v>276654.47000000003</v>
      </c>
    </row>
    <row r="57" spans="1:59" ht="21" x14ac:dyDescent="0.25">
      <c r="A57" s="166">
        <f t="shared" si="63"/>
        <v>44531</v>
      </c>
      <c r="B57" s="167"/>
      <c r="C57" s="168"/>
      <c r="D57" s="168"/>
      <c r="E57" s="168"/>
      <c r="F57" s="168"/>
      <c r="G57" s="168" t="str">
        <f t="shared" si="35"/>
        <v/>
      </c>
      <c r="H57" s="169" t="str">
        <f t="shared" si="36"/>
        <v/>
      </c>
      <c r="I57" s="170">
        <f>IF(D57&gt;0,IFERROR(GETPIVOTDATA("act_qty",RECPT!$A$63,"yymm","202112","unit","TAL","comm","L"),0),)</f>
        <v>0</v>
      </c>
      <c r="J57" s="119"/>
      <c r="K57" s="166">
        <f t="shared" si="64"/>
        <v>44531</v>
      </c>
      <c r="L57" s="167"/>
      <c r="M57" s="168"/>
      <c r="N57" s="168"/>
      <c r="O57" s="168"/>
      <c r="P57" s="168"/>
      <c r="Q57" s="168" t="str">
        <f t="shared" si="37"/>
        <v/>
      </c>
      <c r="R57" s="169" t="str">
        <f t="shared" si="38"/>
        <v/>
      </c>
      <c r="S57" s="170">
        <f>IF(N57&gt;0,IFERROR(GETPIVOTDATA("act_qty",RECPT!$A$63,"yymm","202112","unit","TAL","comm","F"),0),)</f>
        <v>0</v>
      </c>
      <c r="T57" s="104"/>
      <c r="U57" s="166">
        <f t="shared" si="65"/>
        <v>44531</v>
      </c>
      <c r="V57" s="167"/>
      <c r="W57" s="168"/>
      <c r="X57" s="168"/>
      <c r="Y57" s="168"/>
      <c r="Z57" s="168"/>
      <c r="AA57" s="168" t="str">
        <f t="shared" si="39"/>
        <v/>
      </c>
      <c r="AB57" s="169" t="str">
        <f t="shared" si="40"/>
        <v/>
      </c>
      <c r="AC57" s="170">
        <f>IF(X57&gt;0,IFERROR(GETPIVOTDATA("act_qty",RECPT!$A$63,"yymm","202112","unit","MPR","comm","L"),0),)</f>
        <v>0</v>
      </c>
      <c r="AD57" s="119"/>
      <c r="AE57" s="166">
        <f t="shared" si="66"/>
        <v>44531</v>
      </c>
      <c r="AF57" s="167"/>
      <c r="AG57" s="168"/>
      <c r="AH57" s="168"/>
      <c r="AI57" s="168"/>
      <c r="AJ57" s="168"/>
      <c r="AK57" s="168" t="str">
        <f t="shared" si="41"/>
        <v/>
      </c>
      <c r="AL57" s="169" t="str">
        <f t="shared" si="42"/>
        <v/>
      </c>
      <c r="AM57" s="170">
        <f>IF(AH57&gt;0,IFERROR(GETPIVOTDATA("act_qty",RECPT!$A$63,"yymm","202112","unit","MPR","comm","F"),0),)</f>
        <v>0</v>
      </c>
      <c r="AN57" s="104"/>
      <c r="AO57" s="172">
        <f t="shared" si="47"/>
        <v>44531</v>
      </c>
      <c r="AP57" s="167">
        <f t="shared" si="50"/>
        <v>62.354052097150252</v>
      </c>
      <c r="AQ57" s="168">
        <f t="shared" si="51"/>
        <v>5.0801875785048844</v>
      </c>
      <c r="AR57" s="168">
        <f t="shared" si="52"/>
        <v>1.3943036848345955</v>
      </c>
      <c r="AS57" s="168">
        <f t="shared" si="53"/>
        <v>23.366201715050817</v>
      </c>
      <c r="AT57" s="168">
        <f t="shared" si="54"/>
        <v>11.467150730158929</v>
      </c>
      <c r="AU57" s="168">
        <f t="shared" si="43"/>
        <v>6.4744912633394804</v>
      </c>
      <c r="AV57" s="169">
        <f t="shared" si="55"/>
        <v>0.2744590949228185</v>
      </c>
      <c r="AW57" s="170">
        <f t="shared" si="48"/>
        <v>127937.9</v>
      </c>
      <c r="AX57" s="104"/>
      <c r="AY57" s="172">
        <f t="shared" si="56"/>
        <v>44531</v>
      </c>
      <c r="AZ57" s="167">
        <f t="shared" si="57"/>
        <v>61.904927149644607</v>
      </c>
      <c r="BA57" s="168">
        <f t="shared" si="58"/>
        <v>5.4437738098996045</v>
      </c>
      <c r="BB57" s="168">
        <f t="shared" si="59"/>
        <v>1.7838872722942682</v>
      </c>
      <c r="BC57" s="168">
        <f t="shared" si="60"/>
        <v>7.0374771454824261</v>
      </c>
      <c r="BD57" s="168">
        <f t="shared" si="61"/>
        <v>43.508067141646883</v>
      </c>
      <c r="BE57" s="168">
        <f t="shared" si="45"/>
        <v>7.2276610821938725</v>
      </c>
      <c r="BF57" s="169">
        <f t="shared" si="62"/>
        <v>0.32769312880895896</v>
      </c>
      <c r="BG57" s="170">
        <f t="shared" si="49"/>
        <v>328193.32</v>
      </c>
    </row>
    <row r="58" spans="1:59" ht="21" x14ac:dyDescent="0.25">
      <c r="A58" s="166">
        <f t="shared" si="63"/>
        <v>44562</v>
      </c>
      <c r="B58" s="167"/>
      <c r="C58" s="168"/>
      <c r="D58" s="168"/>
      <c r="E58" s="168"/>
      <c r="F58" s="168"/>
      <c r="G58" s="168" t="str">
        <f t="shared" si="35"/>
        <v/>
      </c>
      <c r="H58" s="169" t="str">
        <f t="shared" si="36"/>
        <v/>
      </c>
      <c r="I58" s="170">
        <f>IF(D58&gt;0,IFERROR(GETPIVOTDATA("act_qty",RECPT!$A$63,"yymm","202201","unit","TAL","comm","L"),0),)</f>
        <v>0</v>
      </c>
      <c r="J58" s="119"/>
      <c r="K58" s="166">
        <f t="shared" si="64"/>
        <v>44562</v>
      </c>
      <c r="L58" s="167"/>
      <c r="M58" s="168"/>
      <c r="N58" s="168"/>
      <c r="O58" s="168"/>
      <c r="P58" s="168"/>
      <c r="Q58" s="168" t="str">
        <f t="shared" si="37"/>
        <v/>
      </c>
      <c r="R58" s="169" t="str">
        <f t="shared" si="38"/>
        <v/>
      </c>
      <c r="S58" s="170">
        <f>IF(N58&gt;0,IFERROR(GETPIVOTDATA("act_qty",RECPT!$A$63,"yymm","202201","unit","TAL","comm","F"),0),)</f>
        <v>0</v>
      </c>
      <c r="T58" s="104"/>
      <c r="U58" s="166">
        <f t="shared" si="65"/>
        <v>44562</v>
      </c>
      <c r="V58" s="167"/>
      <c r="W58" s="168"/>
      <c r="X58" s="168"/>
      <c r="Y58" s="168"/>
      <c r="Z58" s="168"/>
      <c r="AA58" s="168" t="str">
        <f t="shared" si="39"/>
        <v/>
      </c>
      <c r="AB58" s="169" t="str">
        <f t="shared" si="40"/>
        <v/>
      </c>
      <c r="AC58" s="170">
        <f>IF(X58&gt;0,IFERROR(GETPIVOTDATA("act_qty",RECPT!$A$63,"yymm","202201","unit","MPR","comm","L"),0),)</f>
        <v>0</v>
      </c>
      <c r="AD58" s="119"/>
      <c r="AE58" s="166">
        <f t="shared" si="66"/>
        <v>44562</v>
      </c>
      <c r="AF58" s="167"/>
      <c r="AG58" s="168"/>
      <c r="AH58" s="168"/>
      <c r="AI58" s="168"/>
      <c r="AJ58" s="168"/>
      <c r="AK58" s="168" t="str">
        <f t="shared" si="41"/>
        <v/>
      </c>
      <c r="AL58" s="169" t="str">
        <f t="shared" si="42"/>
        <v/>
      </c>
      <c r="AM58" s="170">
        <f>IF(AH58&gt;0,IFERROR(GETPIVOTDATA("act_qty",RECPT!$A$63,"yymm","202201","unit","MPR","comm","F"),0),)</f>
        <v>0</v>
      </c>
      <c r="AN58" s="104"/>
      <c r="AO58" s="172">
        <f t="shared" si="47"/>
        <v>44562</v>
      </c>
      <c r="AP58" s="167">
        <f t="shared" si="50"/>
        <v>62.569214497068607</v>
      </c>
      <c r="AQ58" s="168">
        <f t="shared" si="51"/>
        <v>4.1967780412049036</v>
      </c>
      <c r="AR58" s="168">
        <f t="shared" si="52"/>
        <v>1.9567993604234437</v>
      </c>
      <c r="AS58" s="168">
        <f t="shared" si="53"/>
        <v>12.319944864089983</v>
      </c>
      <c r="AT58" s="168">
        <f t="shared" si="54"/>
        <v>15.852534230210802</v>
      </c>
      <c r="AU58" s="168">
        <f t="shared" si="43"/>
        <v>6.1535774016283469</v>
      </c>
      <c r="AV58" s="169">
        <f t="shared" si="55"/>
        <v>0.46626229483931503</v>
      </c>
      <c r="AW58" s="170">
        <f t="shared" si="48"/>
        <v>124057.08</v>
      </c>
      <c r="AX58" s="104"/>
      <c r="AY58" s="172">
        <f t="shared" si="56"/>
        <v>44562</v>
      </c>
      <c r="AZ58" s="167">
        <f t="shared" si="57"/>
        <v>62.302567053089994</v>
      </c>
      <c r="BA58" s="168">
        <f t="shared" si="58"/>
        <v>4.7011126860660717</v>
      </c>
      <c r="BB58" s="168">
        <f t="shared" si="59"/>
        <v>1.893145413165243</v>
      </c>
      <c r="BC58" s="168">
        <f t="shared" si="60"/>
        <v>6.4209607733784377</v>
      </c>
      <c r="BD58" s="168">
        <f t="shared" si="61"/>
        <v>45.818762364358996</v>
      </c>
      <c r="BE58" s="168">
        <f t="shared" si="45"/>
        <v>6.5942580992313147</v>
      </c>
      <c r="BF58" s="169">
        <f t="shared" si="62"/>
        <v>0.40270156015967407</v>
      </c>
      <c r="BG58" s="170">
        <f t="shared" si="49"/>
        <v>305899.40000000002</v>
      </c>
    </row>
    <row r="59" spans="1:59" ht="21" x14ac:dyDescent="0.25">
      <c r="A59" s="166">
        <f t="shared" si="63"/>
        <v>44593</v>
      </c>
      <c r="B59" s="167"/>
      <c r="C59" s="168"/>
      <c r="D59" s="168"/>
      <c r="E59" s="168"/>
      <c r="F59" s="168"/>
      <c r="G59" s="168" t="str">
        <f t="shared" si="35"/>
        <v/>
      </c>
      <c r="H59" s="169" t="str">
        <f t="shared" si="36"/>
        <v/>
      </c>
      <c r="I59" s="170">
        <f>IF(D59&gt;0,IFERROR(GETPIVOTDATA("act_qty",RECPT!$A$63,"yymm","202202","unit","TAL","comm","L"),0),)</f>
        <v>0</v>
      </c>
      <c r="J59" s="119"/>
      <c r="K59" s="166">
        <f t="shared" si="64"/>
        <v>44593</v>
      </c>
      <c r="L59" s="167"/>
      <c r="M59" s="168"/>
      <c r="N59" s="168"/>
      <c r="O59" s="168"/>
      <c r="P59" s="168"/>
      <c r="Q59" s="168" t="str">
        <f t="shared" si="37"/>
        <v/>
      </c>
      <c r="R59" s="169" t="str">
        <f t="shared" si="38"/>
        <v/>
      </c>
      <c r="S59" s="170">
        <f>IF(N59&gt;0,IFERROR(GETPIVOTDATA("act_qty",RECPT!$A$63,"yymm","202202","unit","TAL","comm","F"),0),)</f>
        <v>0</v>
      </c>
      <c r="T59" s="104"/>
      <c r="U59" s="166">
        <f t="shared" si="65"/>
        <v>44593</v>
      </c>
      <c r="V59" s="167"/>
      <c r="W59" s="168"/>
      <c r="X59" s="168"/>
      <c r="Y59" s="168"/>
      <c r="Z59" s="168"/>
      <c r="AA59" s="168" t="str">
        <f t="shared" si="39"/>
        <v/>
      </c>
      <c r="AB59" s="169" t="str">
        <f t="shared" si="40"/>
        <v/>
      </c>
      <c r="AC59" s="170">
        <f>IF(X59&gt;0,IFERROR(GETPIVOTDATA("act_qty",RECPT!$A$63,"yymm","202202","unit","MPR","comm","L"),0),)</f>
        <v>0</v>
      </c>
      <c r="AD59" s="119"/>
      <c r="AE59" s="166">
        <f t="shared" si="66"/>
        <v>44593</v>
      </c>
      <c r="AF59" s="167"/>
      <c r="AG59" s="168"/>
      <c r="AH59" s="168"/>
      <c r="AI59" s="168"/>
      <c r="AJ59" s="168"/>
      <c r="AK59" s="168" t="str">
        <f t="shared" si="41"/>
        <v/>
      </c>
      <c r="AL59" s="169" t="str">
        <f t="shared" si="42"/>
        <v/>
      </c>
      <c r="AM59" s="170">
        <f>IF(AH59&gt;0,IFERROR(GETPIVOTDATA("act_qty",RECPT!$A$63,"yymm","202202","unit","MPR","comm","F"),0),)</f>
        <v>0</v>
      </c>
      <c r="AN59" s="104"/>
      <c r="AO59" s="172">
        <f t="shared" si="47"/>
        <v>44593</v>
      </c>
      <c r="AP59" s="167">
        <f t="shared" si="50"/>
        <v>63.444784474919288</v>
      </c>
      <c r="AQ59" s="168">
        <f t="shared" si="51"/>
        <v>2.9977705326936182</v>
      </c>
      <c r="AR59" s="168">
        <f t="shared" si="52"/>
        <v>1.7636843226613299</v>
      </c>
      <c r="AS59" s="168">
        <f t="shared" si="53"/>
        <v>4.9987248709991583</v>
      </c>
      <c r="AT59" s="168">
        <f t="shared" si="54"/>
        <v>19.346508675565044</v>
      </c>
      <c r="AU59" s="168">
        <f t="shared" si="43"/>
        <v>4.7614548553549483</v>
      </c>
      <c r="AV59" s="169">
        <f t="shared" si="55"/>
        <v>0.58833199653763635</v>
      </c>
      <c r="AW59" s="170">
        <f t="shared" si="48"/>
        <v>101334.60999999999</v>
      </c>
      <c r="AX59" s="104"/>
      <c r="AY59" s="172">
        <f t="shared" si="56"/>
        <v>44593</v>
      </c>
      <c r="AZ59" s="167">
        <f t="shared" si="57"/>
        <v>62.395979384199656</v>
      </c>
      <c r="BA59" s="168">
        <f t="shared" si="58"/>
        <v>4.548671532007269</v>
      </c>
      <c r="BB59" s="168">
        <f t="shared" si="59"/>
        <v>1.8635301335038621</v>
      </c>
      <c r="BC59" s="168">
        <f t="shared" si="60"/>
        <v>7.1900967024901368</v>
      </c>
      <c r="BD59" s="168">
        <f t="shared" si="61"/>
        <v>44.890382334315994</v>
      </c>
      <c r="BE59" s="168">
        <f t="shared" si="45"/>
        <v>6.4122016655111311</v>
      </c>
      <c r="BF59" s="169">
        <f t="shared" si="62"/>
        <v>0.40968667893271921</v>
      </c>
      <c r="BG59" s="170">
        <f t="shared" si="49"/>
        <v>273033.3</v>
      </c>
    </row>
    <row r="60" spans="1:59" ht="21.5" thickBot="1" x14ac:dyDescent="0.3">
      <c r="A60" s="166">
        <f t="shared" si="63"/>
        <v>44621</v>
      </c>
      <c r="B60" s="183"/>
      <c r="C60" s="184"/>
      <c r="D60" s="184"/>
      <c r="E60" s="168"/>
      <c r="F60" s="168"/>
      <c r="G60" s="168" t="str">
        <f t="shared" si="35"/>
        <v/>
      </c>
      <c r="H60" s="169" t="str">
        <f t="shared" si="36"/>
        <v/>
      </c>
      <c r="I60" s="170">
        <f>IF(D60&gt;0,IFERROR(GETPIVOTDATA("act_qty",RECPT!$A$63,"yymm","202203","unit","TAL","comm","L"),0),)</f>
        <v>0</v>
      </c>
      <c r="J60" s="119"/>
      <c r="K60" s="166">
        <f t="shared" si="64"/>
        <v>44621</v>
      </c>
      <c r="L60" s="183"/>
      <c r="M60" s="184"/>
      <c r="N60" s="184"/>
      <c r="O60" s="168"/>
      <c r="P60" s="168"/>
      <c r="Q60" s="168" t="str">
        <f t="shared" si="37"/>
        <v/>
      </c>
      <c r="R60" s="169" t="str">
        <f t="shared" si="38"/>
        <v/>
      </c>
      <c r="S60" s="170">
        <f>IF(N60&gt;0,IFERROR(GETPIVOTDATA("act_qty",RECPT!$A$63,"yymm","202203","unit","TAL","comm","F"),0),)</f>
        <v>0</v>
      </c>
      <c r="T60" s="104"/>
      <c r="U60" s="166">
        <f t="shared" si="65"/>
        <v>44621</v>
      </c>
      <c r="V60" s="183"/>
      <c r="W60" s="184"/>
      <c r="X60" s="184"/>
      <c r="Y60" s="168"/>
      <c r="Z60" s="168"/>
      <c r="AA60" s="168" t="str">
        <f t="shared" si="39"/>
        <v/>
      </c>
      <c r="AB60" s="169" t="str">
        <f t="shared" si="40"/>
        <v/>
      </c>
      <c r="AC60" s="170">
        <f>IF(X60&gt;0,IFERROR(GETPIVOTDATA("act_qty",RECPT!$A$63,"yymm","202203","unit","MPR","comm","L"),0),)</f>
        <v>0</v>
      </c>
      <c r="AD60" s="119"/>
      <c r="AE60" s="166">
        <f t="shared" si="66"/>
        <v>44621</v>
      </c>
      <c r="AF60" s="183"/>
      <c r="AG60" s="184"/>
      <c r="AH60" s="184"/>
      <c r="AI60" s="168"/>
      <c r="AJ60" s="168"/>
      <c r="AK60" s="168" t="str">
        <f t="shared" si="41"/>
        <v/>
      </c>
      <c r="AL60" s="169" t="str">
        <f t="shared" si="42"/>
        <v/>
      </c>
      <c r="AM60" s="170">
        <f>IF(AH60&gt;0,IFERROR(GETPIVOTDATA("act_qty",RECPT!$A$63,"yymm","202203","unit","MPR","comm","F"),0),)</f>
        <v>0</v>
      </c>
      <c r="AN60" s="104"/>
      <c r="AO60" s="185">
        <f t="shared" si="47"/>
        <v>44621</v>
      </c>
      <c r="AP60" s="183">
        <f t="shared" si="50"/>
        <v>63.11826821440679</v>
      </c>
      <c r="AQ60" s="184">
        <f t="shared" si="51"/>
        <v>3.8285240449512985</v>
      </c>
      <c r="AR60" s="184">
        <f t="shared" si="52"/>
        <v>1.4561908079877368</v>
      </c>
      <c r="AS60" s="184">
        <f t="shared" si="53"/>
        <v>9.8838645387666464</v>
      </c>
      <c r="AT60" s="184">
        <f t="shared" si="54"/>
        <v>19.511306628507008</v>
      </c>
      <c r="AU60" s="168">
        <f t="shared" si="43"/>
        <v>5.2847148529390351</v>
      </c>
      <c r="AV60" s="169">
        <f t="shared" si="55"/>
        <v>0.38035305274052694</v>
      </c>
      <c r="AW60" s="170">
        <f t="shared" si="48"/>
        <v>96157.400000000009</v>
      </c>
      <c r="AX60" s="104"/>
      <c r="AY60" s="185">
        <f t="shared" si="56"/>
        <v>44621</v>
      </c>
      <c r="AZ60" s="183">
        <f t="shared" si="57"/>
        <v>62.016700302855533</v>
      </c>
      <c r="BA60" s="184">
        <f t="shared" si="58"/>
        <v>4.8921476891721865</v>
      </c>
      <c r="BB60" s="184">
        <f t="shared" si="59"/>
        <v>2.110019229609617</v>
      </c>
      <c r="BC60" s="184">
        <f t="shared" si="60"/>
        <v>6.803606338010086</v>
      </c>
      <c r="BD60" s="184">
        <f t="shared" si="61"/>
        <v>46.171413048840904</v>
      </c>
      <c r="BE60" s="168">
        <f t="shared" si="45"/>
        <v>7.0021669187818034</v>
      </c>
      <c r="BF60" s="169">
        <f t="shared" si="62"/>
        <v>0.43130734468211834</v>
      </c>
      <c r="BG60" s="170">
        <f t="shared" si="49"/>
        <v>346600.9</v>
      </c>
    </row>
    <row r="61" spans="1:59" ht="21.5" thickBot="1" x14ac:dyDescent="0.3">
      <c r="A61" s="191" t="s">
        <v>42</v>
      </c>
      <c r="B61" s="192"/>
      <c r="C61" s="192"/>
      <c r="D61" s="192"/>
      <c r="E61" s="192"/>
      <c r="F61" s="192"/>
      <c r="G61" s="193" t="str">
        <f t="shared" si="35"/>
        <v/>
      </c>
      <c r="H61" s="194" t="str">
        <f t="shared" si="36"/>
        <v/>
      </c>
      <c r="I61" s="195">
        <f>SUM(I49:I60)</f>
        <v>0</v>
      </c>
      <c r="J61" s="119"/>
      <c r="K61" s="191" t="s">
        <v>42</v>
      </c>
      <c r="L61" s="192"/>
      <c r="M61" s="192"/>
      <c r="N61" s="192"/>
      <c r="O61" s="192"/>
      <c r="P61" s="192"/>
      <c r="Q61" s="193" t="str">
        <f t="shared" si="37"/>
        <v/>
      </c>
      <c r="R61" s="194" t="str">
        <f t="shared" si="38"/>
        <v/>
      </c>
      <c r="S61" s="195">
        <f>SUM(S49:S60)</f>
        <v>0</v>
      </c>
      <c r="T61" s="104"/>
      <c r="U61" s="191" t="s">
        <v>42</v>
      </c>
      <c r="V61" s="192"/>
      <c r="W61" s="192"/>
      <c r="X61" s="192"/>
      <c r="Y61" s="192"/>
      <c r="Z61" s="192"/>
      <c r="AA61" s="193" t="str">
        <f t="shared" si="39"/>
        <v/>
      </c>
      <c r="AB61" s="194" t="str">
        <f t="shared" si="40"/>
        <v/>
      </c>
      <c r="AC61" s="195">
        <f>SUM(AC49:AC60)</f>
        <v>0</v>
      </c>
      <c r="AD61" s="171"/>
      <c r="AE61" s="196" t="s">
        <v>42</v>
      </c>
      <c r="AF61" s="192"/>
      <c r="AG61" s="192"/>
      <c r="AH61" s="192"/>
      <c r="AI61" s="192"/>
      <c r="AJ61" s="192"/>
      <c r="AK61" s="193" t="str">
        <f t="shared" si="41"/>
        <v/>
      </c>
      <c r="AL61" s="194" t="str">
        <f t="shared" si="42"/>
        <v/>
      </c>
      <c r="AM61" s="195">
        <f>SUM(AM49:AM60)</f>
        <v>0</v>
      </c>
      <c r="AN61" s="104"/>
      <c r="AO61" s="196" t="str">
        <f t="shared" si="47"/>
        <v>CUMML</v>
      </c>
      <c r="AP61" s="192">
        <f>+(B19*$I19+B40*$I40+B61*$I61+V19*$AC19+V40*$AC40+V61*$AC61+AP19*$AW19+AP40*$AW40)/$AW61</f>
        <v>62.834470697549122</v>
      </c>
      <c r="AQ61" s="192">
        <f>+(C19*$I19+C40*$I40+C61*$I61+W19*$AC19+W40*$AC40+W61*$AC61+AQ19*$AW19+AQ40*$AW40)/$AW61</f>
        <v>4.1339595287199193</v>
      </c>
      <c r="AR61" s="192">
        <f>+(D19*$I19+D40*$I40+D61*$I61+X19*$AC19+X40*$AC40+X61*$AC61+AR19*$AW19+AR40*$AW40)/$AW61</f>
        <v>1.5499999999999996</v>
      </c>
      <c r="AS61" s="192">
        <f>+(E19*$I19+E40*$I40+E61*$I61+Y19*$AC19+Y40*$AC40+Y61*$AC61+AS19*$AW19+AS40*$AW40)/$AW61</f>
        <v>12.372319566203839</v>
      </c>
      <c r="AT61" s="192">
        <f>+(F19*$I19+F40*$I40+F61*$I61+Z19*$AC19+Z40*$AC40+Z61*$AC61+AT19*$AW19+AT40*$AW40)/$AW61</f>
        <v>10.461946429243463</v>
      </c>
      <c r="AU61" s="193">
        <f t="shared" si="43"/>
        <v>5.6839595287199192</v>
      </c>
      <c r="AV61" s="194">
        <f>IF(AQ61&gt;0,+AR61/AQ61,"")</f>
        <v>0.37494319652421881</v>
      </c>
      <c r="AW61" s="195">
        <f>SUM(AW49:AW60)</f>
        <v>1209275.81</v>
      </c>
      <c r="AX61" s="104"/>
      <c r="AY61" s="196" t="s">
        <v>42</v>
      </c>
      <c r="AZ61" s="192">
        <f>+(L19*$S19+L40*$S40+L61*$S61+AF19*$AM19+AF40*$AM40+AF61*$AM61+AZ19*$BG19+AZ40*$BG40)/$BG61</f>
        <v>62.016041444007897</v>
      </c>
      <c r="BA61" s="192">
        <f>+(M19*$S19+M40*$S40+M61*$S61+AG19*$AM19+AG40*$AM40+AG61*$AM61+BA19*$BG19+BA40*$BG40)/$BG61</f>
        <v>4.8933546192181989</v>
      </c>
      <c r="BB61" s="192">
        <f>+(N19*$S19+N40*$S40+N61*$S61+AH19*$AM19+AH40*$AM40+AH61*$AM61+BB19*$BG19+BB40*$BG40)/$BG61</f>
        <v>2.0656747504450803</v>
      </c>
      <c r="BC61" s="192">
        <f>+(O19*$S19+O40*$S40+O61*$S61+AI19*$AM19+AI40*$AM40+AI61*$AM61+BC19*$BG19+BC40*$BG40)/$BG61</f>
        <v>7.3142559468994612</v>
      </c>
      <c r="BD61" s="192">
        <f>+(P19*$S19+P40*$S40+P61*$S61+AJ19*$AM19+AJ40*$AM40+AJ61*$AM61+BD19*$BG19+BD40*$BG40)/$BG61</f>
        <v>43.155992853141186</v>
      </c>
      <c r="BE61" s="193">
        <f t="shared" si="45"/>
        <v>6.9590293696632788</v>
      </c>
      <c r="BF61" s="194">
        <f>IF(BA61&gt;0,+BB61/BA61,"")</f>
        <v>0.4221387802822083</v>
      </c>
      <c r="BG61" s="195">
        <f>SUM(BG49:BG60)</f>
        <v>3379283.2099999995</v>
      </c>
    </row>
    <row r="62" spans="1:59" ht="12.5" x14ac:dyDescent="0.25">
      <c r="A62" s="5"/>
      <c r="B62" s="5"/>
      <c r="C62" s="5"/>
      <c r="D62" s="5"/>
      <c r="E62" s="5"/>
      <c r="F62" s="5"/>
      <c r="G62" s="5"/>
      <c r="H62" s="5"/>
      <c r="I62" s="21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</row>
    <row r="63" spans="1:59" ht="19.5" x14ac:dyDescent="0.35">
      <c r="A63" s="22"/>
      <c r="B63" s="10"/>
      <c r="C63" s="10"/>
      <c r="D63" s="10"/>
      <c r="E63" s="10"/>
      <c r="F63" s="10"/>
      <c r="G63" s="10"/>
      <c r="H63" s="10"/>
      <c r="I63" s="23"/>
      <c r="J63" s="5"/>
      <c r="K63" s="22"/>
      <c r="L63" s="10"/>
      <c r="M63" s="10"/>
      <c r="N63" s="10"/>
      <c r="O63" s="10"/>
      <c r="P63" s="10"/>
      <c r="Q63" s="10"/>
      <c r="R63" s="10"/>
      <c r="S63" s="23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</row>
    <row r="64" spans="1:59" ht="34.5" customHeight="1" x14ac:dyDescent="0.45">
      <c r="A64" s="588"/>
      <c r="B64" s="588"/>
      <c r="C64" s="588"/>
      <c r="D64" s="588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14"/>
      <c r="R64" s="14"/>
      <c r="S64" s="14"/>
      <c r="T64" s="24"/>
      <c r="U64" s="13"/>
      <c r="V64" s="14"/>
      <c r="W64" s="14"/>
      <c r="X64" s="14"/>
      <c r="Y64" s="14"/>
      <c r="Z64" s="14"/>
      <c r="AA64" s="14"/>
      <c r="AB64" s="24"/>
      <c r="AC64" s="24"/>
      <c r="AD64" s="24"/>
      <c r="AE64" s="24"/>
      <c r="AF64" s="24"/>
      <c r="AG64" s="24"/>
      <c r="AH64" s="24"/>
      <c r="AI64" s="25"/>
      <c r="AJ64" s="11"/>
      <c r="AK64" s="24"/>
      <c r="AL64" s="24"/>
      <c r="AM64" s="24"/>
      <c r="AN64" s="24"/>
      <c r="AO64" s="24"/>
      <c r="AP64" s="10"/>
      <c r="AQ64" s="10"/>
      <c r="AR64" s="10"/>
      <c r="AS64" s="10"/>
      <c r="AT64" s="10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</row>
    <row r="65" spans="1:59" s="371" customFormat="1" ht="29.25" customHeight="1" x14ac:dyDescent="0.5">
      <c r="A65" s="591" t="s">
        <v>49</v>
      </c>
      <c r="B65" s="591"/>
      <c r="C65" s="591" t="s">
        <v>50</v>
      </c>
      <c r="D65" s="591"/>
      <c r="E65" s="591"/>
      <c r="F65" s="591"/>
      <c r="G65" s="24"/>
      <c r="H65" s="29"/>
      <c r="I65" s="29"/>
      <c r="J65" s="24"/>
      <c r="K65" s="592" t="s">
        <v>51</v>
      </c>
      <c r="L65" s="592"/>
      <c r="M65" s="591" t="s">
        <v>52</v>
      </c>
      <c r="N65" s="591"/>
      <c r="O65" s="591"/>
      <c r="P65" s="591"/>
      <c r="Q65" s="29"/>
      <c r="R65" s="364"/>
      <c r="S65" s="364"/>
      <c r="T65" s="365"/>
      <c r="U65" s="366"/>
      <c r="V65" s="367"/>
      <c r="W65" s="367"/>
      <c r="X65" s="366"/>
      <c r="Y65" s="368"/>
      <c r="Z65" s="369"/>
      <c r="AA65" s="364"/>
      <c r="AB65" s="365"/>
      <c r="AC65" s="365"/>
      <c r="AD65" s="365"/>
      <c r="AE65" s="366"/>
      <c r="AF65" s="367"/>
      <c r="AG65" s="367"/>
      <c r="AH65" s="364"/>
      <c r="AI65" s="369"/>
      <c r="AJ65" s="369"/>
      <c r="AK65" s="365"/>
      <c r="AL65" s="365"/>
      <c r="AM65" s="365"/>
      <c r="AN65" s="365"/>
      <c r="AO65" s="365"/>
      <c r="AP65" s="365"/>
      <c r="AQ65" s="365"/>
      <c r="AR65" s="365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</row>
    <row r="66" spans="1:59" ht="29" thickBot="1" x14ac:dyDescent="0.7">
      <c r="A66" s="28"/>
      <c r="B66" s="28"/>
      <c r="C66" s="28"/>
      <c r="D66" s="28"/>
      <c r="E66" s="28"/>
      <c r="F66" s="28"/>
      <c r="G66" s="24"/>
      <c r="H66" s="11"/>
      <c r="I66" s="31"/>
      <c r="J66" s="24"/>
      <c r="K66" s="32">
        <f t="shared" ref="K66:K67" si="67">AE42</f>
        <v>0</v>
      </c>
      <c r="L66" s="32">
        <f>AF42</f>
        <v>0</v>
      </c>
      <c r="M66" s="32">
        <f>AG42</f>
        <v>0</v>
      </c>
      <c r="N66" s="32">
        <f>AH42</f>
        <v>0</v>
      </c>
      <c r="O66" s="32">
        <f>AI42</f>
        <v>0</v>
      </c>
      <c r="P66" s="32">
        <f>AJ42</f>
        <v>0</v>
      </c>
      <c r="Q66" s="11"/>
      <c r="R66" s="11"/>
      <c r="S66" s="11"/>
      <c r="T66" s="24"/>
      <c r="U66" s="11"/>
      <c r="V66" s="11"/>
      <c r="W66" s="11"/>
      <c r="X66" s="11"/>
      <c r="Y66" s="11"/>
      <c r="Z66" s="11"/>
      <c r="AA66" s="29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</row>
    <row r="67" spans="1:59" ht="21.5" thickBot="1" x14ac:dyDescent="0.5">
      <c r="A67" s="448"/>
      <c r="B67" s="449" t="s">
        <v>53</v>
      </c>
      <c r="C67" s="450" t="s">
        <v>54</v>
      </c>
      <c r="D67" s="450" t="s">
        <v>55</v>
      </c>
      <c r="E67" s="450" t="s">
        <v>37</v>
      </c>
      <c r="F67" s="451" t="s">
        <v>38</v>
      </c>
      <c r="G67" s="452" t="s">
        <v>41</v>
      </c>
      <c r="H67" s="453"/>
      <c r="I67" s="453"/>
      <c r="J67" s="454"/>
      <c r="K67" s="455">
        <f t="shared" si="67"/>
        <v>0</v>
      </c>
      <c r="L67" s="449" t="s">
        <v>53</v>
      </c>
      <c r="M67" s="450" t="s">
        <v>54</v>
      </c>
      <c r="N67" s="450" t="s">
        <v>55</v>
      </c>
      <c r="O67" s="450" t="s">
        <v>37</v>
      </c>
      <c r="P67" s="451" t="s">
        <v>38</v>
      </c>
      <c r="Q67" s="452" t="s">
        <v>41</v>
      </c>
      <c r="R67" s="24"/>
      <c r="S67" s="24"/>
      <c r="T67" s="24"/>
      <c r="U67" s="38"/>
      <c r="V67" s="39"/>
      <c r="W67" s="39"/>
      <c r="X67" s="39"/>
      <c r="Y67" s="39"/>
      <c r="Z67" s="39"/>
      <c r="AA67" s="29"/>
      <c r="AB67" s="39"/>
      <c r="AC67" s="24"/>
      <c r="AD67" s="24"/>
      <c r="AE67" s="38"/>
      <c r="AF67" s="39"/>
      <c r="AG67" s="39"/>
      <c r="AH67" s="39"/>
      <c r="AI67" s="39"/>
      <c r="AJ67" s="39"/>
      <c r="AK67" s="39"/>
      <c r="AL67" s="24"/>
      <c r="AM67" s="24"/>
      <c r="AN67" s="24"/>
      <c r="AO67" s="24"/>
      <c r="AP67" s="24"/>
      <c r="AQ67" s="24"/>
      <c r="AR67" s="24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</row>
    <row r="68" spans="1:59" ht="21" thickBot="1" x14ac:dyDescent="0.5">
      <c r="A68" s="456" t="str">
        <f t="shared" ref="A68:A69" si="68">A5</f>
        <v>Act 20-21</v>
      </c>
      <c r="B68" s="457"/>
      <c r="C68" s="458"/>
      <c r="D68" s="458"/>
      <c r="E68" s="458"/>
      <c r="F68" s="459"/>
      <c r="G68" s="460"/>
      <c r="H68" s="453"/>
      <c r="I68" s="453"/>
      <c r="J68" s="454"/>
      <c r="K68" s="456" t="str">
        <f>A68</f>
        <v>Act 20-21</v>
      </c>
      <c r="L68" s="457"/>
      <c r="M68" s="458"/>
      <c r="N68" s="458"/>
      <c r="O68" s="458"/>
      <c r="P68" s="459"/>
      <c r="Q68" s="460"/>
      <c r="R68" s="24"/>
      <c r="S68" s="24"/>
      <c r="T68" s="24"/>
      <c r="U68" s="44"/>
      <c r="V68" s="44"/>
      <c r="W68" s="44"/>
      <c r="X68" s="44"/>
      <c r="Y68" s="44"/>
      <c r="Z68" s="44"/>
      <c r="AA68" s="29"/>
      <c r="AB68" s="45"/>
      <c r="AC68" s="24"/>
      <c r="AD68" s="24"/>
      <c r="AE68" s="44"/>
      <c r="AF68" s="46"/>
      <c r="AG68" s="46"/>
      <c r="AH68" s="46"/>
      <c r="AI68" s="46"/>
      <c r="AJ68" s="46"/>
      <c r="AK68" s="45"/>
      <c r="AL68" s="24"/>
      <c r="AM68" s="24"/>
      <c r="AN68" s="24"/>
      <c r="AO68" s="24"/>
      <c r="AP68" s="24"/>
      <c r="AQ68" s="24"/>
      <c r="AR68" s="24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</row>
    <row r="69" spans="1:59" ht="21" thickBot="1" x14ac:dyDescent="0.5">
      <c r="A69" s="461" t="str">
        <f t="shared" si="68"/>
        <v>APP 21-22</v>
      </c>
      <c r="B69" s="449">
        <v>50</v>
      </c>
      <c r="C69" s="450">
        <v>2.25</v>
      </c>
      <c r="D69" s="450">
        <v>3.5</v>
      </c>
      <c r="E69" s="450">
        <v>5</v>
      </c>
      <c r="F69" s="451">
        <v>5</v>
      </c>
      <c r="G69" s="462"/>
      <c r="H69" s="453"/>
      <c r="I69" s="453"/>
      <c r="J69" s="454"/>
      <c r="K69" s="461" t="str">
        <f t="shared" ref="K69:K82" si="69">A69</f>
        <v>APP 21-22</v>
      </c>
      <c r="L69" s="449">
        <v>30</v>
      </c>
      <c r="M69" s="450">
        <v>18</v>
      </c>
      <c r="N69" s="450">
        <v>5</v>
      </c>
      <c r="O69" s="450">
        <v>5</v>
      </c>
      <c r="P69" s="451">
        <v>10</v>
      </c>
      <c r="Q69" s="462"/>
      <c r="R69" s="24"/>
      <c r="S69" s="24"/>
      <c r="T69" s="24"/>
      <c r="U69" s="48"/>
      <c r="V69" s="49"/>
      <c r="W69" s="49"/>
      <c r="X69" s="49"/>
      <c r="Y69" s="49"/>
      <c r="Z69" s="49"/>
      <c r="AA69" s="29"/>
      <c r="AB69" s="8"/>
      <c r="AC69" s="24"/>
      <c r="AD69" s="24"/>
      <c r="AE69" s="50"/>
      <c r="AF69" s="51"/>
      <c r="AG69" s="51"/>
      <c r="AH69" s="51"/>
      <c r="AI69" s="51"/>
      <c r="AJ69" s="51"/>
      <c r="AK69" s="8"/>
      <c r="AL69" s="24"/>
      <c r="AM69" s="24"/>
      <c r="AN69" s="24"/>
      <c r="AO69" s="24"/>
      <c r="AP69" s="24"/>
      <c r="AQ69" s="24"/>
      <c r="AR69" s="24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</row>
    <row r="70" spans="1:59" ht="21" x14ac:dyDescent="0.45">
      <c r="A70" s="463">
        <f>A7</f>
        <v>44287</v>
      </c>
      <c r="B70" s="464"/>
      <c r="C70" s="465"/>
      <c r="D70" s="465"/>
      <c r="E70" s="465"/>
      <c r="F70" s="466"/>
      <c r="G70" s="467">
        <f>IF(B70&gt;0,IFERROR(GETPIVOTDATA("act_qty",RECPT!$A$63,"yymm","202104","unit","KTR","comm","LS"),0),)</f>
        <v>0</v>
      </c>
      <c r="H70" s="453"/>
      <c r="I70" s="453"/>
      <c r="J70" s="454"/>
      <c r="K70" s="463">
        <f t="shared" si="69"/>
        <v>44287</v>
      </c>
      <c r="L70" s="464"/>
      <c r="M70" s="465"/>
      <c r="N70" s="465"/>
      <c r="O70" s="465"/>
      <c r="P70" s="466"/>
      <c r="Q70" s="467">
        <f>IF(L70&gt;0,IFERROR(GETPIVOTDATA("act_qty",RECPT!$A$63,"yymm","202104","unit","TDM","comm","BD"),0),)</f>
        <v>0</v>
      </c>
      <c r="R70" s="24"/>
      <c r="S70" s="24"/>
      <c r="T70" s="24"/>
      <c r="U70" s="9"/>
      <c r="V70" s="15"/>
      <c r="W70" s="15"/>
      <c r="X70" s="15"/>
      <c r="Y70" s="15"/>
      <c r="Z70" s="15"/>
      <c r="AA70" s="29"/>
      <c r="AB70" s="23"/>
      <c r="AC70" s="24"/>
      <c r="AD70" s="24"/>
      <c r="AE70" s="9"/>
      <c r="AF70" s="10"/>
      <c r="AG70" s="10"/>
      <c r="AH70" s="10"/>
      <c r="AI70" s="10"/>
      <c r="AJ70" s="10"/>
      <c r="AK70" s="23"/>
      <c r="AL70" s="24"/>
      <c r="AM70" s="24"/>
      <c r="AN70" s="24"/>
      <c r="AO70" s="24"/>
      <c r="AP70" s="24"/>
      <c r="AQ70" s="24"/>
      <c r="AR70" s="24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</row>
    <row r="71" spans="1:59" ht="21" x14ac:dyDescent="0.45">
      <c r="A71" s="448">
        <f t="shared" ref="A71:A82" si="70">A8</f>
        <v>44317</v>
      </c>
      <c r="B71" s="464"/>
      <c r="C71" s="468"/>
      <c r="D71" s="468"/>
      <c r="E71" s="468"/>
      <c r="F71" s="469"/>
      <c r="G71" s="470">
        <f>IF(B71&gt;0,IFERROR(GETPIVOTDATA("act_qty",RECPT!$A$63,"yymm","202105","unit","KTR","comm","LS"),0),)</f>
        <v>0</v>
      </c>
      <c r="H71" s="453"/>
      <c r="I71" s="453"/>
      <c r="J71" s="454"/>
      <c r="K71" s="448">
        <f t="shared" si="69"/>
        <v>44317</v>
      </c>
      <c r="L71" s="464"/>
      <c r="M71" s="468"/>
      <c r="N71" s="468"/>
      <c r="O71" s="468"/>
      <c r="P71" s="469"/>
      <c r="Q71" s="470">
        <f>IF(L71&gt;0,IFERROR(GETPIVOTDATA("act_qty",RECPT!$A$63,"yymm","202105","unit","TDM","comm","BD"),0),)</f>
        <v>0</v>
      </c>
      <c r="R71" s="24"/>
      <c r="S71" s="24"/>
      <c r="T71" s="24"/>
      <c r="U71" s="9"/>
      <c r="V71" s="15"/>
      <c r="W71" s="15"/>
      <c r="X71" s="15"/>
      <c r="Y71" s="15"/>
      <c r="Z71" s="15"/>
      <c r="AA71" s="29"/>
      <c r="AB71" s="10"/>
      <c r="AC71" s="24"/>
      <c r="AD71" s="24"/>
      <c r="AE71" s="9"/>
      <c r="AF71" s="10"/>
      <c r="AG71" s="10"/>
      <c r="AH71" s="10"/>
      <c r="AI71" s="10"/>
      <c r="AJ71" s="10"/>
      <c r="AK71" s="23"/>
      <c r="AL71" s="24"/>
      <c r="AM71" s="24"/>
      <c r="AN71" s="24"/>
      <c r="AO71" s="24"/>
      <c r="AP71" s="24"/>
      <c r="AQ71" s="24"/>
      <c r="AR71" s="24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</row>
    <row r="72" spans="1:59" ht="21" x14ac:dyDescent="0.45">
      <c r="A72" s="448">
        <f t="shared" si="70"/>
        <v>44348</v>
      </c>
      <c r="B72" s="464"/>
      <c r="C72" s="468"/>
      <c r="D72" s="468"/>
      <c r="E72" s="468"/>
      <c r="F72" s="469"/>
      <c r="G72" s="470">
        <f>IF(B72&gt;0,IFERROR(GETPIVOTDATA("act_qty",RECPT!$A$63,"yymm","202106","unit","KTR","comm","LS"),0),)</f>
        <v>0</v>
      </c>
      <c r="H72" s="453"/>
      <c r="I72" s="453"/>
      <c r="J72" s="454"/>
      <c r="K72" s="448">
        <f t="shared" si="69"/>
        <v>44348</v>
      </c>
      <c r="L72" s="464"/>
      <c r="M72" s="468"/>
      <c r="N72" s="468"/>
      <c r="O72" s="468"/>
      <c r="P72" s="469"/>
      <c r="Q72" s="470">
        <f>IF(L72&gt;0,IFERROR(GETPIVOTDATA("act_qty",RECPT!$A$63,"yymm","202106","unit","TDM","comm","BD"),0),)</f>
        <v>0</v>
      </c>
      <c r="R72" s="24"/>
      <c r="S72" s="24"/>
      <c r="T72" s="24"/>
      <c r="U72" s="9"/>
      <c r="V72" s="15"/>
      <c r="W72" s="15"/>
      <c r="X72" s="15"/>
      <c r="Y72" s="15"/>
      <c r="Z72" s="15"/>
      <c r="AA72" s="29"/>
      <c r="AB72" s="10"/>
      <c r="AC72" s="24"/>
      <c r="AD72" s="24"/>
      <c r="AE72" s="9"/>
      <c r="AF72" s="10"/>
      <c r="AG72" s="10"/>
      <c r="AH72" s="10"/>
      <c r="AI72" s="10"/>
      <c r="AJ72" s="10"/>
      <c r="AK72" s="23"/>
      <c r="AL72" s="24"/>
      <c r="AM72" s="24"/>
      <c r="AN72" s="24"/>
      <c r="AO72" s="24"/>
      <c r="AP72" s="24"/>
      <c r="AQ72" s="24"/>
      <c r="AR72" s="24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</row>
    <row r="73" spans="1:59" ht="21" x14ac:dyDescent="0.45">
      <c r="A73" s="448">
        <f t="shared" si="70"/>
        <v>44378</v>
      </c>
      <c r="B73" s="464"/>
      <c r="C73" s="468"/>
      <c r="D73" s="468"/>
      <c r="E73" s="468"/>
      <c r="F73" s="469"/>
      <c r="G73" s="470">
        <f>IF(B73&gt;0,IFERROR(GETPIVOTDATA("act_qty",RECPT!$A$63,"yymm","202107","unit","KTR","comm","LS"),0),)</f>
        <v>0</v>
      </c>
      <c r="H73" s="453"/>
      <c r="I73" s="453"/>
      <c r="J73" s="454"/>
      <c r="K73" s="448">
        <f t="shared" si="69"/>
        <v>44378</v>
      </c>
      <c r="L73" s="464"/>
      <c r="M73" s="468"/>
      <c r="N73" s="468"/>
      <c r="O73" s="468"/>
      <c r="P73" s="469"/>
      <c r="Q73" s="470">
        <f>IF(L73&gt;0,IFERROR(GETPIVOTDATA("act_qty",RECPT!$A$63,"yymm","202107","unit","TDM","comm","BD"),0),)</f>
        <v>0</v>
      </c>
      <c r="R73" s="24"/>
      <c r="S73" s="24"/>
      <c r="T73" s="24"/>
      <c r="U73" s="9"/>
      <c r="V73" s="15"/>
      <c r="W73" s="15"/>
      <c r="X73" s="15"/>
      <c r="Y73" s="15"/>
      <c r="Z73" s="15"/>
      <c r="AA73" s="29"/>
      <c r="AB73" s="10"/>
      <c r="AC73" s="24"/>
      <c r="AD73" s="24"/>
      <c r="AE73" s="9"/>
      <c r="AF73" s="10"/>
      <c r="AG73" s="10"/>
      <c r="AH73" s="10"/>
      <c r="AI73" s="10"/>
      <c r="AJ73" s="10"/>
      <c r="AK73" s="23"/>
      <c r="AL73" s="24"/>
      <c r="AM73" s="24"/>
      <c r="AN73" s="24"/>
      <c r="AO73" s="24"/>
      <c r="AP73" s="24"/>
      <c r="AQ73" s="24"/>
      <c r="AR73" s="24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</row>
    <row r="74" spans="1:59" ht="21" x14ac:dyDescent="0.45">
      <c r="A74" s="448">
        <f t="shared" si="70"/>
        <v>44409</v>
      </c>
      <c r="B74" s="464"/>
      <c r="C74" s="468"/>
      <c r="D74" s="468"/>
      <c r="E74" s="468"/>
      <c r="F74" s="469"/>
      <c r="G74" s="470">
        <f>IF(B74&gt;0,IFERROR(GETPIVOTDATA("act_qty",RECPT!$A$63,"yymm","202108","unit","KTR","comm","LS"),0),)</f>
        <v>0</v>
      </c>
      <c r="H74" s="453"/>
      <c r="I74" s="453"/>
      <c r="J74" s="454"/>
      <c r="K74" s="448">
        <f t="shared" si="69"/>
        <v>44409</v>
      </c>
      <c r="L74" s="464"/>
      <c r="M74" s="468"/>
      <c r="N74" s="468"/>
      <c r="O74" s="468"/>
      <c r="P74" s="469"/>
      <c r="Q74" s="470">
        <f>IF(L74&gt;0,IFERROR(GETPIVOTDATA("act_qty",RECPT!$A$63,"yymm","202108","unit","TDM","comm","BD"),0),)</f>
        <v>0</v>
      </c>
      <c r="R74" s="24"/>
      <c r="S74" s="24"/>
      <c r="T74" s="24"/>
      <c r="U74" s="9"/>
      <c r="V74" s="15"/>
      <c r="W74" s="15"/>
      <c r="X74" s="15"/>
      <c r="Y74" s="15"/>
      <c r="Z74" s="15"/>
      <c r="AA74" s="29"/>
      <c r="AB74" s="10"/>
      <c r="AC74" s="24"/>
      <c r="AD74" s="24"/>
      <c r="AE74" s="9"/>
      <c r="AF74" s="10"/>
      <c r="AG74" s="10"/>
      <c r="AH74" s="10"/>
      <c r="AI74" s="10"/>
      <c r="AJ74" s="10"/>
      <c r="AK74" s="23"/>
      <c r="AL74" s="24"/>
      <c r="AM74" s="24"/>
      <c r="AN74" s="24"/>
      <c r="AO74" s="24"/>
      <c r="AP74" s="24"/>
      <c r="AQ74" s="24"/>
      <c r="AR74" s="24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</row>
    <row r="75" spans="1:59" ht="21" x14ac:dyDescent="0.45">
      <c r="A75" s="448">
        <f t="shared" si="70"/>
        <v>44440</v>
      </c>
      <c r="B75" s="464"/>
      <c r="C75" s="468"/>
      <c r="D75" s="468"/>
      <c r="E75" s="468"/>
      <c r="F75" s="469"/>
      <c r="G75" s="470">
        <f>IF(B75&gt;0,IFERROR(GETPIVOTDATA("act_qty",RECPT!$A$63,"yymm","202109","unit","KTR","comm","LS"),0),)</f>
        <v>0</v>
      </c>
      <c r="H75" s="453"/>
      <c r="I75" s="453"/>
      <c r="J75" s="454"/>
      <c r="K75" s="448">
        <f t="shared" si="69"/>
        <v>44440</v>
      </c>
      <c r="L75" s="464"/>
      <c r="M75" s="468"/>
      <c r="N75" s="468"/>
      <c r="O75" s="468"/>
      <c r="P75" s="469"/>
      <c r="Q75" s="470">
        <f>IF(L75&gt;0,IFERROR(GETPIVOTDATA("act_qty",RECPT!$A$63,"yymm","202109","unit","TDM","comm","BD"),0),)</f>
        <v>0</v>
      </c>
      <c r="R75" s="24"/>
      <c r="S75" s="24"/>
      <c r="T75" s="24"/>
      <c r="U75" s="9"/>
      <c r="V75" s="15"/>
      <c r="W75" s="15"/>
      <c r="X75" s="15"/>
      <c r="Y75" s="15"/>
      <c r="Z75" s="15"/>
      <c r="AA75" s="29"/>
      <c r="AB75" s="10"/>
      <c r="AC75" s="24"/>
      <c r="AD75" s="24"/>
      <c r="AE75" s="9"/>
      <c r="AF75" s="10"/>
      <c r="AG75" s="10"/>
      <c r="AH75" s="10"/>
      <c r="AI75" s="10"/>
      <c r="AJ75" s="10"/>
      <c r="AK75" s="23"/>
      <c r="AL75" s="24"/>
      <c r="AM75" s="24"/>
      <c r="AN75" s="24"/>
      <c r="AO75" s="24"/>
      <c r="AP75" s="24"/>
      <c r="AQ75" s="24"/>
      <c r="AR75" s="24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</row>
    <row r="76" spans="1:59" ht="21" x14ac:dyDescent="0.45">
      <c r="A76" s="448">
        <f t="shared" si="70"/>
        <v>44470</v>
      </c>
      <c r="B76" s="464"/>
      <c r="C76" s="468"/>
      <c r="D76" s="468"/>
      <c r="E76" s="468"/>
      <c r="F76" s="469"/>
      <c r="G76" s="470">
        <f>IF(B76&gt;0,IFERROR(GETPIVOTDATA("act_qty",RECPT!$A$63,"yymm","202110","unit","KTR","comm","LS"),0),)</f>
        <v>0</v>
      </c>
      <c r="H76" s="453"/>
      <c r="I76" s="453"/>
      <c r="J76" s="454"/>
      <c r="K76" s="448">
        <f t="shared" si="69"/>
        <v>44470</v>
      </c>
      <c r="L76" s="464"/>
      <c r="M76" s="468"/>
      <c r="N76" s="468"/>
      <c r="O76" s="468"/>
      <c r="P76" s="469"/>
      <c r="Q76" s="470">
        <f>IF(L76&gt;0,IFERROR(GETPIVOTDATA("act_qty",RECPT!$A$63,"yymm","202110","unit","TDM","comm","BD"),0),)</f>
        <v>0</v>
      </c>
      <c r="R76" s="24"/>
      <c r="S76" s="24"/>
      <c r="T76" s="24"/>
      <c r="U76" s="9"/>
      <c r="V76" s="15"/>
      <c r="W76" s="15"/>
      <c r="X76" s="15"/>
      <c r="Y76" s="15"/>
      <c r="Z76" s="15"/>
      <c r="AA76" s="29"/>
      <c r="AB76" s="10"/>
      <c r="AC76" s="24"/>
      <c r="AD76" s="24"/>
      <c r="AE76" s="9"/>
      <c r="AF76" s="10"/>
      <c r="AG76" s="10"/>
      <c r="AH76" s="10"/>
      <c r="AI76" s="10"/>
      <c r="AJ76" s="10"/>
      <c r="AK76" s="23"/>
      <c r="AL76" s="24"/>
      <c r="AM76" s="24"/>
      <c r="AN76" s="24"/>
      <c r="AO76" s="24"/>
      <c r="AP76" s="24"/>
      <c r="AQ76" s="24"/>
      <c r="AR76" s="24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</row>
    <row r="77" spans="1:59" ht="21" x14ac:dyDescent="0.45">
      <c r="A77" s="448">
        <f t="shared" si="70"/>
        <v>44501</v>
      </c>
      <c r="B77" s="464"/>
      <c r="C77" s="468"/>
      <c r="D77" s="468"/>
      <c r="E77" s="468"/>
      <c r="F77" s="471"/>
      <c r="G77" s="470">
        <f>IF(B77&gt;0,IFERROR(GETPIVOTDATA("act_qty",RECPT!$A$63,"yymm","202111","unit","KTR","comm","LS"),0),)</f>
        <v>0</v>
      </c>
      <c r="H77" s="453"/>
      <c r="I77" s="453"/>
      <c r="J77" s="454"/>
      <c r="K77" s="448">
        <f t="shared" si="69"/>
        <v>44501</v>
      </c>
      <c r="L77" s="464"/>
      <c r="M77" s="468"/>
      <c r="N77" s="468"/>
      <c r="O77" s="468"/>
      <c r="P77" s="471"/>
      <c r="Q77" s="470">
        <f>IF(L77&gt;0,IFERROR(GETPIVOTDATA("act_qty",RECPT!$A$63,"yymm","202111","unit","TDM","comm","BD"),0),)</f>
        <v>0</v>
      </c>
      <c r="R77" s="24"/>
      <c r="S77" s="24"/>
      <c r="T77" s="24"/>
      <c r="U77" s="9"/>
      <c r="V77" s="15"/>
      <c r="W77" s="15"/>
      <c r="X77" s="15"/>
      <c r="Y77" s="15"/>
      <c r="Z77" s="15"/>
      <c r="AA77" s="29"/>
      <c r="AB77" s="10"/>
      <c r="AC77" s="24"/>
      <c r="AD77" s="24"/>
      <c r="AE77" s="9"/>
      <c r="AF77" s="10"/>
      <c r="AG77" s="10"/>
      <c r="AH77" s="10"/>
      <c r="AI77" s="10"/>
      <c r="AJ77" s="10"/>
      <c r="AK77" s="23"/>
      <c r="AL77" s="24"/>
      <c r="AM77" s="24"/>
      <c r="AN77" s="24"/>
      <c r="AO77" s="24"/>
      <c r="AP77" s="24"/>
      <c r="AQ77" s="24"/>
      <c r="AR77" s="24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</row>
    <row r="78" spans="1:59" ht="21" x14ac:dyDescent="0.45">
      <c r="A78" s="448">
        <f t="shared" si="70"/>
        <v>44531</v>
      </c>
      <c r="B78" s="464"/>
      <c r="C78" s="468"/>
      <c r="D78" s="468"/>
      <c r="E78" s="468"/>
      <c r="F78" s="471"/>
      <c r="G78" s="470">
        <f>IF(B78&gt;0,IFERROR(GETPIVOTDATA("act_qty",RECPT!$A$63,"yymm","202112","unit","KTR","comm","LS"),0),)</f>
        <v>0</v>
      </c>
      <c r="H78" s="453"/>
      <c r="I78" s="453"/>
      <c r="J78" s="454"/>
      <c r="K78" s="448">
        <f t="shared" si="69"/>
        <v>44531</v>
      </c>
      <c r="L78" s="464"/>
      <c r="M78" s="468"/>
      <c r="N78" s="468"/>
      <c r="O78" s="468"/>
      <c r="P78" s="471"/>
      <c r="Q78" s="470">
        <f>IF(L78&gt;0,IFERROR(GETPIVOTDATA("act_qty",RECPT!$A$63,"yymm","202112","unit","TDM","comm","BD"),0),)</f>
        <v>0</v>
      </c>
      <c r="R78" s="24"/>
      <c r="S78" s="24"/>
      <c r="T78" s="24"/>
      <c r="U78" s="9"/>
      <c r="V78" s="15"/>
      <c r="W78" s="15"/>
      <c r="X78" s="15"/>
      <c r="Y78" s="15"/>
      <c r="Z78" s="15"/>
      <c r="AA78" s="29"/>
      <c r="AB78" s="10"/>
      <c r="AC78" s="24"/>
      <c r="AD78" s="24"/>
      <c r="AE78" s="9"/>
      <c r="AF78" s="10"/>
      <c r="AG78" s="10"/>
      <c r="AH78" s="10"/>
      <c r="AI78" s="10"/>
      <c r="AJ78" s="10"/>
      <c r="AK78" s="23"/>
      <c r="AL78" s="24"/>
      <c r="AM78" s="24"/>
      <c r="AN78" s="24"/>
      <c r="AO78" s="24"/>
      <c r="AP78" s="24"/>
      <c r="AQ78" s="24"/>
      <c r="AR78" s="24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</row>
    <row r="79" spans="1:59" ht="21" x14ac:dyDescent="0.45">
      <c r="A79" s="448">
        <f t="shared" si="70"/>
        <v>44562</v>
      </c>
      <c r="B79" s="464"/>
      <c r="C79" s="468"/>
      <c r="D79" s="468"/>
      <c r="E79" s="468"/>
      <c r="F79" s="471"/>
      <c r="G79" s="470">
        <f>IF(B79&gt;0,IFERROR(GETPIVOTDATA("act_qty",RECPT!$A$63,"yymm","202201","unit","KTR","comm","LS"),0),)</f>
        <v>0</v>
      </c>
      <c r="H79" s="453"/>
      <c r="I79" s="453"/>
      <c r="J79" s="454"/>
      <c r="K79" s="448">
        <f t="shared" si="69"/>
        <v>44562</v>
      </c>
      <c r="L79" s="464"/>
      <c r="M79" s="468"/>
      <c r="N79" s="468"/>
      <c r="O79" s="468"/>
      <c r="P79" s="471"/>
      <c r="Q79" s="470">
        <f>IF(L79&gt;0,IFERROR(GETPIVOTDATA("act_qty",RECPT!$A$63,"yymm","202201","unit","TDM","comm","BD"),0),)</f>
        <v>0</v>
      </c>
      <c r="R79" s="24"/>
      <c r="S79" s="24"/>
      <c r="T79" s="24"/>
      <c r="U79" s="9"/>
      <c r="V79" s="15"/>
      <c r="W79" s="15"/>
      <c r="X79" s="15"/>
      <c r="Y79" s="15"/>
      <c r="Z79" s="15"/>
      <c r="AA79" s="29"/>
      <c r="AB79" s="10"/>
      <c r="AC79" s="24"/>
      <c r="AD79" s="24"/>
      <c r="AE79" s="9"/>
      <c r="AF79" s="10"/>
      <c r="AG79" s="10"/>
      <c r="AH79" s="10"/>
      <c r="AI79" s="10"/>
      <c r="AJ79" s="10"/>
      <c r="AK79" s="23"/>
      <c r="AL79" s="24"/>
      <c r="AM79" s="24"/>
      <c r="AN79" s="24"/>
      <c r="AO79" s="24"/>
      <c r="AP79" s="24"/>
      <c r="AQ79" s="24"/>
      <c r="AR79" s="24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</row>
    <row r="80" spans="1:59" ht="21" x14ac:dyDescent="0.45">
      <c r="A80" s="448">
        <f t="shared" si="70"/>
        <v>44593</v>
      </c>
      <c r="B80" s="464"/>
      <c r="C80" s="468"/>
      <c r="D80" s="468"/>
      <c r="E80" s="468"/>
      <c r="F80" s="471"/>
      <c r="G80" s="470">
        <f>IF(B80&gt;0,IFERROR(GETPIVOTDATA("act_qty",RECPT!$A$63,"yymm","202202","unit","KTR","comm","LS"),0),)</f>
        <v>0</v>
      </c>
      <c r="H80" s="453"/>
      <c r="I80" s="453"/>
      <c r="J80" s="454"/>
      <c r="K80" s="448">
        <f t="shared" si="69"/>
        <v>44593</v>
      </c>
      <c r="L80" s="464"/>
      <c r="M80" s="468"/>
      <c r="N80" s="468"/>
      <c r="O80" s="468"/>
      <c r="P80" s="471"/>
      <c r="Q80" s="470">
        <f>IF(L80&gt;0,IFERROR(GETPIVOTDATA("act_qty",RECPT!$A$63,"yymm","202202","unit","TDM","comm","BD"),0),)</f>
        <v>0</v>
      </c>
      <c r="R80" s="24"/>
      <c r="S80" s="24"/>
      <c r="T80" s="24"/>
      <c r="U80" s="9"/>
      <c r="V80" s="15"/>
      <c r="W80" s="15"/>
      <c r="X80" s="15"/>
      <c r="Y80" s="15"/>
      <c r="Z80" s="15"/>
      <c r="AA80" s="29"/>
      <c r="AB80" s="10"/>
      <c r="AC80" s="24"/>
      <c r="AD80" s="24"/>
      <c r="AE80" s="9"/>
      <c r="AF80" s="10"/>
      <c r="AG80" s="10"/>
      <c r="AH80" s="10"/>
      <c r="AI80" s="10"/>
      <c r="AJ80" s="10"/>
      <c r="AK80" s="23"/>
      <c r="AL80" s="24"/>
      <c r="AM80" s="24"/>
      <c r="AN80" s="24"/>
      <c r="AO80" s="24"/>
      <c r="AP80" s="24"/>
      <c r="AQ80" s="24"/>
      <c r="AR80" s="24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</row>
    <row r="81" spans="1:59" ht="21.5" thickBot="1" x14ac:dyDescent="0.5">
      <c r="A81" s="456">
        <f t="shared" si="70"/>
        <v>44621</v>
      </c>
      <c r="B81" s="464"/>
      <c r="C81" s="472"/>
      <c r="D81" s="472"/>
      <c r="E81" s="472"/>
      <c r="F81" s="473"/>
      <c r="G81" s="474">
        <f>IF(B81&gt;0,IFERROR(GETPIVOTDATA("act_qty",RECPT!$A$63,"yymm","202203","unit","KTR","comm","LS"),0),)</f>
        <v>0</v>
      </c>
      <c r="H81" s="453"/>
      <c r="I81" s="453"/>
      <c r="J81" s="454"/>
      <c r="K81" s="456">
        <f t="shared" si="69"/>
        <v>44621</v>
      </c>
      <c r="L81" s="464"/>
      <c r="M81" s="472"/>
      <c r="N81" s="472"/>
      <c r="O81" s="472"/>
      <c r="P81" s="473"/>
      <c r="Q81" s="474">
        <f>IF(L81&gt;0,IFERROR(GETPIVOTDATA("act_qty",RECPT!$A$63,"yymm","202203","unit","TDM","comm","BD"),0),)</f>
        <v>0</v>
      </c>
      <c r="R81" s="24"/>
      <c r="S81" s="24"/>
      <c r="T81" s="24"/>
      <c r="U81" s="9"/>
      <c r="V81" s="15"/>
      <c r="W81" s="15"/>
      <c r="X81" s="15"/>
      <c r="Y81" s="15"/>
      <c r="Z81" s="15"/>
      <c r="AA81" s="29"/>
      <c r="AB81" s="10"/>
      <c r="AC81" s="24"/>
      <c r="AD81" s="24"/>
      <c r="AE81" s="9"/>
      <c r="AF81" s="10"/>
      <c r="AG81" s="10"/>
      <c r="AH81" s="10"/>
      <c r="AI81" s="10"/>
      <c r="AJ81" s="10"/>
      <c r="AK81" s="23"/>
      <c r="AL81" s="24"/>
      <c r="AM81" s="24"/>
      <c r="AN81" s="24"/>
      <c r="AO81" s="24"/>
      <c r="AP81" s="24"/>
      <c r="AQ81" s="24"/>
      <c r="AR81" s="24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1:59" ht="21" thickBot="1" x14ac:dyDescent="0.5">
      <c r="A82" s="461" t="str">
        <f t="shared" si="70"/>
        <v>CUMML</v>
      </c>
      <c r="B82" s="449"/>
      <c r="C82" s="450"/>
      <c r="D82" s="450"/>
      <c r="E82" s="450"/>
      <c r="F82" s="451"/>
      <c r="G82" s="475">
        <f>SUM(G70:G81)</f>
        <v>0</v>
      </c>
      <c r="H82" s="453"/>
      <c r="I82" s="453"/>
      <c r="J82" s="454"/>
      <c r="K82" s="461" t="str">
        <f t="shared" si="69"/>
        <v>CUMML</v>
      </c>
      <c r="L82" s="449"/>
      <c r="M82" s="450"/>
      <c r="N82" s="450"/>
      <c r="O82" s="450"/>
      <c r="P82" s="451"/>
      <c r="Q82" s="475">
        <f>SUM(Q70:Q81)</f>
        <v>0</v>
      </c>
      <c r="R82" s="24"/>
      <c r="S82" s="24"/>
      <c r="T82" s="24"/>
      <c r="U82" s="65"/>
      <c r="V82" s="10"/>
      <c r="W82" s="10"/>
      <c r="X82" s="10"/>
      <c r="Y82" s="10"/>
      <c r="Z82" s="10"/>
      <c r="AA82" s="24"/>
      <c r="AB82" s="23"/>
      <c r="AC82" s="24"/>
      <c r="AD82" s="24"/>
      <c r="AE82" s="9"/>
      <c r="AF82" s="10"/>
      <c r="AG82" s="10"/>
      <c r="AH82" s="10"/>
      <c r="AI82" s="10"/>
      <c r="AJ82" s="10"/>
      <c r="AK82" s="23"/>
      <c r="AL82" s="24"/>
      <c r="AM82" s="24"/>
      <c r="AN82" s="24"/>
      <c r="AO82" s="24"/>
      <c r="AP82" s="24"/>
      <c r="AQ82" s="24"/>
      <c r="AR82" s="24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</row>
    <row r="83" spans="1:59" ht="18" customHeight="1" x14ac:dyDescent="0.35">
      <c r="A83" s="24"/>
      <c r="B83" s="24"/>
      <c r="C83" s="24"/>
      <c r="D83" s="24"/>
      <c r="E83" s="24"/>
      <c r="F83" s="24"/>
      <c r="G83" s="24"/>
      <c r="H83" s="24"/>
      <c r="I83" s="37"/>
      <c r="J83" s="24"/>
      <c r="K83" s="24"/>
      <c r="L83" s="24"/>
      <c r="M83" s="24"/>
      <c r="N83" s="24"/>
      <c r="O83" s="24"/>
      <c r="P83" s="24"/>
      <c r="Q83" s="11"/>
      <c r="R83" s="24"/>
      <c r="S83" s="24"/>
      <c r="T83" s="24"/>
      <c r="U83" s="24"/>
      <c r="V83" s="24"/>
      <c r="W83" s="24"/>
      <c r="X83" s="24"/>
      <c r="Y83" s="24"/>
      <c r="Z83" s="24"/>
      <c r="AA83" s="29"/>
      <c r="AB83" s="24"/>
      <c r="AC83" s="5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</row>
    <row r="84" spans="1:59" ht="19.5" x14ac:dyDescent="0.35">
      <c r="A84" s="9"/>
      <c r="B84" s="10"/>
      <c r="C84" s="10"/>
      <c r="D84" s="10"/>
      <c r="E84" s="10"/>
      <c r="F84" s="10"/>
      <c r="G84" s="24"/>
      <c r="H84" s="24"/>
      <c r="I84" s="37"/>
      <c r="J84" s="24"/>
      <c r="K84" s="9"/>
      <c r="L84" s="10"/>
      <c r="M84" s="10"/>
      <c r="N84" s="10"/>
      <c r="O84" s="10"/>
      <c r="P84" s="10"/>
      <c r="Q84" s="11"/>
      <c r="R84" s="24"/>
      <c r="S84" s="24"/>
      <c r="T84" s="24"/>
      <c r="U84" s="9"/>
      <c r="V84" s="10"/>
      <c r="W84" s="10"/>
      <c r="X84" s="10"/>
      <c r="Y84" s="10"/>
      <c r="Z84" s="10"/>
      <c r="AA84" s="29"/>
      <c r="AB84" s="24"/>
      <c r="AC84" s="5"/>
      <c r="AD84" s="24"/>
      <c r="AE84" s="9"/>
      <c r="AF84" s="10"/>
      <c r="AG84" s="10"/>
      <c r="AH84" s="10"/>
      <c r="AI84" s="66"/>
      <c r="AJ84" s="66"/>
      <c r="AK84" s="24"/>
      <c r="AL84" s="24"/>
      <c r="AM84" s="24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1:59" ht="21.75" customHeight="1" x14ac:dyDescent="0.35">
      <c r="A85" s="67"/>
      <c r="B85" s="68"/>
      <c r="C85" s="68"/>
      <c r="D85" s="68"/>
      <c r="E85" s="68"/>
      <c r="F85" s="68"/>
      <c r="G85" s="24"/>
      <c r="H85" s="24"/>
      <c r="I85" s="37"/>
      <c r="J85" s="24"/>
      <c r="K85" s="67"/>
      <c r="L85" s="68"/>
      <c r="M85" s="68"/>
      <c r="N85" s="68"/>
      <c r="O85" s="68"/>
      <c r="P85" s="68"/>
      <c r="Q85" s="11"/>
      <c r="R85" s="24"/>
      <c r="S85" s="24"/>
      <c r="T85" s="24"/>
      <c r="U85" s="67"/>
      <c r="V85" s="68"/>
      <c r="W85" s="68"/>
      <c r="X85" s="68"/>
      <c r="Y85" s="68"/>
      <c r="Z85" s="68"/>
      <c r="AA85" s="29"/>
      <c r="AB85" s="24"/>
      <c r="AC85" s="5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</row>
    <row r="86" spans="1:59" ht="17.5" x14ac:dyDescent="0.35">
      <c r="A86" s="24"/>
      <c r="B86" s="24"/>
      <c r="C86" s="24"/>
      <c r="D86" s="24"/>
      <c r="E86" s="24"/>
      <c r="F86" s="24"/>
      <c r="G86" s="24"/>
      <c r="H86" s="24"/>
      <c r="I86" s="37"/>
      <c r="J86" s="24"/>
      <c r="K86" s="24"/>
      <c r="L86" s="24"/>
      <c r="M86" s="24"/>
      <c r="N86" s="24"/>
      <c r="O86" s="24"/>
      <c r="P86" s="24"/>
      <c r="Q86" s="11"/>
      <c r="R86" s="24"/>
      <c r="S86" s="24"/>
      <c r="T86" s="24"/>
      <c r="U86" s="24"/>
      <c r="V86" s="24"/>
      <c r="W86" s="24"/>
      <c r="X86" s="24"/>
      <c r="Y86" s="24"/>
      <c r="Z86" s="24"/>
      <c r="AA86" s="29"/>
      <c r="AB86" s="24"/>
      <c r="AC86" s="5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</row>
    <row r="87" spans="1:59" ht="17.5" x14ac:dyDescent="0.35">
      <c r="A87" s="24"/>
      <c r="B87" s="24"/>
      <c r="C87" s="24"/>
      <c r="D87" s="24"/>
      <c r="E87" s="24"/>
      <c r="F87" s="24"/>
      <c r="G87" s="24"/>
      <c r="H87" s="24"/>
      <c r="I87" s="37"/>
      <c r="J87" s="24"/>
      <c r="K87" s="24"/>
      <c r="L87" s="24"/>
      <c r="M87" s="24"/>
      <c r="N87" s="24"/>
      <c r="O87" s="24"/>
      <c r="P87" s="24"/>
      <c r="Q87" s="11"/>
      <c r="R87" s="24"/>
      <c r="S87" s="24"/>
      <c r="T87" s="24"/>
      <c r="U87" s="24"/>
      <c r="V87" s="24"/>
      <c r="W87" s="24"/>
      <c r="X87" s="24"/>
      <c r="Y87" s="24"/>
      <c r="Z87" s="24"/>
      <c r="AA87" s="29"/>
      <c r="AB87" s="24"/>
      <c r="AC87" s="5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</row>
    <row r="88" spans="1:59" ht="19.5" x14ac:dyDescent="0.35">
      <c r="A88" s="595"/>
      <c r="B88" s="595"/>
      <c r="C88" s="595"/>
      <c r="D88" s="595"/>
      <c r="E88" s="595"/>
      <c r="F88" s="595"/>
      <c r="G88" s="24"/>
      <c r="H88" s="14"/>
      <c r="I88" s="14"/>
      <c r="J88" s="22"/>
      <c r="K88" s="595"/>
      <c r="L88" s="595"/>
      <c r="M88" s="595"/>
      <c r="N88" s="595"/>
      <c r="O88" s="595"/>
      <c r="P88" s="595"/>
      <c r="Q88" s="11"/>
      <c r="R88" s="24"/>
      <c r="S88" s="24"/>
      <c r="T88" s="24"/>
      <c r="U88" s="24"/>
      <c r="V88" s="24"/>
      <c r="W88" s="24"/>
      <c r="X88" s="24"/>
      <c r="Y88" s="24"/>
      <c r="Z88" s="24"/>
      <c r="AA88" s="29"/>
      <c r="AB88" s="24"/>
      <c r="AC88" s="5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</row>
    <row r="89" spans="1:59" ht="19.5" x14ac:dyDescent="0.35">
      <c r="A89" s="22"/>
      <c r="B89" s="30"/>
      <c r="C89" s="30"/>
      <c r="D89" s="22"/>
      <c r="E89" s="25"/>
      <c r="F89" s="11"/>
      <c r="G89" s="24"/>
      <c r="H89" s="24"/>
      <c r="I89" s="37"/>
      <c r="J89" s="24"/>
      <c r="K89" s="22"/>
      <c r="L89" s="30"/>
      <c r="M89" s="30"/>
      <c r="N89" s="22"/>
      <c r="O89" s="25"/>
      <c r="P89" s="11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5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</row>
    <row r="90" spans="1:59" ht="21" customHeight="1" x14ac:dyDescent="0.35">
      <c r="A90" s="11"/>
      <c r="B90" s="11"/>
      <c r="C90" s="11"/>
      <c r="D90" s="11"/>
      <c r="E90" s="11"/>
      <c r="F90" s="11"/>
      <c r="G90" s="24"/>
      <c r="H90" s="24"/>
      <c r="I90" s="37"/>
      <c r="J90" s="24"/>
      <c r="K90" s="594"/>
      <c r="L90" s="594"/>
      <c r="M90" s="594"/>
      <c r="N90" s="594"/>
      <c r="O90" s="594"/>
      <c r="P90" s="59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5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</row>
    <row r="91" spans="1:59" ht="20.5" x14ac:dyDescent="0.4">
      <c r="A91" s="38"/>
      <c r="B91" s="39"/>
      <c r="C91" s="39"/>
      <c r="D91" s="39"/>
      <c r="E91" s="39"/>
      <c r="F91" s="39"/>
      <c r="G91" s="24"/>
      <c r="H91" s="24"/>
      <c r="I91" s="37"/>
      <c r="J91" s="24"/>
      <c r="K91" s="38"/>
      <c r="L91" s="39"/>
      <c r="M91" s="39"/>
      <c r="N91" s="39"/>
      <c r="O91" s="39"/>
      <c r="P91" s="39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5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</row>
    <row r="92" spans="1:59" ht="20.5" x14ac:dyDescent="0.4">
      <c r="A92" s="69"/>
      <c r="B92" s="70"/>
      <c r="C92" s="70"/>
      <c r="D92" s="70"/>
      <c r="E92" s="70"/>
      <c r="F92" s="70"/>
      <c r="G92" s="24"/>
      <c r="H92" s="24"/>
      <c r="I92" s="37"/>
      <c r="J92" s="24"/>
      <c r="K92" s="69"/>
      <c r="L92" s="71"/>
      <c r="M92" s="71"/>
      <c r="N92" s="71"/>
      <c r="O92" s="71"/>
      <c r="P92" s="71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5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</row>
    <row r="93" spans="1:59" ht="19.5" x14ac:dyDescent="0.35">
      <c r="A93" s="48"/>
      <c r="B93" s="72"/>
      <c r="C93" s="72"/>
      <c r="D93" s="72"/>
      <c r="E93" s="72"/>
      <c r="F93" s="72"/>
      <c r="G93" s="24"/>
      <c r="H93" s="24"/>
      <c r="I93" s="37"/>
      <c r="J93" s="24"/>
      <c r="K93" s="48"/>
      <c r="L93" s="72"/>
      <c r="M93" s="72"/>
      <c r="N93" s="72"/>
      <c r="O93" s="72"/>
      <c r="P93" s="72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5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</row>
    <row r="94" spans="1:59" ht="20.5" x14ac:dyDescent="0.4">
      <c r="A94" s="56"/>
      <c r="B94" s="15"/>
      <c r="C94" s="15"/>
      <c r="D94" s="15"/>
      <c r="E94" s="15"/>
      <c r="F94" s="15"/>
      <c r="G94" s="24"/>
      <c r="H94" s="24"/>
      <c r="I94" s="37"/>
      <c r="J94" s="24"/>
      <c r="K94" s="56"/>
      <c r="L94" s="15"/>
      <c r="M94" s="15"/>
      <c r="N94" s="15"/>
      <c r="O94" s="15"/>
      <c r="P94" s="15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5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</row>
    <row r="95" spans="1:59" ht="20.5" x14ac:dyDescent="0.4">
      <c r="A95" s="56"/>
      <c r="B95" s="15"/>
      <c r="C95" s="15"/>
      <c r="D95" s="15"/>
      <c r="E95" s="15"/>
      <c r="F95" s="15"/>
      <c r="G95" s="24"/>
      <c r="H95" s="24"/>
      <c r="I95" s="37"/>
      <c r="J95" s="24"/>
      <c r="K95" s="56"/>
      <c r="L95" s="15"/>
      <c r="M95" s="15"/>
      <c r="N95" s="15"/>
      <c r="O95" s="15"/>
      <c r="P95" s="15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5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</row>
    <row r="96" spans="1:59" ht="20.5" x14ac:dyDescent="0.4">
      <c r="A96" s="56"/>
      <c r="B96" s="15"/>
      <c r="C96" s="15"/>
      <c r="D96" s="15"/>
      <c r="E96" s="15"/>
      <c r="F96" s="15"/>
      <c r="G96" s="24"/>
      <c r="H96" s="24"/>
      <c r="I96" s="37"/>
      <c r="J96" s="24"/>
      <c r="K96" s="56"/>
      <c r="L96" s="15"/>
      <c r="M96" s="15"/>
      <c r="N96" s="15"/>
      <c r="O96" s="15"/>
      <c r="P96" s="15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5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</row>
    <row r="97" spans="1:59" ht="20.5" x14ac:dyDescent="0.4">
      <c r="A97" s="56"/>
      <c r="B97" s="15"/>
      <c r="C97" s="15"/>
      <c r="D97" s="15"/>
      <c r="E97" s="15"/>
      <c r="F97" s="15"/>
      <c r="G97" s="24"/>
      <c r="H97" s="24"/>
      <c r="I97" s="37"/>
      <c r="J97" s="24"/>
      <c r="K97" s="56"/>
      <c r="L97" s="15"/>
      <c r="M97" s="15"/>
      <c r="N97" s="15"/>
      <c r="O97" s="15"/>
      <c r="P97" s="15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5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</row>
    <row r="98" spans="1:59" ht="20.5" x14ac:dyDescent="0.4">
      <c r="A98" s="56"/>
      <c r="B98" s="15"/>
      <c r="C98" s="15"/>
      <c r="D98" s="15"/>
      <c r="E98" s="15"/>
      <c r="F98" s="15"/>
      <c r="G98" s="24"/>
      <c r="H98" s="24"/>
      <c r="I98" s="37"/>
      <c r="J98" s="24"/>
      <c r="K98" s="56"/>
      <c r="L98" s="15"/>
      <c r="M98" s="15"/>
      <c r="N98" s="15"/>
      <c r="O98" s="15"/>
      <c r="P98" s="15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5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</row>
    <row r="99" spans="1:59" ht="20.5" x14ac:dyDescent="0.4">
      <c r="A99" s="56"/>
      <c r="B99" s="15"/>
      <c r="C99" s="15"/>
      <c r="D99" s="15"/>
      <c r="E99" s="15"/>
      <c r="F99" s="15"/>
      <c r="G99" s="24"/>
      <c r="H99" s="24"/>
      <c r="I99" s="37"/>
      <c r="J99" s="24"/>
      <c r="K99" s="56"/>
      <c r="L99" s="15"/>
      <c r="M99" s="15"/>
      <c r="N99" s="15"/>
      <c r="O99" s="15"/>
      <c r="P99" s="15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5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</row>
    <row r="100" spans="1:59" ht="18.75" customHeight="1" x14ac:dyDescent="0.4">
      <c r="A100" s="56"/>
      <c r="B100" s="15"/>
      <c r="C100" s="15"/>
      <c r="D100" s="15"/>
      <c r="E100" s="15"/>
      <c r="F100" s="15"/>
      <c r="G100" s="24"/>
      <c r="H100" s="24"/>
      <c r="I100" s="37"/>
      <c r="J100" s="24"/>
      <c r="K100" s="56"/>
      <c r="L100" s="15"/>
      <c r="M100" s="15"/>
      <c r="N100" s="15"/>
      <c r="O100" s="15"/>
      <c r="P100" s="15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5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</row>
    <row r="101" spans="1:59" ht="20.5" x14ac:dyDescent="0.4">
      <c r="A101" s="56"/>
      <c r="B101" s="15"/>
      <c r="C101" s="15"/>
      <c r="D101" s="15"/>
      <c r="E101" s="15"/>
      <c r="F101" s="15"/>
      <c r="G101" s="24"/>
      <c r="H101" s="24"/>
      <c r="I101" s="37"/>
      <c r="J101" s="24"/>
      <c r="K101" s="56"/>
      <c r="L101" s="15"/>
      <c r="M101" s="15"/>
      <c r="N101" s="15"/>
      <c r="O101" s="15"/>
      <c r="P101" s="15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5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</row>
    <row r="102" spans="1:59" ht="20.5" x14ac:dyDescent="0.4">
      <c r="A102" s="56"/>
      <c r="B102" s="15"/>
      <c r="C102" s="15"/>
      <c r="D102" s="15"/>
      <c r="E102" s="15"/>
      <c r="F102" s="15"/>
      <c r="G102" s="24"/>
      <c r="H102" s="24"/>
      <c r="I102" s="37"/>
      <c r="J102" s="24"/>
      <c r="K102" s="56"/>
      <c r="L102" s="15"/>
      <c r="M102" s="15"/>
      <c r="N102" s="15"/>
      <c r="O102" s="15"/>
      <c r="P102" s="15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5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</row>
    <row r="103" spans="1:59" ht="20.5" x14ac:dyDescent="0.4">
      <c r="A103" s="56"/>
      <c r="B103" s="15"/>
      <c r="C103" s="15"/>
      <c r="D103" s="15"/>
      <c r="E103" s="15"/>
      <c r="F103" s="15"/>
      <c r="G103" s="24"/>
      <c r="H103" s="24"/>
      <c r="I103" s="37"/>
      <c r="J103" s="24"/>
      <c r="K103" s="56"/>
      <c r="L103" s="15"/>
      <c r="M103" s="15"/>
      <c r="N103" s="15"/>
      <c r="O103" s="15"/>
      <c r="P103" s="15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5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</row>
    <row r="104" spans="1:59" ht="20.5" x14ac:dyDescent="0.4">
      <c r="A104" s="56"/>
      <c r="B104" s="15"/>
      <c r="C104" s="15"/>
      <c r="D104" s="15"/>
      <c r="E104" s="15"/>
      <c r="F104" s="15"/>
      <c r="G104" s="24"/>
      <c r="H104" s="24"/>
      <c r="I104" s="37"/>
      <c r="J104" s="24"/>
      <c r="K104" s="56"/>
      <c r="L104" s="15"/>
      <c r="M104" s="15"/>
      <c r="N104" s="15"/>
      <c r="O104" s="15"/>
      <c r="P104" s="15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5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</row>
    <row r="105" spans="1:59" ht="20.5" x14ac:dyDescent="0.4">
      <c r="A105" s="56"/>
      <c r="B105" s="15"/>
      <c r="C105" s="15"/>
      <c r="D105" s="15"/>
      <c r="E105" s="15"/>
      <c r="F105" s="15"/>
      <c r="G105" s="24"/>
      <c r="H105" s="24"/>
      <c r="I105" s="37"/>
      <c r="J105" s="24"/>
      <c r="K105" s="56"/>
      <c r="L105" s="15"/>
      <c r="M105" s="15"/>
      <c r="N105" s="15"/>
      <c r="O105" s="15"/>
      <c r="P105" s="15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5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</row>
    <row r="106" spans="1:59" ht="19.5" x14ac:dyDescent="0.35">
      <c r="A106" s="65"/>
      <c r="B106" s="10"/>
      <c r="C106" s="10"/>
      <c r="D106" s="10"/>
      <c r="E106" s="10"/>
      <c r="F106" s="10"/>
      <c r="G106" s="24"/>
      <c r="H106" s="24"/>
      <c r="I106" s="37"/>
      <c r="J106" s="24"/>
      <c r="K106" s="65"/>
      <c r="L106" s="10"/>
      <c r="M106" s="10"/>
      <c r="N106" s="10"/>
      <c r="O106" s="10"/>
      <c r="P106" s="10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5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</row>
    <row r="107" spans="1:59" ht="12.5" x14ac:dyDescent="0.25">
      <c r="A107" s="24"/>
      <c r="B107" s="24"/>
      <c r="C107" s="24"/>
      <c r="D107" s="24"/>
      <c r="E107" s="24"/>
      <c r="F107" s="24"/>
      <c r="G107" s="24"/>
      <c r="H107" s="24"/>
      <c r="I107" s="37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5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</row>
    <row r="108" spans="1:59" ht="19.5" x14ac:dyDescent="0.35">
      <c r="A108" s="9"/>
      <c r="B108" s="10"/>
      <c r="C108" s="10"/>
      <c r="D108" s="10"/>
      <c r="E108" s="10"/>
      <c r="F108" s="10"/>
      <c r="G108" s="24"/>
      <c r="H108" s="24"/>
      <c r="I108" s="37"/>
      <c r="J108" s="24"/>
      <c r="K108" s="9"/>
      <c r="L108" s="10"/>
      <c r="M108" s="10"/>
      <c r="N108" s="10"/>
      <c r="O108" s="10"/>
      <c r="P108" s="10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5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</row>
    <row r="109" spans="1:59" ht="19.5" x14ac:dyDescent="0.35">
      <c r="A109" s="67"/>
      <c r="B109" s="68"/>
      <c r="C109" s="68"/>
      <c r="D109" s="68"/>
      <c r="E109" s="68"/>
      <c r="F109" s="68"/>
      <c r="G109" s="24"/>
      <c r="H109" s="24"/>
      <c r="I109" s="37"/>
      <c r="J109" s="24"/>
      <c r="K109" s="67"/>
      <c r="L109" s="68"/>
      <c r="M109" s="68"/>
      <c r="N109" s="68"/>
      <c r="O109" s="68"/>
      <c r="P109" s="68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5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</row>
    <row r="110" spans="1:59" ht="12.5" x14ac:dyDescent="0.25">
      <c r="A110" s="24"/>
      <c r="B110" s="24"/>
      <c r="C110" s="24"/>
      <c r="D110" s="24"/>
      <c r="E110" s="24"/>
      <c r="F110" s="24"/>
      <c r="G110" s="24"/>
      <c r="H110" s="24"/>
      <c r="I110" s="37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5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</row>
    <row r="111" spans="1:59" ht="12.5" x14ac:dyDescent="0.25">
      <c r="A111" s="24"/>
      <c r="B111" s="24"/>
      <c r="C111" s="24"/>
      <c r="D111" s="24"/>
      <c r="E111" s="24"/>
      <c r="F111" s="24"/>
      <c r="G111" s="24"/>
      <c r="H111" s="24"/>
      <c r="I111" s="37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5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</row>
    <row r="112" spans="1:59" ht="12.5" x14ac:dyDescent="0.25">
      <c r="A112" s="24"/>
      <c r="B112" s="24"/>
      <c r="C112" s="24"/>
      <c r="D112" s="24"/>
      <c r="E112" s="24"/>
      <c r="F112" s="24"/>
      <c r="G112" s="24"/>
      <c r="H112" s="24"/>
      <c r="I112" s="37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5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</row>
    <row r="113" spans="1:59" ht="12.5" x14ac:dyDescent="0.25">
      <c r="A113" s="24"/>
      <c r="B113" s="24"/>
      <c r="C113" s="24"/>
      <c r="D113" s="24"/>
      <c r="E113" s="24"/>
      <c r="F113" s="24"/>
      <c r="G113" s="24"/>
      <c r="H113" s="24"/>
      <c r="I113" s="37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5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</row>
    <row r="114" spans="1:59" ht="12.5" x14ac:dyDescent="0.25">
      <c r="A114" s="24"/>
      <c r="B114" s="24"/>
      <c r="C114" s="24"/>
      <c r="D114" s="24"/>
      <c r="E114" s="24"/>
      <c r="F114" s="24"/>
      <c r="G114" s="24"/>
      <c r="H114" s="24"/>
      <c r="I114" s="37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5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</row>
    <row r="115" spans="1:59" ht="12.5" x14ac:dyDescent="0.25">
      <c r="A115" s="24"/>
      <c r="B115" s="24"/>
      <c r="C115" s="24"/>
      <c r="D115" s="24"/>
      <c r="E115" s="24"/>
      <c r="F115" s="24"/>
      <c r="G115" s="24"/>
      <c r="H115" s="24"/>
      <c r="I115" s="37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5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</row>
    <row r="116" spans="1:59" ht="12.5" x14ac:dyDescent="0.25">
      <c r="A116" s="24"/>
      <c r="B116" s="24"/>
      <c r="C116" s="24"/>
      <c r="D116" s="24"/>
      <c r="E116" s="24"/>
      <c r="F116" s="24"/>
      <c r="G116" s="24"/>
      <c r="H116" s="24"/>
      <c r="I116" s="37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5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</row>
    <row r="117" spans="1:59" ht="16" x14ac:dyDescent="0.35">
      <c r="A117" s="24"/>
      <c r="B117" s="24"/>
      <c r="C117" s="24"/>
      <c r="D117" s="24"/>
      <c r="E117" s="24"/>
      <c r="F117" s="24"/>
      <c r="G117" s="24"/>
      <c r="H117" s="24"/>
      <c r="I117" s="37"/>
      <c r="J117" s="24"/>
      <c r="K117" s="73"/>
      <c r="L117" s="73"/>
      <c r="M117" s="73"/>
      <c r="N117" s="73"/>
      <c r="O117" s="73"/>
      <c r="P117" s="7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5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</row>
    <row r="118" spans="1:59" ht="15.5" x14ac:dyDescent="0.35">
      <c r="A118" s="18"/>
      <c r="B118" s="18"/>
      <c r="C118" s="18"/>
      <c r="D118" s="18"/>
      <c r="E118" s="18"/>
      <c r="F118" s="18"/>
      <c r="G118" s="18"/>
      <c r="H118" s="18"/>
      <c r="I118" s="75"/>
      <c r="J118" s="18"/>
      <c r="K118" s="76"/>
      <c r="L118" s="76"/>
      <c r="M118" s="76"/>
      <c r="N118" s="76"/>
      <c r="O118" s="76"/>
      <c r="P118" s="76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</row>
    <row r="119" spans="1:59" ht="15.5" x14ac:dyDescent="0.35">
      <c r="A119" s="18"/>
      <c r="B119" s="18"/>
      <c r="C119" s="18"/>
      <c r="D119" s="18"/>
      <c r="E119" s="18"/>
      <c r="F119" s="18"/>
      <c r="G119" s="18"/>
      <c r="H119" s="18"/>
      <c r="I119" s="75"/>
      <c r="J119" s="18"/>
      <c r="K119" s="76"/>
      <c r="L119" s="76"/>
      <c r="M119" s="76"/>
      <c r="N119" s="76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</row>
    <row r="120" spans="1:59" ht="15.5" x14ac:dyDescent="0.35">
      <c r="A120" s="18"/>
      <c r="B120" s="18"/>
      <c r="C120" s="18"/>
      <c r="D120" s="18"/>
      <c r="E120" s="18"/>
      <c r="F120" s="18"/>
      <c r="G120" s="18"/>
      <c r="H120" s="18"/>
      <c r="I120" s="75"/>
      <c r="J120" s="18"/>
      <c r="K120" s="77"/>
      <c r="L120" s="78"/>
      <c r="M120" s="79"/>
      <c r="N120" s="80"/>
      <c r="O120" s="79"/>
      <c r="P120" s="79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</row>
    <row r="121" spans="1:59" ht="15.5" x14ac:dyDescent="0.35">
      <c r="A121" s="18"/>
      <c r="B121" s="18"/>
      <c r="C121" s="18"/>
      <c r="D121" s="18"/>
      <c r="E121" s="18"/>
      <c r="F121" s="18"/>
      <c r="G121" s="18"/>
      <c r="H121" s="18"/>
      <c r="I121" s="75"/>
      <c r="J121" s="18"/>
      <c r="K121" s="77"/>
      <c r="L121" s="78"/>
      <c r="M121" s="79"/>
      <c r="N121" s="80"/>
      <c r="O121" s="79"/>
      <c r="P121" s="79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</row>
    <row r="122" spans="1:59" ht="15.5" x14ac:dyDescent="0.35">
      <c r="A122" s="18"/>
      <c r="B122" s="18"/>
      <c r="C122" s="18"/>
      <c r="D122" s="18"/>
      <c r="E122" s="18"/>
      <c r="F122" s="18"/>
      <c r="G122" s="18"/>
      <c r="H122" s="18"/>
      <c r="I122" s="75"/>
      <c r="J122" s="18"/>
      <c r="K122" s="77"/>
      <c r="L122" s="78"/>
      <c r="M122" s="79"/>
      <c r="N122" s="80"/>
      <c r="O122" s="79"/>
      <c r="P122" s="79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</row>
    <row r="123" spans="1:59" ht="15.5" x14ac:dyDescent="0.35">
      <c r="A123" s="18"/>
      <c r="B123" s="18"/>
      <c r="C123" s="18"/>
      <c r="D123" s="18"/>
      <c r="E123" s="18"/>
      <c r="F123" s="18"/>
      <c r="G123" s="18"/>
      <c r="H123" s="18"/>
      <c r="I123" s="75"/>
      <c r="J123" s="18"/>
      <c r="K123" s="77"/>
      <c r="L123" s="78"/>
      <c r="M123" s="79"/>
      <c r="N123" s="80"/>
      <c r="O123" s="79"/>
      <c r="P123" s="79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</row>
    <row r="124" spans="1:59" ht="15.5" x14ac:dyDescent="0.35">
      <c r="A124" s="18"/>
      <c r="B124" s="18"/>
      <c r="C124" s="18"/>
      <c r="D124" s="18"/>
      <c r="E124" s="18"/>
      <c r="F124" s="18"/>
      <c r="G124" s="18"/>
      <c r="H124" s="18"/>
      <c r="I124" s="75"/>
      <c r="J124" s="18"/>
      <c r="K124" s="77"/>
      <c r="L124" s="78"/>
      <c r="M124" s="79"/>
      <c r="N124" s="80"/>
      <c r="O124" s="79"/>
      <c r="P124" s="79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</row>
    <row r="125" spans="1:59" x14ac:dyDescent="0.3">
      <c r="A125" s="18"/>
      <c r="B125" s="18"/>
      <c r="C125" s="18"/>
      <c r="D125" s="18"/>
      <c r="E125" s="18"/>
      <c r="F125" s="18"/>
      <c r="G125" s="18"/>
      <c r="H125" s="18"/>
      <c r="I125" s="75"/>
      <c r="J125" s="18"/>
      <c r="K125" s="81"/>
      <c r="L125" s="82"/>
      <c r="M125" s="82"/>
      <c r="N125" s="82"/>
      <c r="O125" s="82"/>
      <c r="P125" s="82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</row>
    <row r="126" spans="1:59" x14ac:dyDescent="0.3">
      <c r="A126" s="18"/>
      <c r="B126" s="18"/>
      <c r="C126" s="18"/>
      <c r="D126" s="18"/>
      <c r="E126" s="18"/>
      <c r="F126" s="18"/>
      <c r="G126" s="18"/>
      <c r="H126" s="18"/>
      <c r="I126" s="75"/>
      <c r="J126" s="18"/>
      <c r="K126" s="81"/>
      <c r="L126" s="83"/>
      <c r="M126" s="83"/>
      <c r="N126" s="83"/>
      <c r="O126" s="83"/>
      <c r="P126" s="83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</row>
    <row r="127" spans="1:59" x14ac:dyDescent="0.3">
      <c r="A127" s="18"/>
      <c r="B127" s="18"/>
      <c r="C127" s="18"/>
      <c r="D127" s="18"/>
      <c r="E127" s="18"/>
      <c r="F127" s="18"/>
      <c r="G127" s="18"/>
      <c r="H127" s="18"/>
      <c r="I127" s="75"/>
      <c r="J127" s="18"/>
      <c r="K127" s="81"/>
      <c r="L127" s="84"/>
      <c r="M127" s="81"/>
      <c r="N127" s="81"/>
      <c r="O127" s="81"/>
      <c r="P127" s="81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</row>
    <row r="128" spans="1:59" x14ac:dyDescent="0.3">
      <c r="A128" s="18"/>
      <c r="B128" s="18"/>
      <c r="C128" s="18"/>
      <c r="D128" s="18"/>
      <c r="E128" s="18"/>
      <c r="F128" s="18"/>
      <c r="G128" s="18"/>
      <c r="H128" s="18"/>
      <c r="I128" s="75"/>
      <c r="J128" s="18"/>
      <c r="K128" s="81"/>
      <c r="L128" s="84"/>
      <c r="M128" s="81"/>
      <c r="N128" s="81"/>
      <c r="O128" s="81"/>
      <c r="P128" s="81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</row>
    <row r="129" spans="1:39" x14ac:dyDescent="0.3">
      <c r="A129" s="18"/>
      <c r="B129" s="18"/>
      <c r="C129" s="18"/>
      <c r="D129" s="18"/>
      <c r="E129" s="18"/>
      <c r="F129" s="18"/>
      <c r="G129" s="18"/>
      <c r="H129" s="18"/>
      <c r="I129" s="75"/>
      <c r="J129" s="18"/>
      <c r="K129" s="81"/>
      <c r="L129" s="83"/>
      <c r="M129" s="83"/>
      <c r="N129" s="83"/>
      <c r="O129" s="83"/>
      <c r="P129" s="83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</row>
    <row r="130" spans="1:39" x14ac:dyDescent="0.3">
      <c r="A130" s="18"/>
      <c r="B130" s="18"/>
      <c r="C130" s="18"/>
      <c r="D130" s="18"/>
      <c r="E130" s="18"/>
      <c r="F130" s="18"/>
      <c r="G130" s="18"/>
      <c r="H130" s="18"/>
      <c r="I130" s="75"/>
      <c r="J130" s="18"/>
      <c r="K130" s="18"/>
      <c r="L130" s="85"/>
      <c r="M130" s="85"/>
      <c r="N130" s="85"/>
      <c r="O130" s="85"/>
      <c r="P130" s="85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</row>
    <row r="131" spans="1:39" x14ac:dyDescent="0.3">
      <c r="A131" s="18"/>
      <c r="B131" s="18"/>
      <c r="C131" s="18"/>
      <c r="D131" s="18"/>
      <c r="E131" s="18"/>
      <c r="F131" s="18"/>
      <c r="G131" s="18"/>
      <c r="H131" s="18"/>
      <c r="I131" s="75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</row>
    <row r="132" spans="1:39" x14ac:dyDescent="0.3">
      <c r="A132" s="18"/>
      <c r="B132" s="18"/>
      <c r="C132" s="18"/>
      <c r="D132" s="18"/>
      <c r="E132" s="18"/>
      <c r="F132" s="18"/>
      <c r="G132" s="18"/>
      <c r="H132" s="18"/>
      <c r="I132" s="75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</row>
    <row r="133" spans="1:39" x14ac:dyDescent="0.3">
      <c r="A133" s="18"/>
      <c r="B133" s="18"/>
      <c r="C133" s="18"/>
      <c r="D133" s="18"/>
      <c r="E133" s="18"/>
      <c r="F133" s="18"/>
      <c r="G133" s="18"/>
      <c r="H133" s="18"/>
      <c r="I133" s="75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</row>
    <row r="134" spans="1:39" x14ac:dyDescent="0.3">
      <c r="A134" s="18"/>
      <c r="B134" s="18"/>
      <c r="C134" s="18"/>
      <c r="D134" s="18"/>
      <c r="E134" s="18"/>
      <c r="F134" s="18"/>
      <c r="G134" s="18"/>
      <c r="H134" s="18"/>
      <c r="I134" s="75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</row>
    <row r="135" spans="1:39" x14ac:dyDescent="0.3">
      <c r="A135" s="18"/>
      <c r="B135" s="18"/>
      <c r="C135" s="18"/>
      <c r="D135" s="18"/>
      <c r="E135" s="18"/>
      <c r="F135" s="18"/>
      <c r="G135" s="18"/>
      <c r="H135" s="18"/>
      <c r="I135" s="75"/>
      <c r="J135" s="18"/>
      <c r="K135" s="81"/>
      <c r="L135" s="84"/>
      <c r="M135" s="81"/>
      <c r="N135" s="81"/>
      <c r="O135" s="81"/>
      <c r="P135" s="81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</row>
    <row r="136" spans="1:39" x14ac:dyDescent="0.3">
      <c r="A136" s="18"/>
      <c r="B136" s="18"/>
      <c r="C136" s="18"/>
      <c r="D136" s="18"/>
      <c r="E136" s="18"/>
      <c r="F136" s="18"/>
      <c r="G136" s="18"/>
      <c r="H136" s="18"/>
      <c r="I136" s="75"/>
      <c r="J136" s="18"/>
      <c r="K136" s="81"/>
      <c r="L136" s="84"/>
      <c r="M136" s="81"/>
      <c r="N136" s="81"/>
      <c r="O136" s="81"/>
      <c r="P136" s="81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</row>
    <row r="137" spans="1:39" x14ac:dyDescent="0.3">
      <c r="A137" s="18"/>
      <c r="B137" s="18"/>
      <c r="C137" s="18"/>
      <c r="D137" s="18"/>
      <c r="E137" s="18"/>
      <c r="F137" s="18"/>
      <c r="G137" s="18"/>
      <c r="H137" s="18"/>
      <c r="I137" s="75"/>
      <c r="J137" s="18"/>
      <c r="K137" s="81"/>
      <c r="L137" s="84"/>
      <c r="M137" s="81"/>
      <c r="N137" s="81"/>
      <c r="O137" s="81"/>
      <c r="P137" s="81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</row>
    <row r="138" spans="1:39" x14ac:dyDescent="0.3">
      <c r="A138" s="18"/>
      <c r="B138" s="18"/>
      <c r="C138" s="18"/>
      <c r="D138" s="18"/>
      <c r="E138" s="18"/>
      <c r="F138" s="18"/>
      <c r="G138" s="18"/>
      <c r="H138" s="18"/>
      <c r="I138" s="75"/>
      <c r="J138" s="18"/>
      <c r="K138" s="81"/>
      <c r="L138" s="84"/>
      <c r="M138" s="81"/>
      <c r="N138" s="81"/>
      <c r="O138" s="81"/>
      <c r="P138" s="81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</row>
    <row r="139" spans="1:39" x14ac:dyDescent="0.3">
      <c r="A139" s="18"/>
      <c r="B139" s="18"/>
      <c r="C139" s="18"/>
      <c r="D139" s="18"/>
      <c r="E139" s="18"/>
      <c r="F139" s="18"/>
      <c r="G139" s="18"/>
      <c r="H139" s="18"/>
      <c r="I139" s="75"/>
      <c r="J139" s="18"/>
      <c r="K139" s="81"/>
      <c r="L139" s="84"/>
      <c r="M139" s="81"/>
      <c r="N139" s="81"/>
      <c r="O139" s="81"/>
      <c r="P139" s="81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</row>
    <row r="140" spans="1:39" x14ac:dyDescent="0.3">
      <c r="A140" s="18"/>
      <c r="B140" s="18"/>
      <c r="C140" s="18"/>
      <c r="D140" s="18"/>
      <c r="E140" s="18"/>
      <c r="F140" s="18"/>
      <c r="G140" s="18"/>
      <c r="H140" s="18"/>
      <c r="I140" s="75"/>
      <c r="J140" s="18"/>
      <c r="K140" s="81"/>
      <c r="L140" s="84"/>
      <c r="M140" s="81"/>
      <c r="N140" s="81"/>
      <c r="O140" s="81"/>
      <c r="P140" s="81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</row>
    <row r="141" spans="1:39" x14ac:dyDescent="0.3">
      <c r="A141" s="18"/>
      <c r="B141" s="18"/>
      <c r="C141" s="18"/>
      <c r="D141" s="18"/>
      <c r="E141" s="18"/>
      <c r="F141" s="18"/>
      <c r="G141" s="18"/>
      <c r="H141" s="18"/>
      <c r="I141" s="75"/>
      <c r="J141" s="18"/>
      <c r="K141" s="81"/>
      <c r="L141" s="84"/>
      <c r="M141" s="81"/>
      <c r="N141" s="81"/>
      <c r="O141" s="81"/>
      <c r="P141" s="81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</row>
    <row r="142" spans="1:39" x14ac:dyDescent="0.3">
      <c r="A142" s="18"/>
      <c r="B142" s="18"/>
      <c r="C142" s="18"/>
      <c r="D142" s="18"/>
      <c r="E142" s="18"/>
      <c r="F142" s="18"/>
      <c r="G142" s="18"/>
      <c r="H142" s="18"/>
      <c r="I142" s="75"/>
      <c r="J142" s="18"/>
      <c r="K142" s="81"/>
      <c r="L142" s="84"/>
      <c r="M142" s="81"/>
      <c r="N142" s="81"/>
      <c r="O142" s="81"/>
      <c r="P142" s="81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</row>
    <row r="143" spans="1:39" x14ac:dyDescent="0.3">
      <c r="A143" s="18"/>
      <c r="B143" s="18"/>
      <c r="C143" s="18"/>
      <c r="D143" s="18"/>
      <c r="E143" s="18"/>
      <c r="F143" s="18"/>
      <c r="G143" s="18"/>
      <c r="H143" s="18"/>
      <c r="I143" s="75"/>
      <c r="J143" s="18"/>
      <c r="K143" s="81"/>
      <c r="L143" s="84"/>
      <c r="M143" s="81"/>
      <c r="N143" s="81"/>
      <c r="O143" s="81"/>
      <c r="P143" s="81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</row>
    <row r="144" spans="1:39" ht="15.5" x14ac:dyDescent="0.35">
      <c r="A144" s="18"/>
      <c r="B144" s="18"/>
      <c r="C144" s="18"/>
      <c r="D144" s="18"/>
      <c r="E144" s="18"/>
      <c r="F144" s="18"/>
      <c r="G144" s="18"/>
      <c r="H144" s="18"/>
      <c r="I144" s="75"/>
      <c r="J144" s="18"/>
      <c r="K144" s="86"/>
      <c r="L144" s="86"/>
      <c r="M144" s="87"/>
      <c r="N144" s="87"/>
      <c r="O144" s="87"/>
      <c r="P144" s="87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</row>
    <row r="145" spans="1:39" ht="15.5" x14ac:dyDescent="0.35">
      <c r="A145" s="18"/>
      <c r="B145" s="18"/>
      <c r="C145" s="18"/>
      <c r="D145" s="18"/>
      <c r="E145" s="18"/>
      <c r="F145" s="18"/>
      <c r="G145" s="18"/>
      <c r="H145" s="18"/>
      <c r="I145" s="75"/>
      <c r="J145" s="18"/>
      <c r="K145" s="86"/>
      <c r="L145" s="86"/>
      <c r="M145" s="87"/>
      <c r="N145" s="87"/>
      <c r="O145" s="87"/>
      <c r="P145" s="87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</row>
    <row r="146" spans="1:39" x14ac:dyDescent="0.3">
      <c r="A146" s="18"/>
      <c r="B146" s="18"/>
      <c r="C146" s="18"/>
      <c r="D146" s="18"/>
      <c r="E146" s="18"/>
      <c r="F146" s="18"/>
      <c r="G146" s="18"/>
      <c r="H146" s="18"/>
      <c r="I146" s="75"/>
      <c r="J146" s="18"/>
      <c r="K146" s="18"/>
      <c r="L146" s="85"/>
      <c r="M146" s="85"/>
      <c r="N146" s="85"/>
      <c r="O146" s="85"/>
      <c r="P146" s="85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</row>
    <row r="147" spans="1:39" x14ac:dyDescent="0.3">
      <c r="A147" s="18"/>
      <c r="B147" s="18"/>
      <c r="C147" s="18"/>
      <c r="D147" s="18"/>
      <c r="E147" s="18"/>
      <c r="F147" s="18"/>
      <c r="G147" s="18"/>
      <c r="H147" s="18"/>
      <c r="I147" s="75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</row>
    <row r="148" spans="1:39" x14ac:dyDescent="0.3">
      <c r="A148" s="18"/>
      <c r="B148" s="18"/>
      <c r="C148" s="18"/>
      <c r="D148" s="18"/>
      <c r="E148" s="18"/>
      <c r="F148" s="18"/>
      <c r="G148" s="18"/>
      <c r="H148" s="18"/>
      <c r="I148" s="75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</row>
    <row r="149" spans="1:39" ht="15.5" x14ac:dyDescent="0.35">
      <c r="A149" s="18"/>
      <c r="B149" s="18"/>
      <c r="C149" s="18"/>
      <c r="D149" s="18"/>
      <c r="E149" s="18"/>
      <c r="F149" s="18"/>
      <c r="G149" s="18"/>
      <c r="H149" s="18"/>
      <c r="I149" s="75"/>
      <c r="J149" s="18"/>
      <c r="K149" s="88"/>
      <c r="L149" s="88"/>
      <c r="M149" s="89"/>
      <c r="N149" s="89"/>
      <c r="O149" s="89"/>
      <c r="P149" s="89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</row>
    <row r="150" spans="1:39" ht="15.5" x14ac:dyDescent="0.35">
      <c r="A150" s="18"/>
      <c r="B150" s="18"/>
      <c r="C150" s="18"/>
      <c r="D150" s="18"/>
      <c r="E150" s="18"/>
      <c r="F150" s="18"/>
      <c r="G150" s="18"/>
      <c r="H150" s="18"/>
      <c r="I150" s="75"/>
      <c r="J150" s="18"/>
      <c r="K150" s="88"/>
      <c r="L150" s="88"/>
      <c r="M150" s="89"/>
      <c r="N150" s="89"/>
      <c r="O150" s="89"/>
      <c r="P150" s="89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</row>
    <row r="151" spans="1:39" ht="15.5" x14ac:dyDescent="0.35">
      <c r="A151" s="18"/>
      <c r="B151" s="18"/>
      <c r="C151" s="18"/>
      <c r="D151" s="18"/>
      <c r="E151" s="18"/>
      <c r="F151" s="18"/>
      <c r="G151" s="18"/>
      <c r="H151" s="18"/>
      <c r="I151" s="75"/>
      <c r="J151" s="18"/>
      <c r="K151" s="88"/>
      <c r="L151" s="88"/>
      <c r="M151" s="89"/>
      <c r="N151" s="89"/>
      <c r="O151" s="89"/>
      <c r="P151" s="89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</row>
    <row r="152" spans="1:39" ht="15.5" x14ac:dyDescent="0.35">
      <c r="A152" s="18"/>
      <c r="B152" s="18"/>
      <c r="C152" s="18"/>
      <c r="D152" s="18"/>
      <c r="E152" s="18"/>
      <c r="F152" s="18"/>
      <c r="G152" s="18"/>
      <c r="H152" s="18"/>
      <c r="I152" s="75"/>
      <c r="J152" s="18"/>
      <c r="K152" s="88"/>
      <c r="L152" s="88"/>
      <c r="M152" s="89"/>
      <c r="N152" s="89"/>
      <c r="O152" s="89"/>
      <c r="P152" s="89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</row>
    <row r="153" spans="1:39" ht="15.5" x14ac:dyDescent="0.35">
      <c r="A153" s="18"/>
      <c r="B153" s="18"/>
      <c r="C153" s="18"/>
      <c r="D153" s="18"/>
      <c r="E153" s="18"/>
      <c r="F153" s="18"/>
      <c r="G153" s="18"/>
      <c r="H153" s="18"/>
      <c r="I153" s="75"/>
      <c r="J153" s="18"/>
      <c r="K153" s="88"/>
      <c r="L153" s="88"/>
      <c r="M153" s="89"/>
      <c r="N153" s="89"/>
      <c r="O153" s="89"/>
      <c r="P153" s="89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</row>
    <row r="154" spans="1:39" ht="15.5" x14ac:dyDescent="0.35">
      <c r="A154" s="18"/>
      <c r="B154" s="18"/>
      <c r="C154" s="18"/>
      <c r="D154" s="18"/>
      <c r="E154" s="18"/>
      <c r="F154" s="18"/>
      <c r="G154" s="18"/>
      <c r="H154" s="18"/>
      <c r="I154" s="75"/>
      <c r="J154" s="18"/>
      <c r="K154" s="88"/>
      <c r="L154" s="88"/>
      <c r="M154" s="89"/>
      <c r="N154" s="89"/>
      <c r="O154" s="89"/>
      <c r="P154" s="89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</row>
    <row r="155" spans="1:39" ht="15.5" x14ac:dyDescent="0.35">
      <c r="A155" s="18"/>
      <c r="B155" s="18"/>
      <c r="C155" s="18"/>
      <c r="D155" s="18"/>
      <c r="E155" s="18"/>
      <c r="F155" s="18"/>
      <c r="G155" s="18"/>
      <c r="H155" s="18"/>
      <c r="I155" s="75"/>
      <c r="J155" s="18"/>
      <c r="K155" s="88"/>
      <c r="L155" s="88"/>
      <c r="M155" s="89"/>
      <c r="N155" s="89"/>
      <c r="O155" s="89"/>
      <c r="P155" s="89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</row>
    <row r="156" spans="1:39" ht="15.5" x14ac:dyDescent="0.35">
      <c r="A156" s="18"/>
      <c r="B156" s="18"/>
      <c r="C156" s="18"/>
      <c r="D156" s="18"/>
      <c r="E156" s="18"/>
      <c r="F156" s="18"/>
      <c r="G156" s="18"/>
      <c r="H156" s="18"/>
      <c r="I156" s="75"/>
      <c r="J156" s="18"/>
      <c r="K156" s="88"/>
      <c r="L156" s="88"/>
      <c r="M156" s="89"/>
      <c r="N156" s="89"/>
      <c r="O156" s="89"/>
      <c r="P156" s="89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</row>
    <row r="157" spans="1:39" ht="15.5" x14ac:dyDescent="0.35">
      <c r="A157" s="18"/>
      <c r="B157" s="18"/>
      <c r="C157" s="18"/>
      <c r="D157" s="18"/>
      <c r="E157" s="18"/>
      <c r="F157" s="18"/>
      <c r="G157" s="18"/>
      <c r="H157" s="18"/>
      <c r="I157" s="75"/>
      <c r="J157" s="18"/>
      <c r="K157" s="88"/>
      <c r="L157" s="88"/>
      <c r="M157" s="89"/>
      <c r="N157" s="89"/>
      <c r="O157" s="89"/>
      <c r="P157" s="89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</row>
    <row r="158" spans="1:39" x14ac:dyDescent="0.3">
      <c r="A158" s="18"/>
      <c r="B158" s="18"/>
      <c r="C158" s="18"/>
      <c r="D158" s="18"/>
      <c r="E158" s="18"/>
      <c r="F158" s="18"/>
      <c r="G158" s="18"/>
      <c r="H158" s="18"/>
      <c r="I158" s="75"/>
      <c r="J158" s="18"/>
      <c r="K158" s="18"/>
      <c r="L158" s="85"/>
      <c r="M158" s="85"/>
      <c r="N158" s="85"/>
      <c r="O158" s="85"/>
      <c r="P158" s="85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</row>
    <row r="159" spans="1:39" x14ac:dyDescent="0.3">
      <c r="A159" s="18"/>
      <c r="B159" s="18"/>
      <c r="C159" s="18"/>
      <c r="D159" s="18"/>
      <c r="E159" s="18"/>
      <c r="F159" s="18"/>
      <c r="G159" s="18"/>
      <c r="H159" s="18"/>
      <c r="I159" s="75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</row>
    <row r="160" spans="1:39" x14ac:dyDescent="0.3">
      <c r="A160" s="18"/>
      <c r="B160" s="18"/>
      <c r="C160" s="18"/>
      <c r="D160" s="18"/>
      <c r="E160" s="18"/>
      <c r="F160" s="18"/>
      <c r="G160" s="18"/>
      <c r="H160" s="18"/>
      <c r="I160" s="75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</row>
    <row r="161" spans="1:39" x14ac:dyDescent="0.3">
      <c r="A161" s="18"/>
      <c r="B161" s="18"/>
      <c r="C161" s="18"/>
      <c r="D161" s="18"/>
      <c r="E161" s="18"/>
      <c r="F161" s="18"/>
      <c r="G161" s="18"/>
      <c r="H161" s="18"/>
      <c r="I161" s="75"/>
      <c r="J161" s="18"/>
      <c r="K161" s="90"/>
      <c r="L161" s="90"/>
      <c r="M161" s="90"/>
      <c r="N161" s="90"/>
      <c r="O161" s="90"/>
      <c r="P161" s="90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</row>
    <row r="162" spans="1:39" x14ac:dyDescent="0.3">
      <c r="A162" s="18"/>
      <c r="B162" s="18"/>
      <c r="C162" s="18"/>
      <c r="D162" s="18"/>
      <c r="E162" s="18"/>
      <c r="F162" s="18"/>
      <c r="G162" s="18"/>
      <c r="H162" s="18"/>
      <c r="I162" s="75"/>
      <c r="J162" s="18"/>
      <c r="K162" s="90"/>
      <c r="L162" s="90"/>
      <c r="M162" s="90"/>
      <c r="N162" s="90"/>
      <c r="O162" s="81"/>
      <c r="P162" s="81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</row>
    <row r="163" spans="1:39" x14ac:dyDescent="0.3">
      <c r="A163" s="18"/>
      <c r="B163" s="18"/>
      <c r="C163" s="18"/>
      <c r="D163" s="18"/>
      <c r="E163" s="18"/>
      <c r="F163" s="18"/>
      <c r="G163" s="18"/>
      <c r="H163" s="18"/>
      <c r="I163" s="75"/>
      <c r="J163" s="18"/>
      <c r="K163" s="81"/>
      <c r="L163" s="82"/>
      <c r="M163" s="81"/>
      <c r="N163" s="81"/>
      <c r="O163" s="81"/>
      <c r="P163" s="81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</row>
    <row r="164" spans="1:39" x14ac:dyDescent="0.3">
      <c r="A164" s="18"/>
      <c r="B164" s="18"/>
      <c r="C164" s="18"/>
      <c r="D164" s="18"/>
      <c r="E164" s="18"/>
      <c r="F164" s="18"/>
      <c r="G164" s="18"/>
      <c r="H164" s="18"/>
      <c r="I164" s="75"/>
      <c r="J164" s="18"/>
      <c r="K164" s="81"/>
      <c r="L164" s="82"/>
      <c r="M164" s="81"/>
      <c r="N164" s="81"/>
      <c r="O164" s="81"/>
      <c r="P164" s="81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</row>
    <row r="165" spans="1:39" x14ac:dyDescent="0.3">
      <c r="A165" s="18"/>
      <c r="B165" s="18"/>
      <c r="C165" s="18"/>
      <c r="D165" s="18"/>
      <c r="E165" s="18"/>
      <c r="F165" s="18"/>
      <c r="G165" s="18"/>
      <c r="H165" s="18"/>
      <c r="I165" s="75"/>
      <c r="J165" s="18"/>
      <c r="K165" s="81"/>
      <c r="L165" s="82"/>
      <c r="M165" s="81"/>
      <c r="N165" s="81"/>
      <c r="O165" s="81"/>
      <c r="P165" s="81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</row>
    <row r="166" spans="1:39" x14ac:dyDescent="0.3">
      <c r="A166" s="18"/>
      <c r="B166" s="18"/>
      <c r="C166" s="18"/>
      <c r="D166" s="18"/>
      <c r="E166" s="18"/>
      <c r="F166" s="18"/>
      <c r="G166" s="18"/>
      <c r="H166" s="18"/>
      <c r="I166" s="75"/>
      <c r="J166" s="18"/>
      <c r="K166" s="81"/>
      <c r="L166" s="82"/>
      <c r="M166" s="81"/>
      <c r="N166" s="81"/>
      <c r="O166" s="81"/>
      <c r="P166" s="81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</row>
    <row r="167" spans="1:39" x14ac:dyDescent="0.3">
      <c r="A167" s="18"/>
      <c r="B167" s="18"/>
      <c r="C167" s="18"/>
      <c r="D167" s="18"/>
      <c r="E167" s="18"/>
      <c r="F167" s="18"/>
      <c r="G167" s="18"/>
      <c r="H167" s="18"/>
      <c r="I167" s="75"/>
      <c r="J167" s="18"/>
      <c r="K167" s="81"/>
      <c r="L167" s="82"/>
      <c r="M167" s="81"/>
      <c r="N167" s="81"/>
      <c r="O167" s="81"/>
      <c r="P167" s="81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</row>
    <row r="168" spans="1:39" x14ac:dyDescent="0.3">
      <c r="A168" s="18"/>
      <c r="B168" s="18"/>
      <c r="C168" s="18"/>
      <c r="D168" s="18"/>
      <c r="E168" s="18"/>
      <c r="F168" s="18"/>
      <c r="G168" s="18"/>
      <c r="H168" s="18"/>
      <c r="I168" s="75"/>
      <c r="J168" s="18"/>
      <c r="K168" s="81"/>
      <c r="L168" s="82"/>
      <c r="M168" s="81"/>
      <c r="N168" s="81"/>
      <c r="O168" s="81"/>
      <c r="P168" s="81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</row>
    <row r="169" spans="1:39" x14ac:dyDescent="0.3">
      <c r="A169" s="18"/>
      <c r="B169" s="18"/>
      <c r="C169" s="18"/>
      <c r="D169" s="18"/>
      <c r="E169" s="18"/>
      <c r="F169" s="18"/>
      <c r="G169" s="18"/>
      <c r="H169" s="18"/>
      <c r="I169" s="75"/>
      <c r="J169" s="18"/>
      <c r="K169" s="81"/>
      <c r="L169" s="82"/>
      <c r="M169" s="81"/>
      <c r="N169" s="81"/>
      <c r="O169" s="81"/>
      <c r="P169" s="81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</row>
    <row r="170" spans="1:39" x14ac:dyDescent="0.3">
      <c r="A170" s="18"/>
      <c r="B170" s="18"/>
      <c r="C170" s="18"/>
      <c r="D170" s="18"/>
      <c r="E170" s="18"/>
      <c r="F170" s="18"/>
      <c r="G170" s="18"/>
      <c r="H170" s="18"/>
      <c r="I170" s="75"/>
      <c r="J170" s="18"/>
      <c r="K170" s="81"/>
      <c r="L170" s="82"/>
      <c r="M170" s="81"/>
      <c r="N170" s="81"/>
      <c r="O170" s="81"/>
      <c r="P170" s="81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</row>
    <row r="171" spans="1:39" x14ac:dyDescent="0.3">
      <c r="A171" s="18"/>
      <c r="B171" s="18"/>
      <c r="C171" s="18"/>
      <c r="D171" s="18"/>
      <c r="E171" s="18"/>
      <c r="F171" s="18"/>
      <c r="G171" s="18"/>
      <c r="H171" s="18"/>
      <c r="I171" s="75"/>
      <c r="J171" s="18"/>
      <c r="K171" s="18"/>
      <c r="L171" s="91"/>
      <c r="M171" s="91"/>
      <c r="N171" s="91"/>
      <c r="O171" s="91"/>
      <c r="P171" s="91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</row>
    <row r="172" spans="1:39" x14ac:dyDescent="0.3">
      <c r="A172" s="18"/>
      <c r="B172" s="18"/>
      <c r="C172" s="18"/>
      <c r="D172" s="18"/>
      <c r="E172" s="18"/>
      <c r="F172" s="18"/>
      <c r="G172" s="18"/>
      <c r="H172" s="18"/>
      <c r="I172" s="75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</row>
    <row r="173" spans="1:39" x14ac:dyDescent="0.3">
      <c r="A173" s="18"/>
      <c r="B173" s="18"/>
      <c r="C173" s="18"/>
      <c r="D173" s="18"/>
      <c r="E173" s="18"/>
      <c r="F173" s="18"/>
      <c r="G173" s="18"/>
      <c r="H173" s="18"/>
      <c r="I173" s="75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</row>
    <row r="174" spans="1:39" x14ac:dyDescent="0.3">
      <c r="A174" s="18"/>
      <c r="B174" s="18"/>
      <c r="C174" s="18"/>
      <c r="D174" s="18"/>
      <c r="E174" s="18"/>
      <c r="F174" s="18"/>
      <c r="G174" s="18"/>
      <c r="H174" s="18"/>
      <c r="I174" s="75"/>
      <c r="J174" s="81"/>
      <c r="K174" s="82"/>
      <c r="L174" s="81"/>
      <c r="M174" s="81"/>
      <c r="N174" s="81"/>
      <c r="O174" s="81"/>
      <c r="P174" s="81"/>
      <c r="Q174" s="82"/>
      <c r="R174" s="81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</row>
    <row r="175" spans="1:39" x14ac:dyDescent="0.3">
      <c r="A175" s="18"/>
      <c r="B175" s="18"/>
      <c r="C175" s="18"/>
      <c r="D175" s="18"/>
      <c r="E175" s="18"/>
      <c r="F175" s="18"/>
      <c r="G175" s="18"/>
      <c r="H175" s="18"/>
      <c r="I175" s="75"/>
      <c r="J175" s="90"/>
      <c r="K175" s="81"/>
      <c r="L175" s="82"/>
      <c r="M175" s="81"/>
      <c r="N175" s="81"/>
      <c r="O175" s="81"/>
      <c r="P175" s="81"/>
      <c r="Q175" s="81"/>
      <c r="R175" s="82"/>
      <c r="S175" s="81"/>
      <c r="T175" s="18"/>
      <c r="U175" s="18"/>
      <c r="V175" s="18"/>
      <c r="W175" s="18"/>
      <c r="X175" s="18"/>
      <c r="Y175" s="18"/>
      <c r="Z175" s="18"/>
      <c r="AA175" s="18"/>
      <c r="AB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</row>
    <row r="176" spans="1:39" x14ac:dyDescent="0.3">
      <c r="A176" s="18"/>
      <c r="B176" s="18"/>
      <c r="C176" s="18"/>
      <c r="D176" s="18"/>
      <c r="E176" s="18"/>
      <c r="F176" s="18"/>
      <c r="G176" s="18"/>
      <c r="H176" s="18"/>
      <c r="I176" s="75"/>
      <c r="J176" s="81"/>
      <c r="K176" s="81"/>
      <c r="L176" s="82"/>
      <c r="M176" s="81"/>
      <c r="N176" s="81"/>
      <c r="O176" s="81"/>
      <c r="P176" s="81"/>
      <c r="Q176" s="81"/>
      <c r="R176" s="82"/>
      <c r="S176" s="81"/>
      <c r="T176" s="18"/>
      <c r="U176" s="18"/>
      <c r="V176" s="18"/>
      <c r="W176" s="18"/>
      <c r="X176" s="18"/>
      <c r="Y176" s="18"/>
      <c r="Z176" s="18"/>
      <c r="AA176" s="18"/>
      <c r="AB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</row>
    <row r="177" spans="1:39" x14ac:dyDescent="0.3">
      <c r="A177" s="18"/>
      <c r="B177" s="18"/>
      <c r="C177" s="18"/>
      <c r="D177" s="18"/>
      <c r="E177" s="18"/>
      <c r="F177" s="18"/>
      <c r="G177" s="18"/>
      <c r="H177" s="18"/>
      <c r="I177" s="75"/>
      <c r="J177" s="81"/>
      <c r="K177" s="81"/>
      <c r="L177" s="82"/>
      <c r="M177" s="81"/>
      <c r="N177" s="81"/>
      <c r="O177" s="81"/>
      <c r="P177" s="81"/>
      <c r="Q177" s="81"/>
      <c r="R177" s="82"/>
      <c r="S177" s="81"/>
      <c r="T177" s="18"/>
      <c r="U177" s="18"/>
      <c r="V177" s="18"/>
      <c r="W177" s="18"/>
      <c r="X177" s="18"/>
      <c r="Y177" s="18"/>
      <c r="Z177" s="18"/>
      <c r="AA177" s="18"/>
      <c r="AB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</row>
    <row r="178" spans="1:39" x14ac:dyDescent="0.3">
      <c r="A178" s="18"/>
      <c r="B178" s="18"/>
      <c r="C178" s="18"/>
      <c r="D178" s="18"/>
      <c r="E178" s="18"/>
      <c r="F178" s="18"/>
      <c r="G178" s="18"/>
      <c r="H178" s="18"/>
      <c r="I178" s="75"/>
      <c r="J178" s="81"/>
      <c r="K178" s="81"/>
      <c r="L178" s="82"/>
      <c r="M178" s="81"/>
      <c r="N178" s="81"/>
      <c r="O178" s="81"/>
      <c r="P178" s="81"/>
      <c r="Q178" s="81"/>
      <c r="R178" s="82"/>
      <c r="S178" s="81"/>
      <c r="T178" s="18"/>
      <c r="U178" s="18"/>
      <c r="V178" s="18"/>
      <c r="W178" s="18"/>
      <c r="X178" s="18"/>
      <c r="Y178" s="18"/>
      <c r="Z178" s="18"/>
      <c r="AA178" s="18"/>
      <c r="AB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</row>
    <row r="179" spans="1:39" x14ac:dyDescent="0.3">
      <c r="A179" s="18"/>
      <c r="B179" s="18"/>
      <c r="C179" s="18"/>
      <c r="D179" s="18"/>
      <c r="E179" s="18"/>
      <c r="F179" s="18"/>
      <c r="G179" s="18"/>
      <c r="H179" s="18"/>
      <c r="I179" s="75"/>
      <c r="J179" s="81"/>
      <c r="K179" s="81"/>
      <c r="L179" s="82"/>
      <c r="M179" s="81"/>
      <c r="N179" s="81"/>
      <c r="O179" s="81"/>
      <c r="P179" s="81"/>
      <c r="Q179" s="81"/>
      <c r="R179" s="82"/>
      <c r="S179" s="81"/>
      <c r="T179" s="18"/>
      <c r="U179" s="18"/>
      <c r="V179" s="18"/>
      <c r="W179" s="18"/>
      <c r="X179" s="18"/>
      <c r="Y179" s="18"/>
      <c r="Z179" s="18"/>
      <c r="AA179" s="18"/>
      <c r="AB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</row>
    <row r="180" spans="1:39" x14ac:dyDescent="0.3">
      <c r="A180" s="18"/>
      <c r="B180" s="18"/>
      <c r="C180" s="18"/>
      <c r="D180" s="18"/>
      <c r="E180" s="18"/>
      <c r="F180" s="18"/>
      <c r="G180" s="18"/>
      <c r="H180" s="18"/>
      <c r="I180" s="75"/>
      <c r="J180" s="81"/>
      <c r="K180" s="81"/>
      <c r="L180" s="82"/>
      <c r="M180" s="81"/>
      <c r="N180" s="81"/>
      <c r="O180" s="81"/>
      <c r="P180" s="81"/>
      <c r="Q180" s="81"/>
      <c r="R180" s="82"/>
      <c r="S180" s="81"/>
      <c r="T180" s="18"/>
      <c r="U180" s="18"/>
      <c r="V180" s="18"/>
      <c r="W180" s="18"/>
      <c r="X180" s="18"/>
      <c r="Y180" s="18"/>
      <c r="Z180" s="18"/>
      <c r="AA180" s="18"/>
      <c r="AB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</row>
    <row r="181" spans="1:39" x14ac:dyDescent="0.3">
      <c r="A181" s="18"/>
      <c r="B181" s="18"/>
      <c r="C181" s="18"/>
      <c r="D181" s="18"/>
      <c r="E181" s="18"/>
      <c r="F181" s="18"/>
      <c r="G181" s="18"/>
      <c r="H181" s="18"/>
      <c r="I181" s="75"/>
      <c r="J181" s="81"/>
      <c r="K181" s="81"/>
      <c r="L181" s="82"/>
      <c r="M181" s="81"/>
      <c r="N181" s="81"/>
      <c r="O181" s="81"/>
      <c r="P181" s="81"/>
      <c r="Q181" s="81"/>
      <c r="R181" s="82"/>
      <c r="S181" s="81"/>
      <c r="T181" s="18"/>
      <c r="U181" s="18"/>
      <c r="V181" s="18"/>
      <c r="W181" s="18"/>
      <c r="X181" s="18"/>
      <c r="Y181" s="18"/>
      <c r="Z181" s="18"/>
      <c r="AA181" s="18"/>
      <c r="AB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</row>
    <row r="182" spans="1:39" x14ac:dyDescent="0.3">
      <c r="A182" s="18"/>
      <c r="B182" s="18"/>
      <c r="C182" s="18"/>
      <c r="D182" s="18"/>
      <c r="E182" s="18"/>
      <c r="F182" s="18"/>
      <c r="G182" s="18"/>
      <c r="H182" s="18"/>
      <c r="I182" s="75"/>
      <c r="J182" s="18"/>
      <c r="K182" s="81"/>
      <c r="L182" s="82"/>
      <c r="M182" s="81"/>
      <c r="N182" s="81"/>
      <c r="O182" s="81"/>
      <c r="P182" s="81"/>
      <c r="Q182" s="81"/>
      <c r="R182" s="82"/>
      <c r="S182" s="81"/>
      <c r="T182" s="18"/>
      <c r="U182" s="18"/>
      <c r="V182" s="18"/>
      <c r="W182" s="18"/>
      <c r="X182" s="18"/>
      <c r="Y182" s="18"/>
      <c r="Z182" s="18"/>
      <c r="AA182" s="18"/>
      <c r="AB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</row>
    <row r="183" spans="1:39" x14ac:dyDescent="0.3">
      <c r="A183" s="18"/>
      <c r="B183" s="18"/>
      <c r="C183" s="18"/>
      <c r="D183" s="18"/>
      <c r="E183" s="18"/>
      <c r="F183" s="18"/>
      <c r="G183" s="18"/>
      <c r="H183" s="18"/>
      <c r="I183" s="75"/>
      <c r="J183" s="18"/>
      <c r="K183" s="81"/>
      <c r="L183" s="82"/>
      <c r="M183" s="81"/>
      <c r="N183" s="81"/>
      <c r="O183" s="81"/>
      <c r="P183" s="81"/>
      <c r="Q183" s="81"/>
      <c r="R183" s="82"/>
      <c r="S183" s="81"/>
      <c r="T183" s="18"/>
      <c r="U183" s="18"/>
      <c r="V183" s="18"/>
      <c r="W183" s="18"/>
      <c r="X183" s="18"/>
      <c r="Y183" s="18"/>
      <c r="Z183" s="18"/>
      <c r="AA183" s="18"/>
      <c r="AB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</row>
    <row r="184" spans="1:39" x14ac:dyDescent="0.3">
      <c r="A184" s="18"/>
      <c r="B184" s="18"/>
      <c r="C184" s="18"/>
      <c r="D184" s="18"/>
      <c r="E184" s="18"/>
      <c r="F184" s="18"/>
      <c r="G184" s="18"/>
      <c r="H184" s="18"/>
      <c r="I184" s="75"/>
      <c r="J184" s="18"/>
      <c r="K184" s="81"/>
      <c r="L184" s="82"/>
      <c r="M184" s="81"/>
      <c r="N184" s="81"/>
      <c r="O184" s="81"/>
      <c r="P184" s="81"/>
      <c r="Q184" s="81"/>
      <c r="R184" s="82"/>
      <c r="S184" s="81"/>
      <c r="T184" s="18"/>
      <c r="U184" s="18"/>
      <c r="V184" s="18"/>
      <c r="W184" s="18"/>
      <c r="X184" s="18"/>
      <c r="Y184" s="18"/>
      <c r="Z184" s="18"/>
      <c r="AA184" s="18"/>
      <c r="AB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</row>
    <row r="185" spans="1:39" x14ac:dyDescent="0.3">
      <c r="A185" s="18"/>
      <c r="B185" s="18"/>
      <c r="C185" s="18"/>
      <c r="D185" s="18"/>
      <c r="E185" s="18"/>
      <c r="F185" s="18"/>
      <c r="G185" s="18"/>
      <c r="H185" s="18"/>
      <c r="I185" s="75"/>
      <c r="J185" s="18"/>
      <c r="K185" s="81"/>
      <c r="L185" s="82"/>
      <c r="M185" s="81"/>
      <c r="N185" s="81"/>
      <c r="O185" s="81"/>
      <c r="P185" s="81"/>
      <c r="Q185" s="81"/>
      <c r="R185" s="82"/>
      <c r="S185" s="81"/>
      <c r="T185" s="18"/>
      <c r="U185" s="18"/>
      <c r="V185" s="18"/>
      <c r="W185" s="18"/>
      <c r="X185" s="18"/>
      <c r="Y185" s="18"/>
      <c r="Z185" s="18"/>
      <c r="AA185" s="18"/>
      <c r="AB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</row>
    <row r="186" spans="1:39" x14ac:dyDescent="0.3">
      <c r="A186" s="18"/>
      <c r="B186" s="18"/>
      <c r="C186" s="18"/>
      <c r="D186" s="18"/>
      <c r="E186" s="18"/>
      <c r="F186" s="18"/>
      <c r="G186" s="18"/>
      <c r="H186" s="18"/>
      <c r="I186" s="75"/>
      <c r="J186" s="18"/>
      <c r="K186" s="18"/>
      <c r="L186" s="18"/>
      <c r="M186" s="91"/>
      <c r="N186" s="91"/>
      <c r="O186" s="91"/>
      <c r="P186" s="91"/>
      <c r="Q186" s="91"/>
      <c r="R186" s="91"/>
      <c r="S186" s="91"/>
      <c r="T186" s="18"/>
      <c r="U186" s="18"/>
      <c r="V186" s="18"/>
      <c r="W186" s="18"/>
      <c r="X186" s="18"/>
      <c r="Y186" s="18"/>
      <c r="Z186" s="18"/>
      <c r="AA186" s="18"/>
      <c r="AB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</row>
    <row r="187" spans="1:39" x14ac:dyDescent="0.3">
      <c r="A187" s="18"/>
      <c r="B187" s="18"/>
      <c r="C187" s="18"/>
      <c r="D187" s="18"/>
      <c r="E187" s="18"/>
      <c r="F187" s="18"/>
      <c r="G187" s="18"/>
      <c r="H187" s="18"/>
      <c r="I187" s="75"/>
      <c r="J187" s="18"/>
      <c r="K187" s="90"/>
      <c r="L187" s="90"/>
      <c r="M187" s="90"/>
      <c r="N187" s="90"/>
      <c r="O187" s="90"/>
      <c r="P187" s="90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</row>
    <row r="188" spans="1:39" x14ac:dyDescent="0.3">
      <c r="A188" s="18"/>
      <c r="B188" s="18"/>
      <c r="C188" s="18"/>
      <c r="D188" s="18"/>
      <c r="E188" s="18"/>
      <c r="F188" s="18"/>
      <c r="G188" s="18"/>
      <c r="H188" s="18"/>
      <c r="I188" s="75"/>
      <c r="J188" s="18"/>
      <c r="K188" s="90"/>
      <c r="L188" s="90"/>
      <c r="M188" s="90"/>
      <c r="N188" s="90"/>
      <c r="O188" s="81"/>
      <c r="P188" s="81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</row>
    <row r="189" spans="1:39" x14ac:dyDescent="0.3">
      <c r="A189" s="18"/>
      <c r="B189" s="18"/>
      <c r="C189" s="18"/>
      <c r="D189" s="18"/>
      <c r="E189" s="18"/>
      <c r="F189" s="18"/>
      <c r="G189" s="18"/>
      <c r="H189" s="18"/>
      <c r="I189" s="75"/>
      <c r="J189" s="18"/>
      <c r="K189" s="81"/>
      <c r="L189" s="82"/>
      <c r="M189" s="81"/>
      <c r="N189" s="81"/>
      <c r="O189" s="81"/>
      <c r="P189" s="81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</row>
    <row r="190" spans="1:39" x14ac:dyDescent="0.3">
      <c r="A190" s="18"/>
      <c r="B190" s="18"/>
      <c r="C190" s="18"/>
      <c r="D190" s="18"/>
      <c r="E190" s="18"/>
      <c r="F190" s="18"/>
      <c r="G190" s="18"/>
      <c r="H190" s="18"/>
      <c r="I190" s="75"/>
      <c r="J190" s="18"/>
      <c r="K190" s="81"/>
      <c r="L190" s="82"/>
      <c r="M190" s="81"/>
      <c r="N190" s="81"/>
      <c r="O190" s="81"/>
      <c r="P190" s="81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</row>
    <row r="191" spans="1:39" x14ac:dyDescent="0.3">
      <c r="A191" s="18"/>
      <c r="B191" s="18"/>
      <c r="C191" s="18"/>
      <c r="D191" s="18"/>
      <c r="E191" s="18"/>
      <c r="F191" s="18"/>
      <c r="G191" s="18"/>
      <c r="H191" s="18"/>
      <c r="I191" s="75"/>
      <c r="J191" s="18"/>
      <c r="K191" s="81"/>
      <c r="L191" s="82"/>
      <c r="M191" s="81"/>
      <c r="N191" s="81"/>
      <c r="O191" s="81"/>
      <c r="P191" s="81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</row>
    <row r="192" spans="1:39" x14ac:dyDescent="0.3">
      <c r="A192" s="18"/>
      <c r="B192" s="18"/>
      <c r="C192" s="18"/>
      <c r="D192" s="18"/>
      <c r="E192" s="18"/>
      <c r="F192" s="18"/>
      <c r="G192" s="18"/>
      <c r="H192" s="18"/>
      <c r="I192" s="75"/>
      <c r="J192" s="18"/>
      <c r="K192" s="81"/>
      <c r="L192" s="82"/>
      <c r="M192" s="81"/>
      <c r="N192" s="81"/>
      <c r="O192" s="81"/>
      <c r="P192" s="81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</row>
    <row r="193" spans="1:39" x14ac:dyDescent="0.3">
      <c r="A193" s="18"/>
      <c r="B193" s="18"/>
      <c r="C193" s="18"/>
      <c r="D193" s="18"/>
      <c r="E193" s="18"/>
      <c r="F193" s="18"/>
      <c r="G193" s="18"/>
      <c r="H193" s="18"/>
      <c r="I193" s="75"/>
      <c r="J193" s="18"/>
      <c r="K193" s="81"/>
      <c r="L193" s="82"/>
      <c r="M193" s="81"/>
      <c r="N193" s="81"/>
      <c r="O193" s="81"/>
      <c r="P193" s="81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</row>
    <row r="194" spans="1:39" x14ac:dyDescent="0.3">
      <c r="A194" s="18"/>
      <c r="B194" s="18"/>
      <c r="C194" s="18"/>
      <c r="D194" s="18"/>
      <c r="E194" s="18"/>
      <c r="F194" s="18"/>
      <c r="G194" s="18"/>
      <c r="H194" s="18"/>
      <c r="I194" s="75"/>
      <c r="J194" s="18"/>
      <c r="K194" s="81"/>
      <c r="L194" s="82"/>
      <c r="M194" s="81"/>
      <c r="N194" s="81"/>
      <c r="O194" s="81"/>
      <c r="P194" s="81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</row>
    <row r="195" spans="1:39" x14ac:dyDescent="0.3">
      <c r="A195" s="18"/>
      <c r="B195" s="18"/>
      <c r="C195" s="18"/>
      <c r="D195" s="18"/>
      <c r="E195" s="18"/>
      <c r="F195" s="18"/>
      <c r="G195" s="18"/>
      <c r="H195" s="18"/>
      <c r="I195" s="75"/>
      <c r="J195" s="18"/>
      <c r="K195" s="81"/>
      <c r="L195" s="82"/>
      <c r="M195" s="81"/>
      <c r="N195" s="81"/>
      <c r="O195" s="81"/>
      <c r="P195" s="81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</row>
    <row r="196" spans="1:39" x14ac:dyDescent="0.3">
      <c r="A196" s="18"/>
      <c r="B196" s="18"/>
      <c r="C196" s="18"/>
      <c r="D196" s="18"/>
      <c r="E196" s="18"/>
      <c r="F196" s="18"/>
      <c r="G196" s="18"/>
      <c r="H196" s="18"/>
      <c r="I196" s="75"/>
      <c r="J196" s="18"/>
      <c r="K196" s="81"/>
      <c r="L196" s="82"/>
      <c r="M196" s="81"/>
      <c r="N196" s="81"/>
      <c r="O196" s="81"/>
      <c r="P196" s="81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</row>
    <row r="197" spans="1:39" x14ac:dyDescent="0.3">
      <c r="A197" s="18"/>
      <c r="B197" s="18"/>
      <c r="C197" s="18"/>
      <c r="D197" s="18"/>
      <c r="E197" s="18"/>
      <c r="F197" s="18"/>
      <c r="G197" s="18"/>
      <c r="H197" s="18"/>
      <c r="I197" s="75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</row>
    <row r="198" spans="1:39" x14ac:dyDescent="0.3">
      <c r="A198" s="18"/>
      <c r="B198" s="18"/>
      <c r="C198" s="18"/>
      <c r="D198" s="18"/>
      <c r="E198" s="18"/>
      <c r="F198" s="18"/>
      <c r="G198" s="18"/>
      <c r="H198" s="18"/>
      <c r="I198" s="75"/>
      <c r="J198" s="18"/>
      <c r="K198" s="18"/>
      <c r="L198" s="91"/>
      <c r="M198" s="91"/>
      <c r="N198" s="91"/>
      <c r="O198" s="91"/>
      <c r="P198" s="91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</row>
    <row r="199" spans="1:39" x14ac:dyDescent="0.3">
      <c r="A199" s="18"/>
      <c r="B199" s="18"/>
      <c r="C199" s="18"/>
      <c r="D199" s="18"/>
      <c r="E199" s="18"/>
      <c r="F199" s="18"/>
      <c r="G199" s="18"/>
      <c r="H199" s="18"/>
      <c r="I199" s="75"/>
      <c r="J199" s="18"/>
      <c r="K199" s="18"/>
      <c r="L199" s="91"/>
      <c r="M199" s="91"/>
      <c r="N199" s="91"/>
      <c r="O199" s="91"/>
      <c r="P199" s="91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</row>
    <row r="200" spans="1:39" x14ac:dyDescent="0.3">
      <c r="A200" s="18"/>
      <c r="B200" s="18"/>
      <c r="C200" s="18"/>
      <c r="D200" s="18"/>
      <c r="E200" s="18"/>
      <c r="F200" s="18"/>
      <c r="G200" s="18"/>
      <c r="H200" s="18"/>
      <c r="I200" s="75"/>
      <c r="J200" s="18"/>
      <c r="K200" s="90"/>
      <c r="L200" s="90"/>
      <c r="M200" s="90"/>
      <c r="N200" s="90"/>
      <c r="O200" s="81"/>
      <c r="P200" s="81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</row>
    <row r="201" spans="1:39" x14ac:dyDescent="0.3">
      <c r="A201" s="18"/>
      <c r="B201" s="18"/>
      <c r="C201" s="18"/>
      <c r="D201" s="18"/>
      <c r="E201" s="18"/>
      <c r="F201" s="18"/>
      <c r="G201" s="18"/>
      <c r="H201" s="18"/>
      <c r="I201" s="75"/>
      <c r="J201" s="18"/>
      <c r="K201" s="81"/>
      <c r="L201" s="82"/>
      <c r="M201" s="81"/>
      <c r="N201" s="81"/>
      <c r="O201" s="81"/>
      <c r="P201" s="81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</row>
    <row r="202" spans="1:39" x14ac:dyDescent="0.3">
      <c r="A202" s="18"/>
      <c r="B202" s="18"/>
      <c r="C202" s="18"/>
      <c r="D202" s="18"/>
      <c r="E202" s="18"/>
      <c r="F202" s="18"/>
      <c r="G202" s="18"/>
      <c r="H202" s="18"/>
      <c r="I202" s="75"/>
      <c r="J202" s="18"/>
      <c r="K202" s="81"/>
      <c r="L202" s="82"/>
      <c r="M202" s="81"/>
      <c r="N202" s="81"/>
      <c r="O202" s="81"/>
      <c r="P202" s="81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</row>
    <row r="203" spans="1:39" x14ac:dyDescent="0.3">
      <c r="A203" s="18"/>
      <c r="B203" s="18"/>
      <c r="C203" s="18"/>
      <c r="D203" s="18"/>
      <c r="E203" s="18"/>
      <c r="F203" s="18"/>
      <c r="G203" s="18"/>
      <c r="H203" s="18"/>
      <c r="I203" s="75"/>
      <c r="J203" s="18"/>
      <c r="K203" s="81"/>
      <c r="L203" s="82"/>
      <c r="M203" s="81"/>
      <c r="N203" s="81"/>
      <c r="O203" s="81"/>
      <c r="P203" s="81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</row>
    <row r="204" spans="1:39" x14ac:dyDescent="0.3">
      <c r="A204" s="18"/>
      <c r="B204" s="18"/>
      <c r="C204" s="18"/>
      <c r="D204" s="18"/>
      <c r="E204" s="18"/>
      <c r="F204" s="18"/>
      <c r="G204" s="18"/>
      <c r="H204" s="18"/>
      <c r="I204" s="75"/>
      <c r="J204" s="18"/>
      <c r="K204" s="81"/>
      <c r="L204" s="82"/>
      <c r="M204" s="81"/>
      <c r="N204" s="81"/>
      <c r="O204" s="81"/>
      <c r="P204" s="81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</row>
    <row r="205" spans="1:39" x14ac:dyDescent="0.3">
      <c r="A205" s="18"/>
      <c r="B205" s="18"/>
      <c r="C205" s="18"/>
      <c r="D205" s="18"/>
      <c r="E205" s="18"/>
      <c r="F205" s="18"/>
      <c r="G205" s="18"/>
      <c r="H205" s="18"/>
      <c r="I205" s="75"/>
      <c r="J205" s="18"/>
      <c r="K205" s="81"/>
      <c r="L205" s="82"/>
      <c r="M205" s="81"/>
      <c r="N205" s="81"/>
      <c r="O205" s="81"/>
      <c r="P205" s="81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</row>
    <row r="206" spans="1:39" x14ac:dyDescent="0.3">
      <c r="A206" s="18"/>
      <c r="B206" s="18"/>
      <c r="C206" s="18"/>
      <c r="D206" s="18"/>
      <c r="E206" s="18"/>
      <c r="F206" s="18"/>
      <c r="G206" s="18"/>
      <c r="H206" s="18"/>
      <c r="I206" s="75"/>
      <c r="J206" s="18"/>
      <c r="K206" s="81"/>
      <c r="L206" s="82"/>
      <c r="M206" s="81"/>
      <c r="N206" s="81"/>
      <c r="O206" s="81"/>
      <c r="P206" s="81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</row>
    <row r="207" spans="1:39" x14ac:dyDescent="0.3">
      <c r="A207" s="18"/>
      <c r="B207" s="18"/>
      <c r="C207" s="18"/>
      <c r="D207" s="18"/>
      <c r="E207" s="18"/>
      <c r="F207" s="18"/>
      <c r="G207" s="18"/>
      <c r="H207" s="18"/>
      <c r="I207" s="75"/>
      <c r="J207" s="18"/>
      <c r="K207" s="81"/>
      <c r="L207" s="82"/>
      <c r="M207" s="81"/>
      <c r="N207" s="81"/>
      <c r="O207" s="81"/>
      <c r="P207" s="81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</row>
    <row r="208" spans="1:39" x14ac:dyDescent="0.3">
      <c r="A208" s="18"/>
      <c r="B208" s="18"/>
      <c r="C208" s="18"/>
      <c r="D208" s="18"/>
      <c r="E208" s="18"/>
      <c r="F208" s="18"/>
      <c r="G208" s="18"/>
      <c r="H208" s="18"/>
      <c r="I208" s="75"/>
      <c r="J208" s="18"/>
      <c r="K208" s="81"/>
      <c r="L208" s="82"/>
      <c r="M208" s="81"/>
      <c r="N208" s="81"/>
      <c r="O208" s="81"/>
      <c r="P208" s="81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</row>
    <row r="209" spans="1:39" x14ac:dyDescent="0.3">
      <c r="A209" s="18"/>
      <c r="B209" s="18"/>
      <c r="C209" s="18"/>
      <c r="D209" s="18"/>
      <c r="E209" s="18"/>
      <c r="F209" s="18"/>
      <c r="G209" s="18"/>
      <c r="H209" s="18"/>
      <c r="I209" s="75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</row>
    <row r="210" spans="1:39" x14ac:dyDescent="0.3">
      <c r="A210" s="18"/>
      <c r="B210" s="18"/>
      <c r="C210" s="18"/>
      <c r="D210" s="18"/>
      <c r="E210" s="18"/>
      <c r="F210" s="18"/>
      <c r="G210" s="18"/>
      <c r="H210" s="18"/>
      <c r="I210" s="75"/>
      <c r="J210" s="18"/>
      <c r="K210" s="18"/>
      <c r="L210" s="91"/>
      <c r="M210" s="91"/>
      <c r="N210" s="91"/>
      <c r="O210" s="91"/>
      <c r="P210" s="91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</row>
    <row r="211" spans="1:39" x14ac:dyDescent="0.3">
      <c r="A211" s="18"/>
      <c r="B211" s="18"/>
      <c r="C211" s="18"/>
      <c r="D211" s="18"/>
      <c r="E211" s="18"/>
      <c r="F211" s="18"/>
      <c r="G211" s="18"/>
      <c r="H211" s="18"/>
      <c r="I211" s="75"/>
      <c r="J211" s="18"/>
      <c r="K211" s="18"/>
      <c r="L211" s="91"/>
      <c r="M211" s="91"/>
      <c r="N211" s="91"/>
      <c r="O211" s="91"/>
      <c r="P211" s="91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</row>
    <row r="212" spans="1:39" x14ac:dyDescent="0.3">
      <c r="A212" s="18"/>
      <c r="B212" s="18"/>
      <c r="C212" s="18"/>
      <c r="D212" s="18"/>
      <c r="E212" s="18"/>
      <c r="F212" s="18"/>
      <c r="G212" s="18"/>
      <c r="H212" s="18"/>
      <c r="I212" s="75"/>
      <c r="J212" s="18"/>
      <c r="K212" s="92"/>
      <c r="L212" s="92"/>
      <c r="M212" s="92"/>
      <c r="N212" s="92"/>
      <c r="O212" s="92"/>
      <c r="P212" s="92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</row>
    <row r="213" spans="1:39" ht="15.5" x14ac:dyDescent="0.35">
      <c r="A213" s="18"/>
      <c r="B213" s="18"/>
      <c r="C213" s="18"/>
      <c r="D213" s="18"/>
      <c r="E213" s="18"/>
      <c r="F213" s="18"/>
      <c r="G213" s="18"/>
      <c r="H213" s="18"/>
      <c r="I213" s="75"/>
      <c r="J213" s="18"/>
      <c r="K213" s="92"/>
      <c r="L213" s="93"/>
      <c r="M213" s="93"/>
      <c r="N213" s="93"/>
      <c r="O213" s="94"/>
      <c r="P213" s="8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</row>
    <row r="214" spans="1:39" ht="15.5" x14ac:dyDescent="0.35">
      <c r="A214" s="18"/>
      <c r="B214" s="18"/>
      <c r="C214" s="18"/>
      <c r="D214" s="18"/>
      <c r="E214" s="18"/>
      <c r="F214" s="18"/>
      <c r="G214" s="18"/>
      <c r="H214" s="18"/>
      <c r="I214" s="75"/>
      <c r="J214" s="18"/>
      <c r="K214" s="95"/>
      <c r="L214" s="95"/>
      <c r="M214" s="95"/>
      <c r="N214" s="95"/>
      <c r="O214" s="95"/>
      <c r="P214" s="95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</row>
    <row r="215" spans="1:39" ht="15.5" x14ac:dyDescent="0.35">
      <c r="A215" s="18"/>
      <c r="B215" s="18"/>
      <c r="C215" s="18"/>
      <c r="D215" s="18"/>
      <c r="E215" s="18"/>
      <c r="F215" s="18"/>
      <c r="G215" s="18"/>
      <c r="H215" s="18"/>
      <c r="I215" s="75"/>
      <c r="J215" s="18"/>
      <c r="K215" s="95"/>
      <c r="L215" s="95"/>
      <c r="M215" s="95"/>
      <c r="N215" s="95"/>
      <c r="O215" s="95"/>
      <c r="P215" s="95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</row>
    <row r="216" spans="1:39" ht="15.5" x14ac:dyDescent="0.35">
      <c r="A216" s="18"/>
      <c r="B216" s="18"/>
      <c r="C216" s="18"/>
      <c r="D216" s="18"/>
      <c r="E216" s="18"/>
      <c r="F216" s="18"/>
      <c r="G216" s="18"/>
      <c r="H216" s="18"/>
      <c r="I216" s="75"/>
      <c r="J216" s="18"/>
      <c r="K216" s="95"/>
      <c r="L216" s="95"/>
      <c r="M216" s="95"/>
      <c r="N216" s="95"/>
      <c r="O216" s="95"/>
      <c r="P216" s="95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</row>
    <row r="217" spans="1:39" ht="15.5" x14ac:dyDescent="0.35">
      <c r="A217" s="18"/>
      <c r="B217" s="18"/>
      <c r="C217" s="18"/>
      <c r="D217" s="18"/>
      <c r="E217" s="18"/>
      <c r="F217" s="18"/>
      <c r="G217" s="18"/>
      <c r="H217" s="18"/>
      <c r="I217" s="75"/>
      <c r="J217" s="18"/>
      <c r="K217" s="95"/>
      <c r="L217" s="95"/>
      <c r="M217" s="95"/>
      <c r="N217" s="95"/>
      <c r="O217" s="95"/>
      <c r="P217" s="95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</row>
    <row r="218" spans="1:39" ht="15.5" x14ac:dyDescent="0.35">
      <c r="A218" s="18"/>
      <c r="B218" s="18"/>
      <c r="C218" s="18"/>
      <c r="D218" s="18"/>
      <c r="E218" s="18"/>
      <c r="F218" s="18"/>
      <c r="G218" s="18"/>
      <c r="H218" s="18"/>
      <c r="I218" s="75"/>
      <c r="J218" s="18"/>
      <c r="K218" s="95"/>
      <c r="L218" s="95"/>
      <c r="M218" s="95"/>
      <c r="N218" s="95"/>
      <c r="O218" s="95"/>
      <c r="P218" s="95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</row>
    <row r="219" spans="1:39" ht="15.5" x14ac:dyDescent="0.35">
      <c r="A219" s="18"/>
      <c r="B219" s="18"/>
      <c r="C219" s="18"/>
      <c r="D219" s="18"/>
      <c r="E219" s="18"/>
      <c r="F219" s="18"/>
      <c r="G219" s="18"/>
      <c r="H219" s="18"/>
      <c r="I219" s="75"/>
      <c r="J219" s="18"/>
      <c r="K219" s="95"/>
      <c r="L219" s="95"/>
      <c r="M219" s="95"/>
      <c r="N219" s="95"/>
      <c r="O219" s="95"/>
      <c r="P219" s="95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</row>
    <row r="220" spans="1:39" ht="15.5" x14ac:dyDescent="0.35">
      <c r="A220" s="18"/>
      <c r="B220" s="18"/>
      <c r="C220" s="18"/>
      <c r="D220" s="18"/>
      <c r="E220" s="18"/>
      <c r="F220" s="18"/>
      <c r="G220" s="18"/>
      <c r="H220" s="18"/>
      <c r="I220" s="75"/>
      <c r="J220" s="18"/>
      <c r="K220" s="95"/>
      <c r="L220" s="95"/>
      <c r="M220" s="95"/>
      <c r="N220" s="95"/>
      <c r="O220" s="95"/>
      <c r="P220" s="95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</row>
    <row r="221" spans="1:39" ht="15.5" x14ac:dyDescent="0.35">
      <c r="A221" s="18"/>
      <c r="B221" s="18"/>
      <c r="C221" s="18"/>
      <c r="D221" s="18"/>
      <c r="E221" s="18"/>
      <c r="F221" s="18"/>
      <c r="G221" s="18"/>
      <c r="H221" s="18"/>
      <c r="I221" s="75"/>
      <c r="J221" s="18"/>
      <c r="K221" s="95"/>
      <c r="L221" s="95"/>
      <c r="M221" s="95"/>
      <c r="N221" s="95"/>
      <c r="O221" s="95"/>
      <c r="P221" s="95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</row>
    <row r="222" spans="1:39" x14ac:dyDescent="0.3">
      <c r="A222" s="18"/>
      <c r="B222" s="18"/>
      <c r="C222" s="18"/>
      <c r="D222" s="18"/>
      <c r="E222" s="18"/>
      <c r="F222" s="18"/>
      <c r="G222" s="18"/>
      <c r="H222" s="18"/>
      <c r="I222" s="75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</row>
    <row r="223" spans="1:39" x14ac:dyDescent="0.3">
      <c r="A223" s="18"/>
      <c r="B223" s="18"/>
      <c r="C223" s="18"/>
      <c r="D223" s="18"/>
      <c r="E223" s="18"/>
      <c r="F223" s="18"/>
      <c r="G223" s="18"/>
      <c r="H223" s="18"/>
      <c r="I223" s="75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</row>
    <row r="224" spans="1:39" x14ac:dyDescent="0.3">
      <c r="A224" s="18"/>
      <c r="B224" s="18"/>
      <c r="C224" s="18"/>
      <c r="D224" s="18"/>
      <c r="E224" s="18"/>
      <c r="F224" s="18"/>
      <c r="G224" s="18"/>
      <c r="H224" s="18"/>
      <c r="I224" s="75"/>
      <c r="J224" s="18"/>
      <c r="K224" s="90"/>
      <c r="L224" s="90"/>
      <c r="M224" s="90"/>
      <c r="N224" s="90"/>
      <c r="O224" s="90"/>
      <c r="P224" s="90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</row>
    <row r="225" spans="1:39" x14ac:dyDescent="0.3">
      <c r="A225" s="18"/>
      <c r="B225" s="18"/>
      <c r="C225" s="18"/>
      <c r="D225" s="18"/>
      <c r="E225" s="18"/>
      <c r="F225" s="18"/>
      <c r="G225" s="18"/>
      <c r="H225" s="18"/>
      <c r="I225" s="75"/>
      <c r="J225" s="18"/>
      <c r="K225" s="90"/>
      <c r="L225" s="90"/>
      <c r="M225" s="90"/>
      <c r="N225" s="90"/>
      <c r="O225" s="81"/>
      <c r="P225" s="81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</row>
    <row r="226" spans="1:39" x14ac:dyDescent="0.3">
      <c r="A226" s="18"/>
      <c r="B226" s="18"/>
      <c r="C226" s="18"/>
      <c r="D226" s="18"/>
      <c r="E226" s="18"/>
      <c r="F226" s="18"/>
      <c r="G226" s="18"/>
      <c r="H226" s="18"/>
      <c r="I226" s="75"/>
      <c r="J226" s="18"/>
      <c r="K226" s="81"/>
      <c r="L226" s="82"/>
      <c r="M226" s="81"/>
      <c r="N226" s="81"/>
      <c r="O226" s="81"/>
      <c r="P226" s="81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</row>
    <row r="227" spans="1:39" x14ac:dyDescent="0.3">
      <c r="A227" s="18"/>
      <c r="B227" s="18"/>
      <c r="C227" s="18"/>
      <c r="D227" s="18"/>
      <c r="E227" s="18"/>
      <c r="F227" s="18"/>
      <c r="G227" s="18"/>
      <c r="H227" s="18"/>
      <c r="I227" s="75"/>
      <c r="J227" s="18"/>
      <c r="K227" s="81"/>
      <c r="L227" s="82"/>
      <c r="M227" s="81"/>
      <c r="N227" s="81"/>
      <c r="O227" s="81"/>
      <c r="P227" s="81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</row>
    <row r="228" spans="1:39" x14ac:dyDescent="0.3">
      <c r="A228" s="18"/>
      <c r="B228" s="18"/>
      <c r="C228" s="18"/>
      <c r="D228" s="18"/>
      <c r="E228" s="18"/>
      <c r="F228" s="18"/>
      <c r="G228" s="18"/>
      <c r="H228" s="18"/>
      <c r="I228" s="75"/>
      <c r="J228" s="18"/>
      <c r="K228" s="81"/>
      <c r="L228" s="82"/>
      <c r="M228" s="81"/>
      <c r="N228" s="81"/>
      <c r="O228" s="81"/>
      <c r="P228" s="81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</row>
    <row r="229" spans="1:39" x14ac:dyDescent="0.3">
      <c r="A229" s="18"/>
      <c r="B229" s="18"/>
      <c r="C229" s="18"/>
      <c r="D229" s="18"/>
      <c r="E229" s="18"/>
      <c r="F229" s="18"/>
      <c r="G229" s="18"/>
      <c r="H229" s="18"/>
      <c r="I229" s="75"/>
      <c r="J229" s="18"/>
      <c r="K229" s="81"/>
      <c r="L229" s="82"/>
      <c r="M229" s="81"/>
      <c r="N229" s="81"/>
      <c r="O229" s="81"/>
      <c r="P229" s="81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</row>
    <row r="230" spans="1:39" x14ac:dyDescent="0.3">
      <c r="A230" s="18"/>
      <c r="B230" s="18"/>
      <c r="C230" s="18"/>
      <c r="D230" s="18"/>
      <c r="E230" s="18"/>
      <c r="F230" s="18"/>
      <c r="G230" s="18"/>
      <c r="H230" s="18"/>
      <c r="I230" s="75"/>
      <c r="J230" s="18"/>
      <c r="K230" s="81"/>
      <c r="L230" s="82"/>
      <c r="M230" s="81"/>
      <c r="N230" s="81"/>
      <c r="O230" s="81"/>
      <c r="P230" s="81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</row>
    <row r="231" spans="1:39" x14ac:dyDescent="0.3">
      <c r="A231" s="18"/>
      <c r="B231" s="18"/>
      <c r="C231" s="18"/>
      <c r="D231" s="18"/>
      <c r="E231" s="18"/>
      <c r="F231" s="18"/>
      <c r="G231" s="18"/>
      <c r="H231" s="18"/>
      <c r="I231" s="75"/>
      <c r="J231" s="18"/>
      <c r="K231" s="81"/>
      <c r="L231" s="82"/>
      <c r="M231" s="81"/>
      <c r="N231" s="81"/>
      <c r="O231" s="81"/>
      <c r="P231" s="81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</row>
    <row r="232" spans="1:39" x14ac:dyDescent="0.3">
      <c r="A232" s="18"/>
      <c r="B232" s="18"/>
      <c r="C232" s="18"/>
      <c r="D232" s="18"/>
      <c r="E232" s="18"/>
      <c r="F232" s="18"/>
      <c r="G232" s="18"/>
      <c r="H232" s="18"/>
      <c r="I232" s="75"/>
      <c r="J232" s="18"/>
      <c r="K232" s="81"/>
      <c r="L232" s="82"/>
      <c r="M232" s="81"/>
      <c r="N232" s="81"/>
      <c r="O232" s="81"/>
      <c r="P232" s="81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</row>
    <row r="233" spans="1:39" x14ac:dyDescent="0.3">
      <c r="A233" s="18"/>
      <c r="B233" s="18"/>
      <c r="C233" s="18"/>
      <c r="D233" s="18"/>
      <c r="E233" s="18"/>
      <c r="F233" s="18"/>
      <c r="G233" s="18"/>
      <c r="H233" s="18"/>
      <c r="I233" s="75"/>
      <c r="J233" s="18"/>
      <c r="K233" s="81"/>
      <c r="L233" s="82"/>
      <c r="M233" s="81"/>
      <c r="N233" s="81"/>
      <c r="O233" s="81"/>
      <c r="P233" s="81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</row>
    <row r="234" spans="1:39" x14ac:dyDescent="0.3">
      <c r="A234" s="18"/>
      <c r="B234" s="18"/>
      <c r="C234" s="18"/>
      <c r="D234" s="18"/>
      <c r="E234" s="18"/>
      <c r="F234" s="18"/>
      <c r="G234" s="18"/>
      <c r="H234" s="18"/>
      <c r="I234" s="75"/>
      <c r="J234" s="18"/>
      <c r="K234" s="81"/>
      <c r="L234" s="82"/>
      <c r="M234" s="81"/>
      <c r="N234" s="81"/>
      <c r="O234" s="81"/>
      <c r="P234" s="81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</row>
    <row r="235" spans="1:39" x14ac:dyDescent="0.3">
      <c r="A235" s="18"/>
      <c r="B235" s="18"/>
      <c r="C235" s="18"/>
      <c r="D235" s="18"/>
      <c r="E235" s="18"/>
      <c r="F235" s="18"/>
      <c r="G235" s="18"/>
      <c r="H235" s="18"/>
      <c r="I235" s="75"/>
      <c r="J235" s="18"/>
      <c r="K235" s="81"/>
      <c r="L235" s="82"/>
      <c r="M235" s="81"/>
      <c r="N235" s="81"/>
      <c r="O235" s="81"/>
      <c r="P235" s="81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</row>
    <row r="236" spans="1:39" x14ac:dyDescent="0.3">
      <c r="A236" s="18"/>
      <c r="B236" s="18"/>
      <c r="C236" s="18"/>
      <c r="D236" s="18"/>
      <c r="E236" s="18"/>
      <c r="F236" s="18"/>
      <c r="G236" s="18"/>
      <c r="H236" s="18"/>
      <c r="I236" s="75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</row>
    <row r="237" spans="1:39" x14ac:dyDescent="0.3">
      <c r="A237" s="18"/>
      <c r="B237" s="18"/>
      <c r="C237" s="18"/>
      <c r="D237" s="18"/>
      <c r="E237" s="18"/>
      <c r="F237" s="18"/>
      <c r="G237" s="18"/>
      <c r="H237" s="18"/>
      <c r="I237" s="75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</row>
    <row r="238" spans="1:39" x14ac:dyDescent="0.3">
      <c r="A238" s="18"/>
      <c r="B238" s="18"/>
      <c r="C238" s="18"/>
      <c r="D238" s="18"/>
      <c r="E238" s="18"/>
      <c r="F238" s="18"/>
      <c r="G238" s="18"/>
      <c r="H238" s="18"/>
      <c r="I238" s="75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</row>
    <row r="239" spans="1:39" ht="12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75"/>
      <c r="J239" s="18"/>
      <c r="K239" s="96"/>
      <c r="L239" s="96"/>
      <c r="M239" s="96"/>
      <c r="N239" s="96"/>
      <c r="O239" s="96"/>
      <c r="P239" s="96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</row>
    <row r="240" spans="1:39" x14ac:dyDescent="0.3">
      <c r="A240" s="18"/>
      <c r="B240" s="18"/>
      <c r="C240" s="18"/>
      <c r="D240" s="18"/>
      <c r="E240" s="18"/>
      <c r="F240" s="18"/>
      <c r="G240" s="18"/>
      <c r="H240" s="18"/>
      <c r="I240" s="75"/>
      <c r="J240" s="18"/>
      <c r="K240" s="97"/>
      <c r="L240" s="97"/>
      <c r="M240" s="98"/>
      <c r="N240" s="98"/>
      <c r="O240" s="98"/>
      <c r="P240" s="9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</row>
    <row r="241" spans="1:39" ht="15.5" x14ac:dyDescent="0.35">
      <c r="A241" s="18"/>
      <c r="B241" s="18"/>
      <c r="C241" s="18"/>
      <c r="D241" s="18"/>
      <c r="E241" s="18"/>
      <c r="F241" s="18"/>
      <c r="G241" s="18"/>
      <c r="H241" s="18"/>
      <c r="I241" s="75"/>
      <c r="J241" s="18"/>
      <c r="K241" s="99"/>
      <c r="L241" s="100"/>
      <c r="M241" s="100"/>
      <c r="N241" s="100"/>
      <c r="O241" s="99"/>
      <c r="P241" s="99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</row>
    <row r="242" spans="1:39" ht="15.5" x14ac:dyDescent="0.35">
      <c r="A242" s="18"/>
      <c r="B242" s="18"/>
      <c r="C242" s="18"/>
      <c r="D242" s="18"/>
      <c r="E242" s="18"/>
      <c r="F242" s="18"/>
      <c r="G242" s="18"/>
      <c r="H242" s="18"/>
      <c r="I242" s="75"/>
      <c r="J242" s="18"/>
      <c r="K242" s="100"/>
      <c r="L242" s="99"/>
      <c r="M242" s="99"/>
      <c r="N242" s="99"/>
      <c r="O242" s="98"/>
      <c r="P242" s="9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</row>
    <row r="243" spans="1:39" x14ac:dyDescent="0.3">
      <c r="A243" s="18"/>
      <c r="B243" s="18"/>
      <c r="C243" s="18"/>
      <c r="D243" s="18"/>
      <c r="E243" s="18"/>
      <c r="F243" s="18"/>
      <c r="G243" s="18"/>
      <c r="H243" s="18"/>
      <c r="I243" s="75"/>
      <c r="J243" s="18"/>
      <c r="K243" s="98"/>
      <c r="L243" s="101"/>
      <c r="M243" s="98"/>
      <c r="N243" s="98"/>
      <c r="O243" s="98"/>
      <c r="P243" s="9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</row>
    <row r="244" spans="1:39" x14ac:dyDescent="0.3">
      <c r="A244" s="18"/>
      <c r="B244" s="18"/>
      <c r="C244" s="18"/>
      <c r="D244" s="18"/>
      <c r="E244" s="18"/>
      <c r="F244" s="18"/>
      <c r="G244" s="18"/>
      <c r="H244" s="18"/>
      <c r="I244" s="75"/>
      <c r="J244" s="18"/>
      <c r="K244" s="98"/>
      <c r="L244" s="101"/>
      <c r="M244" s="98"/>
      <c r="N244" s="98"/>
      <c r="O244" s="98"/>
      <c r="P244" s="9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</row>
    <row r="245" spans="1:39" x14ac:dyDescent="0.3">
      <c r="A245" s="18"/>
      <c r="B245" s="18"/>
      <c r="C245" s="18"/>
      <c r="D245" s="18"/>
      <c r="E245" s="18"/>
      <c r="F245" s="18"/>
      <c r="G245" s="18"/>
      <c r="H245" s="18"/>
      <c r="I245" s="75"/>
      <c r="J245" s="18"/>
      <c r="K245" s="98"/>
      <c r="L245" s="101"/>
      <c r="M245" s="98"/>
      <c r="N245" s="98"/>
      <c r="O245" s="98"/>
      <c r="P245" s="9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</row>
    <row r="246" spans="1:39" x14ac:dyDescent="0.3">
      <c r="A246" s="18"/>
      <c r="B246" s="18"/>
      <c r="C246" s="18"/>
      <c r="D246" s="18"/>
      <c r="E246" s="18"/>
      <c r="F246" s="18"/>
      <c r="G246" s="18"/>
      <c r="H246" s="18"/>
      <c r="I246" s="75"/>
      <c r="J246" s="18"/>
      <c r="K246" s="98"/>
      <c r="L246" s="98"/>
      <c r="M246" s="98"/>
      <c r="N246" s="98"/>
      <c r="O246" s="98"/>
      <c r="P246" s="9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</row>
    <row r="247" spans="1:39" x14ac:dyDescent="0.3">
      <c r="A247" s="18"/>
      <c r="B247" s="18"/>
      <c r="C247" s="18"/>
      <c r="D247" s="18"/>
      <c r="E247" s="18"/>
      <c r="F247" s="18"/>
      <c r="G247" s="18"/>
      <c r="H247" s="18"/>
      <c r="I247" s="75"/>
      <c r="J247" s="18"/>
      <c r="K247" s="98"/>
      <c r="L247" s="98"/>
      <c r="M247" s="98"/>
      <c r="N247" s="98"/>
      <c r="O247" s="98"/>
      <c r="P247" s="9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</row>
    <row r="248" spans="1:39" x14ac:dyDescent="0.3">
      <c r="A248" s="18"/>
      <c r="B248" s="18"/>
      <c r="C248" s="18"/>
      <c r="D248" s="18"/>
      <c r="E248" s="18"/>
      <c r="F248" s="18"/>
      <c r="G248" s="18"/>
      <c r="H248" s="18"/>
      <c r="I248" s="75"/>
      <c r="J248" s="18"/>
      <c r="K248" s="98"/>
      <c r="L248" s="98"/>
      <c r="M248" s="98"/>
      <c r="N248" s="98"/>
      <c r="O248" s="98"/>
      <c r="P248" s="9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</row>
    <row r="249" spans="1:39" x14ac:dyDescent="0.3">
      <c r="A249" s="18"/>
      <c r="B249" s="18"/>
      <c r="C249" s="18"/>
      <c r="D249" s="18"/>
      <c r="E249" s="18"/>
      <c r="F249" s="18"/>
      <c r="G249" s="18"/>
      <c r="H249" s="18"/>
      <c r="I249" s="75"/>
      <c r="J249" s="18"/>
      <c r="K249" s="98"/>
      <c r="L249" s="98"/>
      <c r="M249" s="98"/>
      <c r="N249" s="98"/>
      <c r="O249" s="98"/>
      <c r="P249" s="9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</row>
    <row r="250" spans="1:39" x14ac:dyDescent="0.3">
      <c r="A250" s="18"/>
      <c r="B250" s="18"/>
      <c r="C250" s="18"/>
      <c r="D250" s="18"/>
      <c r="E250" s="18"/>
      <c r="F250" s="18"/>
      <c r="G250" s="18"/>
      <c r="H250" s="18"/>
      <c r="I250" s="75"/>
      <c r="J250" s="18"/>
      <c r="K250" s="98"/>
      <c r="L250" s="98"/>
      <c r="M250" s="98"/>
      <c r="N250" s="98"/>
      <c r="O250" s="98"/>
      <c r="P250" s="9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</row>
    <row r="251" spans="1:39" x14ac:dyDescent="0.3">
      <c r="A251" s="18"/>
      <c r="B251" s="18"/>
      <c r="C251" s="18"/>
      <c r="D251" s="18"/>
      <c r="E251" s="18"/>
      <c r="F251" s="18"/>
      <c r="G251" s="18"/>
      <c r="H251" s="18"/>
      <c r="I251" s="75"/>
      <c r="J251" s="18"/>
      <c r="K251" s="18"/>
      <c r="L251" s="91"/>
      <c r="M251" s="91"/>
      <c r="N251" s="91"/>
      <c r="O251" s="91"/>
      <c r="P251" s="91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</row>
    <row r="252" spans="1:39" x14ac:dyDescent="0.3">
      <c r="A252" s="18"/>
      <c r="B252" s="18"/>
      <c r="C252" s="18"/>
      <c r="D252" s="18"/>
      <c r="E252" s="18"/>
      <c r="F252" s="18"/>
      <c r="G252" s="18"/>
      <c r="H252" s="18"/>
      <c r="I252" s="75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</row>
    <row r="253" spans="1:39" x14ac:dyDescent="0.3">
      <c r="A253" s="18"/>
      <c r="B253" s="18"/>
      <c r="C253" s="18"/>
      <c r="D253" s="18"/>
      <c r="E253" s="18"/>
      <c r="F253" s="18"/>
      <c r="G253" s="18"/>
      <c r="H253" s="18"/>
      <c r="I253" s="75"/>
      <c r="J253" s="18"/>
      <c r="K253" s="96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</row>
    <row r="254" spans="1:39" x14ac:dyDescent="0.3">
      <c r="A254" s="18"/>
      <c r="B254" s="18"/>
      <c r="C254" s="18"/>
      <c r="D254" s="18"/>
      <c r="E254" s="18"/>
      <c r="F254" s="18"/>
      <c r="G254" s="18"/>
      <c r="H254" s="18"/>
      <c r="I254" s="75"/>
      <c r="J254" s="18"/>
      <c r="K254" s="97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</row>
    <row r="255" spans="1:39" ht="15.5" x14ac:dyDescent="0.35">
      <c r="A255" s="18"/>
      <c r="B255" s="18"/>
      <c r="C255" s="18"/>
      <c r="D255" s="18"/>
      <c r="E255" s="18"/>
      <c r="F255" s="18"/>
      <c r="G255" s="18"/>
      <c r="H255" s="18"/>
      <c r="I255" s="75"/>
      <c r="J255" s="18"/>
      <c r="K255" s="99"/>
      <c r="L255" s="100"/>
      <c r="M255" s="100"/>
      <c r="N255" s="100"/>
      <c r="O255" s="99"/>
      <c r="P255" s="99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</row>
    <row r="256" spans="1:39" ht="15.5" x14ac:dyDescent="0.35">
      <c r="A256" s="18"/>
      <c r="B256" s="18"/>
      <c r="C256" s="18"/>
      <c r="D256" s="18"/>
      <c r="E256" s="18"/>
      <c r="F256" s="18"/>
      <c r="G256" s="18"/>
      <c r="H256" s="18"/>
      <c r="I256" s="75"/>
      <c r="J256" s="18"/>
      <c r="K256" s="100"/>
      <c r="L256" s="99"/>
      <c r="M256" s="99"/>
      <c r="N256" s="99"/>
      <c r="O256" s="98"/>
      <c r="P256" s="9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</row>
    <row r="257" spans="1:39" x14ac:dyDescent="0.3">
      <c r="A257" s="18"/>
      <c r="B257" s="18"/>
      <c r="C257" s="18"/>
      <c r="D257" s="18"/>
      <c r="E257" s="18"/>
      <c r="F257" s="18"/>
      <c r="G257" s="18"/>
      <c r="H257" s="18"/>
      <c r="I257" s="75"/>
      <c r="J257" s="18"/>
      <c r="K257" s="98"/>
      <c r="L257" s="98"/>
      <c r="M257" s="98"/>
      <c r="N257" s="98"/>
      <c r="O257" s="98"/>
      <c r="P257" s="9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</row>
    <row r="258" spans="1:39" x14ac:dyDescent="0.3">
      <c r="A258" s="18"/>
      <c r="B258" s="18"/>
      <c r="C258" s="18"/>
      <c r="D258" s="18"/>
      <c r="E258" s="18"/>
      <c r="F258" s="18"/>
      <c r="G258" s="18"/>
      <c r="H258" s="18"/>
      <c r="I258" s="75"/>
      <c r="J258" s="18"/>
      <c r="K258" s="98"/>
      <c r="L258" s="98"/>
      <c r="M258" s="98"/>
      <c r="N258" s="98"/>
      <c r="O258" s="98"/>
      <c r="P258" s="9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</row>
    <row r="259" spans="1:39" x14ac:dyDescent="0.3">
      <c r="A259" s="18"/>
      <c r="B259" s="18"/>
      <c r="C259" s="18"/>
      <c r="D259" s="18"/>
      <c r="E259" s="18"/>
      <c r="F259" s="18"/>
      <c r="G259" s="18"/>
      <c r="H259" s="18"/>
      <c r="I259" s="75"/>
      <c r="J259" s="18"/>
      <c r="K259" s="98"/>
      <c r="L259" s="98"/>
      <c r="M259" s="98"/>
      <c r="N259" s="98"/>
      <c r="O259" s="98"/>
      <c r="P259" s="9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</row>
    <row r="260" spans="1:39" x14ac:dyDescent="0.3">
      <c r="A260" s="18"/>
      <c r="B260" s="18"/>
      <c r="C260" s="18"/>
      <c r="D260" s="18"/>
      <c r="E260" s="18"/>
      <c r="F260" s="18"/>
      <c r="G260" s="18"/>
      <c r="H260" s="18"/>
      <c r="I260" s="75"/>
      <c r="J260" s="18"/>
      <c r="K260" s="98"/>
      <c r="L260" s="98"/>
      <c r="M260" s="98"/>
      <c r="N260" s="98"/>
      <c r="O260" s="98"/>
      <c r="P260" s="9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</row>
    <row r="261" spans="1:39" x14ac:dyDescent="0.3">
      <c r="A261" s="18"/>
      <c r="B261" s="18"/>
      <c r="C261" s="18"/>
      <c r="D261" s="18"/>
      <c r="E261" s="18"/>
      <c r="F261" s="18"/>
      <c r="G261" s="18"/>
      <c r="H261" s="18"/>
      <c r="I261" s="75"/>
      <c r="J261" s="18"/>
      <c r="K261" s="98"/>
      <c r="L261" s="98"/>
      <c r="M261" s="98"/>
      <c r="N261" s="98"/>
      <c r="O261" s="98"/>
      <c r="P261" s="9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</row>
    <row r="262" spans="1:39" x14ac:dyDescent="0.3">
      <c r="A262" s="18"/>
      <c r="B262" s="18"/>
      <c r="C262" s="18"/>
      <c r="D262" s="18"/>
      <c r="E262" s="18"/>
      <c r="F262" s="18"/>
      <c r="G262" s="18"/>
      <c r="H262" s="18"/>
      <c r="I262" s="75"/>
      <c r="J262" s="18"/>
      <c r="K262" s="98"/>
      <c r="L262" s="98"/>
      <c r="M262" s="98"/>
      <c r="N262" s="98"/>
      <c r="O262" s="98"/>
      <c r="P262" s="9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</row>
    <row r="263" spans="1:39" x14ac:dyDescent="0.3">
      <c r="A263" s="18"/>
      <c r="B263" s="18"/>
      <c r="C263" s="18"/>
      <c r="D263" s="18"/>
      <c r="E263" s="18"/>
      <c r="F263" s="18"/>
      <c r="G263" s="18"/>
      <c r="H263" s="18"/>
      <c r="I263" s="75"/>
      <c r="J263" s="18"/>
      <c r="K263" s="98"/>
      <c r="L263" s="98"/>
      <c r="M263" s="98"/>
      <c r="N263" s="98"/>
      <c r="O263" s="98"/>
      <c r="P263" s="9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</row>
    <row r="264" spans="1:39" x14ac:dyDescent="0.3">
      <c r="A264" s="18"/>
      <c r="B264" s="18"/>
      <c r="C264" s="18"/>
      <c r="D264" s="18"/>
      <c r="E264" s="18"/>
      <c r="F264" s="18"/>
      <c r="G264" s="18"/>
      <c r="H264" s="18"/>
      <c r="I264" s="75"/>
      <c r="J264" s="18"/>
      <c r="K264" s="98"/>
      <c r="L264" s="98"/>
      <c r="M264" s="98"/>
      <c r="N264" s="98"/>
      <c r="O264" s="98"/>
      <c r="P264" s="9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</row>
    <row r="265" spans="1:39" x14ac:dyDescent="0.3">
      <c r="A265" s="18"/>
      <c r="B265" s="18"/>
      <c r="C265" s="18"/>
      <c r="D265" s="18"/>
      <c r="E265" s="18"/>
      <c r="F265" s="18"/>
      <c r="G265" s="18"/>
      <c r="H265" s="18"/>
      <c r="I265" s="75"/>
      <c r="J265" s="18"/>
      <c r="K265" s="18"/>
      <c r="L265" s="91"/>
      <c r="M265" s="91"/>
      <c r="N265" s="91"/>
      <c r="O265" s="91"/>
      <c r="P265" s="91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</row>
    <row r="266" spans="1:39" x14ac:dyDescent="0.3">
      <c r="A266" s="18"/>
      <c r="B266" s="18"/>
      <c r="C266" s="18"/>
      <c r="D266" s="18"/>
      <c r="E266" s="18"/>
      <c r="F266" s="18"/>
      <c r="G266" s="18"/>
      <c r="H266" s="18"/>
      <c r="I266" s="75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</row>
    <row r="267" spans="1:39" x14ac:dyDescent="0.3">
      <c r="A267" s="18"/>
      <c r="B267" s="18"/>
      <c r="C267" s="18"/>
      <c r="D267" s="18"/>
      <c r="E267" s="18"/>
      <c r="F267" s="18"/>
      <c r="G267" s="18"/>
      <c r="H267" s="18"/>
      <c r="I267" s="75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</row>
    <row r="268" spans="1:39" x14ac:dyDescent="0.3">
      <c r="A268" s="18"/>
      <c r="B268" s="18"/>
      <c r="C268" s="18"/>
      <c r="D268" s="18"/>
      <c r="E268" s="18"/>
      <c r="F268" s="18"/>
      <c r="G268" s="18"/>
      <c r="H268" s="18"/>
      <c r="I268" s="75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</row>
    <row r="269" spans="1:39" x14ac:dyDescent="0.3">
      <c r="A269" s="18"/>
      <c r="B269" s="18"/>
      <c r="C269" s="18"/>
      <c r="D269" s="18"/>
      <c r="E269" s="18"/>
      <c r="F269" s="18"/>
      <c r="G269" s="18"/>
      <c r="H269" s="18"/>
      <c r="I269" s="75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</row>
    <row r="270" spans="1:39" x14ac:dyDescent="0.3">
      <c r="A270" s="18"/>
      <c r="B270" s="18"/>
      <c r="C270" s="18"/>
      <c r="D270" s="18"/>
      <c r="E270" s="18"/>
      <c r="F270" s="18"/>
      <c r="G270" s="18"/>
      <c r="H270" s="18"/>
      <c r="I270" s="75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</row>
    <row r="271" spans="1:39" x14ac:dyDescent="0.3">
      <c r="A271" s="18"/>
      <c r="B271" s="18"/>
      <c r="C271" s="18"/>
      <c r="D271" s="18"/>
      <c r="E271" s="18"/>
      <c r="F271" s="18"/>
      <c r="G271" s="18"/>
      <c r="H271" s="18"/>
      <c r="I271" s="75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</row>
    <row r="272" spans="1:39" x14ac:dyDescent="0.3">
      <c r="A272" s="18"/>
      <c r="B272" s="18"/>
      <c r="C272" s="18"/>
      <c r="D272" s="18"/>
      <c r="E272" s="18"/>
      <c r="F272" s="18"/>
      <c r="G272" s="18"/>
      <c r="H272" s="18"/>
      <c r="I272" s="75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</row>
    <row r="273" spans="1:28" x14ac:dyDescent="0.3">
      <c r="A273" s="18"/>
      <c r="B273" s="18"/>
      <c r="C273" s="18"/>
      <c r="D273" s="18"/>
      <c r="E273" s="18"/>
      <c r="F273" s="18"/>
      <c r="G273" s="18"/>
      <c r="H273" s="18"/>
      <c r="I273" s="75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</row>
    <row r="274" spans="1:28" x14ac:dyDescent="0.3">
      <c r="A274" s="18"/>
      <c r="B274" s="18"/>
      <c r="C274" s="18"/>
      <c r="D274" s="18"/>
      <c r="E274" s="18"/>
      <c r="F274" s="18"/>
      <c r="G274" s="18"/>
      <c r="H274" s="18"/>
      <c r="I274" s="75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</row>
    <row r="275" spans="1:28" x14ac:dyDescent="0.3">
      <c r="A275" s="18"/>
      <c r="B275" s="18"/>
      <c r="C275" s="18"/>
      <c r="D275" s="18"/>
      <c r="E275" s="18"/>
      <c r="F275" s="18"/>
      <c r="G275" s="18"/>
      <c r="H275" s="18"/>
      <c r="I275" s="75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</row>
    <row r="276" spans="1:28" x14ac:dyDescent="0.3">
      <c r="A276" s="18"/>
      <c r="B276" s="18"/>
      <c r="C276" s="18"/>
      <c r="D276" s="18"/>
      <c r="E276" s="18"/>
      <c r="F276" s="18"/>
      <c r="G276" s="18"/>
      <c r="H276" s="18"/>
      <c r="I276" s="75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</row>
    <row r="277" spans="1:28" x14ac:dyDescent="0.3">
      <c r="A277" s="18"/>
      <c r="B277" s="18"/>
      <c r="C277" s="18"/>
      <c r="D277" s="18"/>
      <c r="E277" s="18"/>
      <c r="F277" s="18"/>
      <c r="G277" s="18"/>
      <c r="H277" s="18"/>
      <c r="I277" s="75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</row>
    <row r="278" spans="1:28" x14ac:dyDescent="0.3">
      <c r="A278" s="18"/>
      <c r="B278" s="18"/>
      <c r="C278" s="18"/>
      <c r="D278" s="18"/>
      <c r="E278" s="18"/>
      <c r="F278" s="18"/>
      <c r="G278" s="18"/>
      <c r="H278" s="18"/>
      <c r="I278" s="75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</row>
    <row r="279" spans="1:28" x14ac:dyDescent="0.3">
      <c r="A279" s="18"/>
      <c r="B279" s="18"/>
      <c r="C279" s="18"/>
      <c r="D279" s="18"/>
      <c r="E279" s="18"/>
      <c r="F279" s="18"/>
      <c r="G279" s="18"/>
      <c r="H279" s="18"/>
      <c r="I279" s="75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</row>
    <row r="280" spans="1:28" x14ac:dyDescent="0.3">
      <c r="A280" s="18"/>
      <c r="B280" s="18"/>
      <c r="C280" s="18"/>
      <c r="D280" s="18"/>
      <c r="E280" s="18"/>
      <c r="F280" s="18"/>
      <c r="G280" s="18"/>
      <c r="H280" s="18"/>
      <c r="I280" s="75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</row>
    <row r="281" spans="1:28" x14ac:dyDescent="0.3">
      <c r="A281" s="18"/>
      <c r="B281" s="18"/>
      <c r="C281" s="18"/>
      <c r="D281" s="18"/>
      <c r="E281" s="18"/>
      <c r="F281" s="18"/>
      <c r="G281" s="18"/>
      <c r="H281" s="18"/>
      <c r="I281" s="75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</row>
    <row r="282" spans="1:28" x14ac:dyDescent="0.3">
      <c r="A282" s="18"/>
      <c r="B282" s="18"/>
      <c r="C282" s="18"/>
      <c r="D282" s="18"/>
      <c r="E282" s="18"/>
      <c r="F282" s="18"/>
      <c r="G282" s="18"/>
      <c r="H282" s="18"/>
      <c r="I282" s="75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</row>
    <row r="283" spans="1:28" x14ac:dyDescent="0.3">
      <c r="A283" s="18"/>
      <c r="B283" s="18"/>
      <c r="C283" s="18"/>
      <c r="D283" s="18"/>
      <c r="E283" s="18"/>
      <c r="F283" s="18"/>
      <c r="G283" s="18"/>
      <c r="H283" s="18"/>
      <c r="I283" s="75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</row>
    <row r="284" spans="1:28" x14ac:dyDescent="0.3">
      <c r="A284" s="18"/>
      <c r="B284" s="18"/>
      <c r="C284" s="18"/>
      <c r="D284" s="18"/>
      <c r="E284" s="18"/>
      <c r="F284" s="18"/>
      <c r="G284" s="18"/>
      <c r="H284" s="18"/>
      <c r="I284" s="75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</row>
    <row r="285" spans="1:28" x14ac:dyDescent="0.3">
      <c r="A285" s="18"/>
      <c r="B285" s="18"/>
      <c r="C285" s="18"/>
      <c r="D285" s="18"/>
      <c r="E285" s="18"/>
      <c r="F285" s="18"/>
      <c r="G285" s="18"/>
      <c r="H285" s="18"/>
      <c r="I285" s="75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</row>
    <row r="286" spans="1:28" x14ac:dyDescent="0.3">
      <c r="A286" s="18"/>
      <c r="B286" s="18"/>
      <c r="C286" s="18"/>
      <c r="D286" s="18"/>
      <c r="E286" s="18"/>
      <c r="F286" s="18"/>
      <c r="G286" s="18"/>
      <c r="H286" s="18"/>
      <c r="I286" s="75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</row>
    <row r="287" spans="1:28" x14ac:dyDescent="0.3">
      <c r="A287" s="18"/>
      <c r="B287" s="18"/>
      <c r="C287" s="18"/>
      <c r="D287" s="18"/>
      <c r="E287" s="18"/>
      <c r="F287" s="18"/>
      <c r="G287" s="18"/>
      <c r="H287" s="18"/>
      <c r="I287" s="75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</row>
    <row r="288" spans="1:28" x14ac:dyDescent="0.3">
      <c r="A288" s="18"/>
      <c r="B288" s="18"/>
      <c r="C288" s="18"/>
      <c r="D288" s="18"/>
      <c r="E288" s="18"/>
      <c r="F288" s="18"/>
      <c r="G288" s="18"/>
      <c r="H288" s="18"/>
      <c r="I288" s="75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</row>
    <row r="289" spans="1:28" x14ac:dyDescent="0.3">
      <c r="A289" s="18"/>
      <c r="B289" s="18"/>
      <c r="C289" s="18"/>
      <c r="D289" s="18"/>
      <c r="E289" s="18"/>
      <c r="F289" s="18"/>
      <c r="G289" s="18"/>
      <c r="H289" s="18"/>
      <c r="I289" s="75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</row>
    <row r="290" spans="1:28" x14ac:dyDescent="0.3">
      <c r="A290" s="18"/>
      <c r="B290" s="18"/>
      <c r="C290" s="18"/>
      <c r="D290" s="18"/>
      <c r="E290" s="18"/>
      <c r="F290" s="18"/>
      <c r="G290" s="18"/>
      <c r="H290" s="18"/>
      <c r="I290" s="75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</row>
    <row r="291" spans="1:28" x14ac:dyDescent="0.3">
      <c r="A291" s="18"/>
      <c r="B291" s="18"/>
      <c r="C291" s="18"/>
      <c r="D291" s="18"/>
      <c r="E291" s="18"/>
      <c r="F291" s="18"/>
      <c r="G291" s="18"/>
      <c r="H291" s="18"/>
      <c r="I291" s="75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</row>
    <row r="292" spans="1:28" x14ac:dyDescent="0.3">
      <c r="A292" s="18"/>
      <c r="B292" s="18"/>
      <c r="C292" s="18"/>
      <c r="D292" s="18"/>
      <c r="E292" s="18"/>
      <c r="F292" s="18"/>
      <c r="G292" s="18"/>
      <c r="H292" s="18"/>
      <c r="I292" s="75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</row>
    <row r="293" spans="1:28" x14ac:dyDescent="0.3">
      <c r="A293" s="18"/>
      <c r="B293" s="18"/>
      <c r="C293" s="18"/>
      <c r="D293" s="18"/>
      <c r="E293" s="18"/>
      <c r="F293" s="18"/>
      <c r="G293" s="18"/>
      <c r="H293" s="18"/>
      <c r="I293" s="75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</row>
    <row r="294" spans="1:28" x14ac:dyDescent="0.3">
      <c r="A294" s="18"/>
      <c r="B294" s="18"/>
      <c r="C294" s="18"/>
      <c r="D294" s="18"/>
      <c r="E294" s="18"/>
      <c r="F294" s="18"/>
      <c r="G294" s="18"/>
      <c r="H294" s="18"/>
      <c r="I294" s="75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</row>
    <row r="295" spans="1:28" x14ac:dyDescent="0.3">
      <c r="A295" s="18"/>
      <c r="B295" s="18"/>
      <c r="C295" s="18"/>
      <c r="D295" s="18"/>
      <c r="E295" s="18"/>
      <c r="F295" s="18"/>
      <c r="G295" s="18"/>
      <c r="H295" s="18"/>
      <c r="I295" s="75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</row>
    <row r="296" spans="1:28" x14ac:dyDescent="0.3">
      <c r="A296" s="18"/>
      <c r="B296" s="18"/>
      <c r="C296" s="18"/>
      <c r="D296" s="18"/>
      <c r="E296" s="18"/>
      <c r="F296" s="18"/>
      <c r="G296" s="18"/>
      <c r="H296" s="18"/>
      <c r="I296" s="75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</row>
    <row r="297" spans="1:28" x14ac:dyDescent="0.3">
      <c r="A297" s="18"/>
      <c r="B297" s="18"/>
      <c r="C297" s="18"/>
      <c r="D297" s="18"/>
      <c r="E297" s="18"/>
      <c r="F297" s="18"/>
      <c r="G297" s="18"/>
      <c r="H297" s="18"/>
      <c r="I297" s="75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</row>
    <row r="298" spans="1:28" x14ac:dyDescent="0.3">
      <c r="A298" s="18"/>
      <c r="B298" s="18"/>
      <c r="C298" s="18"/>
      <c r="D298" s="18"/>
      <c r="E298" s="18"/>
      <c r="F298" s="18"/>
      <c r="G298" s="18"/>
      <c r="H298" s="18"/>
      <c r="I298" s="75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</row>
    <row r="299" spans="1:28" x14ac:dyDescent="0.3">
      <c r="A299" s="18"/>
      <c r="B299" s="18"/>
      <c r="C299" s="18"/>
      <c r="D299" s="18"/>
      <c r="E299" s="18"/>
      <c r="F299" s="18"/>
      <c r="G299" s="18"/>
      <c r="H299" s="18"/>
      <c r="I299" s="75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</row>
    <row r="300" spans="1:28" x14ac:dyDescent="0.3">
      <c r="A300" s="18"/>
      <c r="B300" s="18"/>
      <c r="C300" s="18"/>
      <c r="D300" s="18"/>
      <c r="E300" s="18"/>
      <c r="F300" s="18"/>
      <c r="G300" s="18"/>
      <c r="H300" s="18"/>
      <c r="I300" s="75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</row>
    <row r="301" spans="1:28" x14ac:dyDescent="0.3">
      <c r="A301" s="18"/>
      <c r="B301" s="18"/>
      <c r="C301" s="18"/>
      <c r="D301" s="18"/>
      <c r="E301" s="18"/>
      <c r="F301" s="18"/>
      <c r="G301" s="18"/>
      <c r="H301" s="18"/>
      <c r="I301" s="75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</row>
    <row r="302" spans="1:28" x14ac:dyDescent="0.3">
      <c r="A302" s="18"/>
      <c r="B302" s="18"/>
      <c r="C302" s="18"/>
      <c r="D302" s="18"/>
      <c r="E302" s="18"/>
      <c r="F302" s="18"/>
      <c r="G302" s="18"/>
      <c r="H302" s="18"/>
      <c r="I302" s="75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</row>
    <row r="303" spans="1:28" x14ac:dyDescent="0.3">
      <c r="A303" s="18"/>
      <c r="B303" s="18"/>
      <c r="C303" s="18"/>
      <c r="D303" s="18"/>
      <c r="E303" s="18"/>
      <c r="F303" s="18"/>
      <c r="G303" s="18"/>
      <c r="H303" s="18"/>
      <c r="I303" s="75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</row>
    <row r="304" spans="1:28" x14ac:dyDescent="0.3">
      <c r="A304" s="18"/>
      <c r="B304" s="18"/>
      <c r="C304" s="18"/>
      <c r="D304" s="18"/>
      <c r="E304" s="18"/>
      <c r="F304" s="18"/>
      <c r="G304" s="18"/>
      <c r="H304" s="18"/>
      <c r="I304" s="75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</row>
    <row r="305" spans="1:28" x14ac:dyDescent="0.3">
      <c r="A305" s="18"/>
      <c r="B305" s="18"/>
      <c r="C305" s="18"/>
      <c r="D305" s="18"/>
      <c r="E305" s="18"/>
      <c r="F305" s="18"/>
      <c r="G305" s="18"/>
      <c r="H305" s="18"/>
      <c r="I305" s="75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</row>
    <row r="306" spans="1:28" x14ac:dyDescent="0.3">
      <c r="A306" s="18"/>
      <c r="B306" s="18"/>
      <c r="C306" s="18"/>
      <c r="D306" s="18"/>
      <c r="E306" s="18"/>
      <c r="F306" s="18"/>
      <c r="G306" s="18"/>
      <c r="H306" s="18"/>
      <c r="I306" s="75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</row>
    <row r="307" spans="1:28" x14ac:dyDescent="0.3">
      <c r="A307" s="18"/>
      <c r="B307" s="18"/>
      <c r="C307" s="18"/>
      <c r="D307" s="18"/>
      <c r="E307" s="18"/>
      <c r="F307" s="18"/>
      <c r="G307" s="18"/>
      <c r="H307" s="18"/>
      <c r="I307" s="75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</row>
  </sheetData>
  <mergeCells count="50">
    <mergeCell ref="BB44:BD44"/>
    <mergeCell ref="X23:Z23"/>
    <mergeCell ref="AE23:AG23"/>
    <mergeCell ref="AE44:AG44"/>
    <mergeCell ref="AH44:AJ44"/>
    <mergeCell ref="AO44:AQ44"/>
    <mergeCell ref="AR44:AT44"/>
    <mergeCell ref="AY44:BA44"/>
    <mergeCell ref="X44:Z44"/>
    <mergeCell ref="A23:C23"/>
    <mergeCell ref="D23:F23"/>
    <mergeCell ref="K23:M23"/>
    <mergeCell ref="N23:P23"/>
    <mergeCell ref="U23:W23"/>
    <mergeCell ref="AY2:BA2"/>
    <mergeCell ref="BB2:BD2"/>
    <mergeCell ref="AH23:AJ23"/>
    <mergeCell ref="AO23:AQ23"/>
    <mergeCell ref="AR23:AT23"/>
    <mergeCell ref="AY23:BA23"/>
    <mergeCell ref="BB23:BD23"/>
    <mergeCell ref="X2:Z2"/>
    <mergeCell ref="AE2:AG2"/>
    <mergeCell ref="AH2:AJ2"/>
    <mergeCell ref="AO2:AQ2"/>
    <mergeCell ref="AR2:AT2"/>
    <mergeCell ref="A2:C2"/>
    <mergeCell ref="D2:F2"/>
    <mergeCell ref="K2:M2"/>
    <mergeCell ref="N2:P2"/>
    <mergeCell ref="U2:W2"/>
    <mergeCell ref="K90:P90"/>
    <mergeCell ref="A88:F88"/>
    <mergeCell ref="K88:P88"/>
    <mergeCell ref="A64:P64"/>
    <mergeCell ref="A65:B65"/>
    <mergeCell ref="C65:F65"/>
    <mergeCell ref="K65:L65"/>
    <mergeCell ref="M65:P65"/>
    <mergeCell ref="A44:C44"/>
    <mergeCell ref="D44:F44"/>
    <mergeCell ref="K44:M44"/>
    <mergeCell ref="N44:P44"/>
    <mergeCell ref="U44:W44"/>
    <mergeCell ref="AY1:BG1"/>
    <mergeCell ref="A1:I1"/>
    <mergeCell ref="K1:S1"/>
    <mergeCell ref="U1:AC1"/>
    <mergeCell ref="AE1:AM1"/>
    <mergeCell ref="AO1:AW1"/>
  </mergeCells>
  <printOptions horizontalCentered="1" verticalCentered="1"/>
  <pageMargins left="0" right="7.874015748031496E-2" top="0.19685039370078741" bottom="0" header="0" footer="0"/>
  <pageSetup paperSize="9" scale="55" orientation="landscape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>
    <pageSetUpPr fitToPage="1"/>
  </sheetPr>
  <dimension ref="A1:BH307"/>
  <sheetViews>
    <sheetView showGridLines="0" showZeros="0" zoomScale="57" zoomScaleNormal="57" workbookViewId="0">
      <selection activeCell="AY54" sqref="AY54"/>
    </sheetView>
  </sheetViews>
  <sheetFormatPr defaultColWidth="8.7265625" defaultRowHeight="13" x14ac:dyDescent="0.3"/>
  <cols>
    <col min="1" max="1" width="13.81640625" style="6" customWidth="1"/>
    <col min="2" max="2" width="7.90625" style="6" customWidth="1"/>
    <col min="3" max="3" width="6.453125" style="6" customWidth="1"/>
    <col min="4" max="4" width="8.36328125" style="6" customWidth="1"/>
    <col min="5" max="6" width="7.90625" style="6" customWidth="1"/>
    <col min="7" max="7" width="7.26953125" style="6" customWidth="1"/>
    <col min="8" max="8" width="7.08984375" style="6" customWidth="1"/>
    <col min="9" max="9" width="9" style="102" customWidth="1"/>
    <col min="10" max="10" width="4.7265625" style="6" customWidth="1"/>
    <col min="11" max="11" width="13.81640625" style="6" customWidth="1"/>
    <col min="12" max="12" width="7.90625" style="6" customWidth="1"/>
    <col min="13" max="13" width="6.453125" style="6" customWidth="1"/>
    <col min="14" max="14" width="8.36328125" style="6" customWidth="1"/>
    <col min="15" max="15" width="6.453125" style="6" customWidth="1"/>
    <col min="16" max="17" width="7.90625" style="6" customWidth="1"/>
    <col min="18" max="18" width="7.08984375" style="6" customWidth="1"/>
    <col min="19" max="19" width="10" style="6" customWidth="1"/>
    <col min="20" max="20" width="4.81640625" style="6" customWidth="1"/>
    <col min="21" max="21" width="13.81640625" style="6" customWidth="1"/>
    <col min="22" max="22" width="7.90625" style="6" customWidth="1"/>
    <col min="23" max="23" width="6.453125" style="6" customWidth="1"/>
    <col min="24" max="24" width="8.36328125" style="6" customWidth="1"/>
    <col min="25" max="26" width="7.90625" style="6" customWidth="1"/>
    <col min="27" max="27" width="7.26953125" style="6" customWidth="1"/>
    <col min="28" max="28" width="7.08984375" style="6" customWidth="1"/>
    <col min="29" max="29" width="9" style="6" customWidth="1"/>
    <col min="30" max="30" width="11.54296875" style="6" customWidth="1"/>
    <col min="31" max="31" width="13.81640625" style="6" customWidth="1"/>
    <col min="32" max="32" width="7.90625" style="6" customWidth="1"/>
    <col min="33" max="33" width="6.453125" style="6" customWidth="1"/>
    <col min="34" max="34" width="8.36328125" style="6" customWidth="1"/>
    <col min="35" max="35" width="6.453125" style="6" customWidth="1"/>
    <col min="36" max="37" width="7.90625" style="6" customWidth="1"/>
    <col min="38" max="38" width="7.08984375" style="6" customWidth="1"/>
    <col min="39" max="39" width="9" style="6" customWidth="1"/>
    <col min="40" max="40" width="11.26953125" style="6" customWidth="1"/>
    <col min="41" max="41" width="13.81640625" style="6" customWidth="1"/>
    <col min="42" max="48" width="10.81640625" style="6" customWidth="1"/>
    <col min="49" max="49" width="9" style="6" customWidth="1"/>
    <col min="50" max="50" width="8.7265625" style="6"/>
    <col min="51" max="51" width="13.81640625" style="6" customWidth="1"/>
    <col min="52" max="52" width="7.90625" style="6" customWidth="1"/>
    <col min="53" max="53" width="7.90625" style="6" bestFit="1" customWidth="1"/>
    <col min="54" max="54" width="8.36328125" style="6" customWidth="1"/>
    <col min="55" max="55" width="6.453125" style="6" customWidth="1"/>
    <col min="56" max="56" width="7.90625" style="6" customWidth="1"/>
    <col min="57" max="57" width="7.90625" style="6" bestFit="1" customWidth="1"/>
    <col min="58" max="58" width="7.08984375" style="6" customWidth="1"/>
    <col min="59" max="59" width="11.453125" style="6" bestFit="1" customWidth="1"/>
    <col min="60" max="60" width="11.54296875" style="6" customWidth="1"/>
    <col min="61" max="16384" width="8.7265625" style="6"/>
  </cols>
  <sheetData>
    <row r="1" spans="1:59" ht="27" customHeight="1" x14ac:dyDescent="0.45">
      <c r="A1" s="596" t="s">
        <v>28</v>
      </c>
      <c r="B1" s="596"/>
      <c r="C1" s="596"/>
      <c r="D1" s="596"/>
      <c r="E1" s="596"/>
      <c r="F1" s="596"/>
      <c r="G1" s="596"/>
      <c r="H1" s="596"/>
      <c r="I1" s="596"/>
      <c r="J1" s="4"/>
      <c r="K1" s="596" t="s">
        <v>28</v>
      </c>
      <c r="L1" s="596"/>
      <c r="M1" s="596"/>
      <c r="N1" s="596"/>
      <c r="O1" s="596"/>
      <c r="P1" s="596"/>
      <c r="Q1" s="596"/>
      <c r="R1" s="596"/>
      <c r="S1" s="596"/>
      <c r="T1" s="5"/>
      <c r="U1" s="596" t="s">
        <v>28</v>
      </c>
      <c r="V1" s="596"/>
      <c r="W1" s="596"/>
      <c r="X1" s="596"/>
      <c r="Y1" s="596"/>
      <c r="Z1" s="596"/>
      <c r="AA1" s="596"/>
      <c r="AB1" s="596"/>
      <c r="AC1" s="596"/>
      <c r="AD1" s="5"/>
      <c r="AE1" s="596" t="s">
        <v>28</v>
      </c>
      <c r="AF1" s="596"/>
      <c r="AG1" s="596"/>
      <c r="AH1" s="596"/>
      <c r="AI1" s="596"/>
      <c r="AJ1" s="596"/>
      <c r="AK1" s="596"/>
      <c r="AL1" s="596"/>
      <c r="AM1" s="596"/>
      <c r="AN1" s="5"/>
      <c r="AO1" s="596" t="s">
        <v>28</v>
      </c>
      <c r="AP1" s="593"/>
      <c r="AQ1" s="593"/>
      <c r="AR1" s="593"/>
      <c r="AS1" s="593"/>
      <c r="AT1" s="593"/>
      <c r="AU1" s="593"/>
      <c r="AV1" s="593"/>
      <c r="AW1" s="596"/>
      <c r="AX1" s="5"/>
      <c r="AY1" s="596" t="s">
        <v>28</v>
      </c>
      <c r="AZ1" s="596"/>
      <c r="BA1" s="596"/>
      <c r="BB1" s="596"/>
      <c r="BC1" s="596"/>
      <c r="BD1" s="596"/>
      <c r="BE1" s="596"/>
      <c r="BF1" s="596"/>
      <c r="BG1" s="596"/>
    </row>
    <row r="2" spans="1:59" ht="28.5" x14ac:dyDescent="0.6">
      <c r="A2" s="586" t="s">
        <v>29</v>
      </c>
      <c r="B2" s="586"/>
      <c r="C2" s="586"/>
      <c r="D2" s="585" t="s">
        <v>30</v>
      </c>
      <c r="E2" s="585"/>
      <c r="F2" s="585"/>
      <c r="G2" s="110"/>
      <c r="H2" s="110"/>
      <c r="I2" s="110"/>
      <c r="J2" s="109"/>
      <c r="K2" s="586" t="s">
        <v>29</v>
      </c>
      <c r="L2" s="586"/>
      <c r="M2" s="586"/>
      <c r="N2" s="585" t="s">
        <v>31</v>
      </c>
      <c r="O2" s="585"/>
      <c r="P2" s="585"/>
      <c r="Q2" s="110"/>
      <c r="R2" s="110"/>
      <c r="S2" s="110"/>
      <c r="T2" s="111"/>
      <c r="U2" s="586" t="s">
        <v>32</v>
      </c>
      <c r="V2" s="586"/>
      <c r="W2" s="586"/>
      <c r="X2" s="585" t="s">
        <v>30</v>
      </c>
      <c r="Y2" s="585"/>
      <c r="Z2" s="585"/>
      <c r="AA2" s="110"/>
      <c r="AB2" s="110"/>
      <c r="AC2" s="110"/>
      <c r="AD2" s="111"/>
      <c r="AE2" s="586" t="s">
        <v>32</v>
      </c>
      <c r="AF2" s="586"/>
      <c r="AG2" s="586"/>
      <c r="AH2" s="585" t="s">
        <v>31</v>
      </c>
      <c r="AI2" s="585"/>
      <c r="AJ2" s="585"/>
      <c r="AK2" s="110"/>
      <c r="AL2" s="110"/>
      <c r="AM2" s="110"/>
      <c r="AN2" s="111"/>
      <c r="AO2" s="586" t="s">
        <v>33</v>
      </c>
      <c r="AP2" s="586"/>
      <c r="AQ2" s="586"/>
      <c r="AR2" s="585" t="s">
        <v>30</v>
      </c>
      <c r="AS2" s="585"/>
      <c r="AT2" s="585"/>
      <c r="AU2" s="110"/>
      <c r="AV2" s="110"/>
      <c r="AW2" s="110"/>
      <c r="AX2" s="111"/>
      <c r="AY2" s="586" t="s">
        <v>33</v>
      </c>
      <c r="AZ2" s="586"/>
      <c r="BA2" s="586"/>
      <c r="BB2" s="585" t="s">
        <v>31</v>
      </c>
      <c r="BC2" s="585"/>
      <c r="BD2" s="585"/>
      <c r="BE2" s="110"/>
      <c r="BF2" s="110"/>
      <c r="BG2" s="111"/>
    </row>
    <row r="3" spans="1:59" ht="23.25" customHeight="1" thickBot="1" x14ac:dyDescent="0.3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4"/>
      <c r="U3" s="103"/>
      <c r="V3" s="103"/>
      <c r="W3" s="103"/>
      <c r="X3" s="103"/>
      <c r="Y3" s="103"/>
      <c r="Z3" s="103"/>
      <c r="AA3" s="103"/>
      <c r="AB3" s="103"/>
      <c r="AC3" s="103"/>
      <c r="AD3" s="104"/>
      <c r="AE3" s="103"/>
      <c r="AF3" s="103"/>
      <c r="AG3" s="103"/>
      <c r="AH3" s="103"/>
      <c r="AI3" s="103"/>
      <c r="AJ3" s="103"/>
      <c r="AK3" s="103"/>
      <c r="AL3" s="103"/>
      <c r="AM3" s="103"/>
      <c r="AN3" s="104"/>
      <c r="AO3" s="103"/>
      <c r="AP3" s="103"/>
      <c r="AQ3" s="103"/>
      <c r="AR3" s="103"/>
      <c r="AS3" s="103"/>
      <c r="AT3" s="103"/>
      <c r="AU3" s="103"/>
      <c r="AV3" s="103"/>
      <c r="AW3" s="103"/>
      <c r="AX3" s="104"/>
      <c r="AY3" s="103"/>
      <c r="AZ3" s="103"/>
      <c r="BA3" s="103"/>
      <c r="BB3" s="103"/>
      <c r="BC3" s="103"/>
      <c r="BD3" s="103"/>
      <c r="BE3" s="103"/>
      <c r="BF3" s="103"/>
      <c r="BG3" s="104"/>
    </row>
    <row r="4" spans="1:59" ht="25" thickBot="1" x14ac:dyDescent="0.3">
      <c r="A4" s="119"/>
      <c r="B4" s="120" t="s">
        <v>34</v>
      </c>
      <c r="C4" s="121" t="s">
        <v>35</v>
      </c>
      <c r="D4" s="121" t="s">
        <v>36</v>
      </c>
      <c r="E4" s="121" t="s">
        <v>37</v>
      </c>
      <c r="F4" s="121" t="s">
        <v>38</v>
      </c>
      <c r="G4" s="121" t="s">
        <v>39</v>
      </c>
      <c r="H4" s="122" t="s">
        <v>40</v>
      </c>
      <c r="I4" s="123" t="s">
        <v>41</v>
      </c>
      <c r="J4" s="103"/>
      <c r="K4" s="119"/>
      <c r="L4" s="120" t="s">
        <v>34</v>
      </c>
      <c r="M4" s="121" t="s">
        <v>35</v>
      </c>
      <c r="N4" s="121" t="s">
        <v>36</v>
      </c>
      <c r="O4" s="121" t="s">
        <v>37</v>
      </c>
      <c r="P4" s="121" t="s">
        <v>38</v>
      </c>
      <c r="Q4" s="124" t="s">
        <v>39</v>
      </c>
      <c r="R4" s="125" t="s">
        <v>40</v>
      </c>
      <c r="S4" s="123" t="s">
        <v>41</v>
      </c>
      <c r="T4" s="104"/>
      <c r="U4" s="119"/>
      <c r="V4" s="120" t="s">
        <v>34</v>
      </c>
      <c r="W4" s="121" t="s">
        <v>35</v>
      </c>
      <c r="X4" s="121" t="s">
        <v>36</v>
      </c>
      <c r="Y4" s="121" t="s">
        <v>37</v>
      </c>
      <c r="Z4" s="121" t="s">
        <v>38</v>
      </c>
      <c r="AA4" s="124" t="s">
        <v>39</v>
      </c>
      <c r="AB4" s="121" t="s">
        <v>40</v>
      </c>
      <c r="AC4" s="123" t="s">
        <v>41</v>
      </c>
      <c r="AD4" s="104"/>
      <c r="AE4" s="126"/>
      <c r="AF4" s="120" t="s">
        <v>34</v>
      </c>
      <c r="AG4" s="121" t="s">
        <v>35</v>
      </c>
      <c r="AH4" s="121" t="s">
        <v>36</v>
      </c>
      <c r="AI4" s="121" t="s">
        <v>37</v>
      </c>
      <c r="AJ4" s="125" t="s">
        <v>38</v>
      </c>
      <c r="AK4" s="121" t="s">
        <v>39</v>
      </c>
      <c r="AL4" s="121" t="s">
        <v>40</v>
      </c>
      <c r="AM4" s="123" t="s">
        <v>41</v>
      </c>
      <c r="AN4" s="104"/>
      <c r="AO4" s="126"/>
      <c r="AP4" s="120" t="s">
        <v>34</v>
      </c>
      <c r="AQ4" s="121" t="s">
        <v>35</v>
      </c>
      <c r="AR4" s="121" t="s">
        <v>36</v>
      </c>
      <c r="AS4" s="121" t="s">
        <v>37</v>
      </c>
      <c r="AT4" s="125" t="s">
        <v>38</v>
      </c>
      <c r="AU4" s="121" t="s">
        <v>39</v>
      </c>
      <c r="AV4" s="121" t="s">
        <v>40</v>
      </c>
      <c r="AW4" s="123" t="s">
        <v>41</v>
      </c>
      <c r="AX4" s="104"/>
      <c r="AY4" s="126"/>
      <c r="AZ4" s="120" t="s">
        <v>34</v>
      </c>
      <c r="BA4" s="121" t="s">
        <v>35</v>
      </c>
      <c r="BB4" s="121" t="s">
        <v>36</v>
      </c>
      <c r="BC4" s="121" t="s">
        <v>37</v>
      </c>
      <c r="BD4" s="125" t="s">
        <v>38</v>
      </c>
      <c r="BE4" s="121" t="s">
        <v>39</v>
      </c>
      <c r="BF4" s="121" t="s">
        <v>40</v>
      </c>
      <c r="BG4" s="123" t="s">
        <v>41</v>
      </c>
    </row>
    <row r="5" spans="1:59" ht="21.5" thickBot="1" x14ac:dyDescent="0.3">
      <c r="A5" s="132" t="s">
        <v>116</v>
      </c>
      <c r="B5" s="133"/>
      <c r="C5" s="133"/>
      <c r="D5" s="133"/>
      <c r="E5" s="133"/>
      <c r="F5" s="133"/>
      <c r="G5" s="134" t="str">
        <f t="shared" ref="G5:G19" si="0">IF(C5&gt;0,+D5+C5,"")</f>
        <v/>
      </c>
      <c r="H5" s="134" t="str">
        <f t="shared" ref="H5:H19" si="1">IF(C5&gt;0,+D5/C5,"")</f>
        <v/>
      </c>
      <c r="I5" s="135"/>
      <c r="J5" s="119"/>
      <c r="K5" s="136" t="str">
        <f>A5</f>
        <v>Act 20-21</v>
      </c>
      <c r="L5" s="133">
        <v>61.41</v>
      </c>
      <c r="M5" s="133">
        <v>4.4800000000000004</v>
      </c>
      <c r="N5" s="133">
        <v>2.5099999999999998</v>
      </c>
      <c r="O5" s="133">
        <v>8.08</v>
      </c>
      <c r="P5" s="133">
        <v>46.61</v>
      </c>
      <c r="Q5" s="134">
        <f>IF(M5&gt;0,+N5+M5,"")</f>
        <v>6.99</v>
      </c>
      <c r="R5" s="134">
        <f>IF(M5&gt;0,+N5/M5,"")</f>
        <v>0.5602678571428571</v>
      </c>
      <c r="S5" s="137"/>
      <c r="T5" s="138"/>
      <c r="U5" s="136" t="str">
        <f>A5</f>
        <v>Act 20-21</v>
      </c>
      <c r="V5" s="133"/>
      <c r="W5" s="133"/>
      <c r="X5" s="133"/>
      <c r="Y5" s="133"/>
      <c r="Z5" s="133"/>
      <c r="AA5" s="134" t="str">
        <f t="shared" ref="AA5:AA19" si="2">IF(W5&gt;0,+X5+W5,"")</f>
        <v/>
      </c>
      <c r="AB5" s="134" t="str">
        <f t="shared" ref="AB5:AB19" si="3">IF(W5&gt;0,+X5/W5,"")</f>
        <v/>
      </c>
      <c r="AC5" s="135"/>
      <c r="AD5" s="104"/>
      <c r="AE5" s="136" t="str">
        <f t="shared" ref="AE5:AE19" si="4">K5</f>
        <v>Act 20-21</v>
      </c>
      <c r="AF5" s="139"/>
      <c r="AG5" s="134"/>
      <c r="AH5" s="134"/>
      <c r="AI5" s="134"/>
      <c r="AJ5" s="134"/>
      <c r="AK5" s="134" t="str">
        <f t="shared" ref="AK5:AK19" si="5">IF(AG5&gt;0,+AH5+AG5,"")</f>
        <v/>
      </c>
      <c r="AL5" s="134" t="str">
        <f t="shared" ref="AL5:AL19" si="6">IF(AG5&gt;0,+AH5/AG5,"")</f>
        <v/>
      </c>
      <c r="AM5" s="140"/>
      <c r="AN5" s="104"/>
      <c r="AO5" s="136" t="str">
        <f t="shared" ref="AO5:AO18" si="7">A5</f>
        <v>Act 20-21</v>
      </c>
      <c r="AP5" s="133"/>
      <c r="AQ5" s="133"/>
      <c r="AR5" s="133"/>
      <c r="AS5" s="133"/>
      <c r="AT5" s="133"/>
      <c r="AU5" s="134" t="str">
        <f t="shared" ref="AU5:AU19" si="8">IF(AQ5&gt;0,+AR5+AQ5,"")</f>
        <v/>
      </c>
      <c r="AV5" s="134" t="str">
        <f t="shared" ref="AV5:AV19" si="9">IF(AQ5&gt;0,+AR5/AQ5,"")</f>
        <v/>
      </c>
      <c r="AW5" s="140"/>
      <c r="AX5" s="104"/>
      <c r="AY5" s="136" t="str">
        <f t="shared" ref="AY5:AY19" si="10">K26</f>
        <v>Act 20-21</v>
      </c>
      <c r="AZ5" s="133"/>
      <c r="BA5" s="133"/>
      <c r="BB5" s="133"/>
      <c r="BC5" s="133"/>
      <c r="BD5" s="133"/>
      <c r="BE5" s="134" t="str">
        <f t="shared" ref="BE5:BE19" si="11">IF(BA5&gt;0,+BB5+BA5,"")</f>
        <v/>
      </c>
      <c r="BF5" s="134" t="str">
        <f t="shared" ref="BF5:BF19" si="12">IF(BA5&gt;0,+BB5/BA5,"")</f>
        <v/>
      </c>
      <c r="BG5" s="140"/>
    </row>
    <row r="6" spans="1:59" s="7" customFormat="1" ht="21" x14ac:dyDescent="0.25">
      <c r="A6" s="145" t="s">
        <v>117</v>
      </c>
      <c r="B6" s="146">
        <v>62.3</v>
      </c>
      <c r="C6" s="147">
        <v>3.9</v>
      </c>
      <c r="D6" s="147">
        <v>2.2000000000000002</v>
      </c>
      <c r="E6" s="147">
        <v>10</v>
      </c>
      <c r="F6" s="147">
        <v>10</v>
      </c>
      <c r="G6" s="147">
        <f t="shared" si="0"/>
        <v>6.1</v>
      </c>
      <c r="H6" s="148">
        <f t="shared" si="1"/>
        <v>0.56410256410256421</v>
      </c>
      <c r="I6" s="149"/>
      <c r="J6" s="150"/>
      <c r="K6" s="151" t="str">
        <f>A6</f>
        <v>APP 21-22</v>
      </c>
      <c r="L6" s="146">
        <v>61.5</v>
      </c>
      <c r="M6" s="147">
        <v>4.8</v>
      </c>
      <c r="N6" s="147">
        <v>3</v>
      </c>
      <c r="O6" s="147">
        <v>7</v>
      </c>
      <c r="P6" s="147">
        <v>40</v>
      </c>
      <c r="Q6" s="147">
        <f t="shared" ref="Q6" si="13">IF(M6&gt;0,+N6+M6,"")</f>
        <v>7.8</v>
      </c>
      <c r="R6" s="148">
        <f t="shared" ref="R6" si="14">IF(M6&gt;0,+N6/M6,"")</f>
        <v>0.625</v>
      </c>
      <c r="S6" s="149"/>
      <c r="T6" s="152"/>
      <c r="U6" s="151" t="str">
        <f>A6</f>
        <v>APP 21-22</v>
      </c>
      <c r="V6" s="146">
        <v>62.5</v>
      </c>
      <c r="W6" s="147">
        <v>3</v>
      </c>
      <c r="X6" s="147">
        <v>2.2000000000000002</v>
      </c>
      <c r="Y6" s="147">
        <v>10</v>
      </c>
      <c r="Z6" s="147">
        <v>10</v>
      </c>
      <c r="AA6" s="147">
        <f t="shared" si="2"/>
        <v>5.2</v>
      </c>
      <c r="AB6" s="148">
        <f t="shared" si="3"/>
        <v>0.73333333333333339</v>
      </c>
      <c r="AC6" s="149"/>
      <c r="AD6" s="153"/>
      <c r="AE6" s="151" t="str">
        <f t="shared" si="4"/>
        <v>APP 21-22</v>
      </c>
      <c r="AF6" s="147">
        <v>62.1</v>
      </c>
      <c r="AG6" s="147">
        <v>3.5</v>
      </c>
      <c r="AH6" s="147">
        <v>2.5</v>
      </c>
      <c r="AI6" s="147">
        <v>7</v>
      </c>
      <c r="AJ6" s="147">
        <v>40</v>
      </c>
      <c r="AK6" s="147">
        <f t="shared" si="5"/>
        <v>6</v>
      </c>
      <c r="AL6" s="154">
        <f t="shared" si="6"/>
        <v>0.7142857142857143</v>
      </c>
      <c r="AM6" s="155"/>
      <c r="AN6" s="152"/>
      <c r="AO6" s="151" t="str">
        <f t="shared" si="7"/>
        <v>APP 21-22</v>
      </c>
      <c r="AP6" s="146">
        <v>62</v>
      </c>
      <c r="AQ6" s="147">
        <v>4.2</v>
      </c>
      <c r="AR6" s="147">
        <v>2.4</v>
      </c>
      <c r="AS6" s="147">
        <v>10</v>
      </c>
      <c r="AT6" s="147">
        <v>10</v>
      </c>
      <c r="AU6" s="147">
        <f t="shared" si="8"/>
        <v>6.6</v>
      </c>
      <c r="AV6" s="148">
        <f t="shared" si="9"/>
        <v>0.5714285714285714</v>
      </c>
      <c r="AW6" s="155"/>
      <c r="AX6" s="152"/>
      <c r="AY6" s="156" t="str">
        <f t="shared" si="10"/>
        <v>APP 21-22</v>
      </c>
      <c r="AZ6" s="146">
        <v>61</v>
      </c>
      <c r="BA6" s="147">
        <v>5</v>
      </c>
      <c r="BB6" s="147">
        <v>3</v>
      </c>
      <c r="BC6" s="147">
        <v>7</v>
      </c>
      <c r="BD6" s="147">
        <v>40</v>
      </c>
      <c r="BE6" s="147">
        <f t="shared" si="11"/>
        <v>8</v>
      </c>
      <c r="BF6" s="148">
        <f t="shared" si="12"/>
        <v>0.6</v>
      </c>
      <c r="BG6" s="157"/>
    </row>
    <row r="7" spans="1:59" ht="21" x14ac:dyDescent="0.25">
      <c r="A7" s="166">
        <v>44287</v>
      </c>
      <c r="B7" s="167"/>
      <c r="C7" s="168"/>
      <c r="D7" s="168"/>
      <c r="E7" s="168"/>
      <c r="F7" s="168"/>
      <c r="G7" s="168" t="str">
        <f t="shared" si="0"/>
        <v/>
      </c>
      <c r="H7" s="169" t="str">
        <f t="shared" si="1"/>
        <v/>
      </c>
      <c r="I7" s="170">
        <f>IF(D7&gt;0,IFERROR(GETPIVOTDATA("act_qty",RECPT!$A$83,"yymm","202104","unit","KRB","comm","L"),0),)</f>
        <v>0</v>
      </c>
      <c r="J7" s="119"/>
      <c r="K7" s="166">
        <f>A7</f>
        <v>44287</v>
      </c>
      <c r="L7" s="167">
        <v>60.76</v>
      </c>
      <c r="M7" s="168">
        <v>4.5</v>
      </c>
      <c r="N7" s="168">
        <v>3.29</v>
      </c>
      <c r="O7" s="168">
        <v>9.66</v>
      </c>
      <c r="P7" s="168">
        <v>55.24</v>
      </c>
      <c r="Q7" s="168">
        <f t="shared" ref="Q7:Q19" si="15">IF(M7&gt;0,+N7+M7,"")</f>
        <v>7.79</v>
      </c>
      <c r="R7" s="169">
        <f t="shared" ref="R7:R19" si="16">IF(M7&gt;0,+N7/M7,"")</f>
        <v>0.73111111111111116</v>
      </c>
      <c r="S7" s="170">
        <f>IF(N7&gt;0,IFERROR(GETPIVOTDATA("act_qty",RECPT!$A$83,"yymm","202104","unit","KRB","comm","F"),0),)</f>
        <v>96739</v>
      </c>
      <c r="T7" s="104"/>
      <c r="U7" s="166">
        <f>A7</f>
        <v>44287</v>
      </c>
      <c r="V7" s="167"/>
      <c r="W7" s="168"/>
      <c r="X7" s="168"/>
      <c r="Y7" s="168"/>
      <c r="Z7" s="168"/>
      <c r="AA7" s="168" t="str">
        <f t="shared" si="2"/>
        <v/>
      </c>
      <c r="AB7" s="169" t="str">
        <f t="shared" si="3"/>
        <v/>
      </c>
      <c r="AC7" s="170">
        <f>IF(X7&gt;0,IFERROR(GETPIVOTDATA("act_qty",RECPT!$A$83,"yymm","202104","unit","BOL","comm","L"),0),)</f>
        <v>0</v>
      </c>
      <c r="AD7" s="171"/>
      <c r="AE7" s="172">
        <f t="shared" si="4"/>
        <v>44287</v>
      </c>
      <c r="AF7" s="167"/>
      <c r="AG7" s="168"/>
      <c r="AH7" s="168"/>
      <c r="AI7" s="168"/>
      <c r="AJ7" s="168"/>
      <c r="AK7" s="168" t="str">
        <f t="shared" si="5"/>
        <v/>
      </c>
      <c r="AL7" s="169" t="str">
        <f t="shared" si="6"/>
        <v/>
      </c>
      <c r="AM7" s="170">
        <f>IF(AH7&gt;0,IFERROR(GETPIVOTDATA("act_qty",RECPT!$A$83,"yymm","202104","unit","BOL","comm","F"),0),)</f>
        <v>0</v>
      </c>
      <c r="AN7" s="104"/>
      <c r="AO7" s="172">
        <f t="shared" si="7"/>
        <v>44287</v>
      </c>
      <c r="AP7" s="167"/>
      <c r="AQ7" s="168"/>
      <c r="AR7" s="168"/>
      <c r="AS7" s="168"/>
      <c r="AT7" s="168"/>
      <c r="AU7" s="168" t="str">
        <f t="shared" si="8"/>
        <v/>
      </c>
      <c r="AV7" s="169" t="str">
        <f t="shared" si="9"/>
        <v/>
      </c>
      <c r="AW7" s="170">
        <f>IF(AR7&gt;0,IFERROR(GETPIVOTDATA("act_qty",RECPT!$A$83,"yymm","202104","unit","MBR","comm","L"),0),)</f>
        <v>0</v>
      </c>
      <c r="AX7" s="104"/>
      <c r="AY7" s="172">
        <f t="shared" si="10"/>
        <v>44287</v>
      </c>
      <c r="AZ7" s="167"/>
      <c r="BA7" s="168"/>
      <c r="BB7" s="168"/>
      <c r="BC7" s="168"/>
      <c r="BD7" s="168"/>
      <c r="BE7" s="168" t="str">
        <f t="shared" si="11"/>
        <v/>
      </c>
      <c r="BF7" s="169" t="str">
        <f t="shared" si="12"/>
        <v/>
      </c>
      <c r="BG7" s="170">
        <f>IF(BB7&gt;0,IFERROR(GETPIVOTDATA("act_qty",RECPT!$A$83,"yymm","202104","unit","MBR","comm","F"),0),)</f>
        <v>0</v>
      </c>
    </row>
    <row r="8" spans="1:59" ht="21" x14ac:dyDescent="0.25">
      <c r="A8" s="166">
        <v>44317</v>
      </c>
      <c r="B8" s="167"/>
      <c r="C8" s="168"/>
      <c r="D8" s="168"/>
      <c r="E8" s="168"/>
      <c r="F8" s="168"/>
      <c r="G8" s="168" t="str">
        <f t="shared" si="0"/>
        <v/>
      </c>
      <c r="H8" s="169" t="str">
        <f t="shared" si="1"/>
        <v/>
      </c>
      <c r="I8" s="170">
        <f>IF(D8&gt;0,IFERROR(GETPIVOTDATA("act_qty",RECPT!$A$83,"yymm","202105","unit","KRB","comm","L"),0),)</f>
        <v>0</v>
      </c>
      <c r="J8" s="119"/>
      <c r="K8" s="166">
        <f t="shared" ref="K8:K18" si="17">A8</f>
        <v>44317</v>
      </c>
      <c r="L8" s="167">
        <v>62.3</v>
      </c>
      <c r="M8" s="168">
        <v>3.79</v>
      </c>
      <c r="N8" s="168">
        <v>2.48</v>
      </c>
      <c r="O8" s="168">
        <v>7.3</v>
      </c>
      <c r="P8" s="168">
        <v>45.6</v>
      </c>
      <c r="Q8" s="168">
        <f t="shared" si="15"/>
        <v>6.27</v>
      </c>
      <c r="R8" s="169">
        <f t="shared" si="16"/>
        <v>0.65435356200527706</v>
      </c>
      <c r="S8" s="170">
        <f>IF(N8&gt;0,IFERROR(GETPIVOTDATA("act_qty",RECPT!$A$83,"yymm","202105","unit","KRB","comm","F"),0),)</f>
        <v>93978</v>
      </c>
      <c r="T8" s="104"/>
      <c r="U8" s="166">
        <f t="shared" ref="U8:U18" si="18">A8</f>
        <v>44317</v>
      </c>
      <c r="V8" s="167"/>
      <c r="W8" s="168"/>
      <c r="X8" s="168"/>
      <c r="Y8" s="168"/>
      <c r="Z8" s="168"/>
      <c r="AA8" s="168" t="str">
        <f t="shared" si="2"/>
        <v/>
      </c>
      <c r="AB8" s="169" t="str">
        <f t="shared" si="3"/>
        <v/>
      </c>
      <c r="AC8" s="170">
        <f>IF(X8&gt;0,IFERROR(GETPIVOTDATA("act_qty",RECPT!$A$83,"yymm","202105","unit","BOL","comm","L"),0),)</f>
        <v>0</v>
      </c>
      <c r="AD8" s="171"/>
      <c r="AE8" s="172">
        <f t="shared" si="4"/>
        <v>44317</v>
      </c>
      <c r="AF8" s="167"/>
      <c r="AG8" s="168"/>
      <c r="AH8" s="168"/>
      <c r="AI8" s="168"/>
      <c r="AJ8" s="168"/>
      <c r="AK8" s="168" t="str">
        <f t="shared" si="5"/>
        <v/>
      </c>
      <c r="AL8" s="169" t="str">
        <f t="shared" si="6"/>
        <v/>
      </c>
      <c r="AM8" s="170">
        <f>IF(AH8&gt;0,IFERROR(GETPIVOTDATA("act_qty",RECPT!$A$83,"yymm","202105","unit","BOL","comm","F"),0),)</f>
        <v>0</v>
      </c>
      <c r="AN8" s="104"/>
      <c r="AO8" s="172">
        <f t="shared" si="7"/>
        <v>44317</v>
      </c>
      <c r="AP8" s="167"/>
      <c r="AQ8" s="168"/>
      <c r="AR8" s="168"/>
      <c r="AS8" s="168"/>
      <c r="AT8" s="168"/>
      <c r="AU8" s="168" t="str">
        <f t="shared" si="8"/>
        <v/>
      </c>
      <c r="AV8" s="169" t="str">
        <f t="shared" si="9"/>
        <v/>
      </c>
      <c r="AW8" s="170">
        <f>IF(AR8&gt;0,IFERROR(GETPIVOTDATA("act_qty",RECPT!$A$83,"yymm","202105","unit","MBR","comm","L"),0),)</f>
        <v>0</v>
      </c>
      <c r="AX8" s="104"/>
      <c r="AY8" s="172">
        <f t="shared" si="10"/>
        <v>44317</v>
      </c>
      <c r="AZ8" s="167"/>
      <c r="BA8" s="168"/>
      <c r="BB8" s="168"/>
      <c r="BC8" s="168"/>
      <c r="BD8" s="168"/>
      <c r="BE8" s="168" t="str">
        <f t="shared" si="11"/>
        <v/>
      </c>
      <c r="BF8" s="169" t="str">
        <f t="shared" si="12"/>
        <v/>
      </c>
      <c r="BG8" s="170">
        <f>IF(BB8&gt;0,IFERROR(GETPIVOTDATA("act_qty",RECPT!$A$83,"yymm","202105","unit","MBR","comm","F"),0),)</f>
        <v>0</v>
      </c>
    </row>
    <row r="9" spans="1:59" ht="21" x14ac:dyDescent="0.25">
      <c r="A9" s="166">
        <v>44348</v>
      </c>
      <c r="B9" s="167"/>
      <c r="C9" s="168"/>
      <c r="D9" s="168"/>
      <c r="E9" s="168"/>
      <c r="F9" s="168"/>
      <c r="G9" s="168" t="str">
        <f t="shared" si="0"/>
        <v/>
      </c>
      <c r="H9" s="169" t="str">
        <f t="shared" si="1"/>
        <v/>
      </c>
      <c r="I9" s="170">
        <f>IF(D9&gt;0,IFERROR(GETPIVOTDATA("act_qty",RECPT!$A$83,"yymm","202106","unit","KRB","comm","L"),0),)</f>
        <v>0</v>
      </c>
      <c r="J9" s="119"/>
      <c r="K9" s="166">
        <f t="shared" si="17"/>
        <v>44348</v>
      </c>
      <c r="L9" s="167">
        <v>60.17</v>
      </c>
      <c r="M9" s="168">
        <v>8.4</v>
      </c>
      <c r="N9" s="168">
        <v>2.0499999999999998</v>
      </c>
      <c r="O9" s="168">
        <v>7.4</v>
      </c>
      <c r="P9" s="168">
        <v>46.5</v>
      </c>
      <c r="Q9" s="168">
        <f t="shared" si="15"/>
        <v>10.45</v>
      </c>
      <c r="R9" s="169">
        <f t="shared" si="16"/>
        <v>0.24404761904761901</v>
      </c>
      <c r="S9" s="170">
        <f>IF(N9&gt;0,IFERROR(GETPIVOTDATA("act_qty",RECPT!$A$83,"yymm","202106","unit","KRB","comm","F"),0),)</f>
        <v>77336</v>
      </c>
      <c r="T9" s="104"/>
      <c r="U9" s="166">
        <f t="shared" si="18"/>
        <v>44348</v>
      </c>
      <c r="V9" s="167"/>
      <c r="W9" s="168"/>
      <c r="X9" s="168"/>
      <c r="Y9" s="168"/>
      <c r="Z9" s="168"/>
      <c r="AA9" s="168" t="str">
        <f t="shared" si="2"/>
        <v/>
      </c>
      <c r="AB9" s="169" t="str">
        <f t="shared" si="3"/>
        <v/>
      </c>
      <c r="AC9" s="170">
        <f>IF(X9&gt;0,IFERROR(GETPIVOTDATA("act_qty",RECPT!$A$83,"yymm","202106","unit","BOL","comm","L"),0),)</f>
        <v>0</v>
      </c>
      <c r="AD9" s="171"/>
      <c r="AE9" s="172">
        <f t="shared" si="4"/>
        <v>44348</v>
      </c>
      <c r="AF9" s="167"/>
      <c r="AG9" s="168"/>
      <c r="AH9" s="168"/>
      <c r="AI9" s="168"/>
      <c r="AJ9" s="168"/>
      <c r="AK9" s="168" t="str">
        <f t="shared" si="5"/>
        <v/>
      </c>
      <c r="AL9" s="169" t="str">
        <f t="shared" si="6"/>
        <v/>
      </c>
      <c r="AM9" s="170">
        <f>IF(AH9&gt;0,IFERROR(GETPIVOTDATA("act_qty",RECPT!$A$83,"yymm","202106","unit","BOL","comm","F"),0),)</f>
        <v>0</v>
      </c>
      <c r="AN9" s="104"/>
      <c r="AO9" s="172">
        <f t="shared" si="7"/>
        <v>44348</v>
      </c>
      <c r="AP9" s="167"/>
      <c r="AQ9" s="168"/>
      <c r="AR9" s="168"/>
      <c r="AS9" s="168"/>
      <c r="AT9" s="168"/>
      <c r="AU9" s="168" t="str">
        <f t="shared" si="8"/>
        <v/>
      </c>
      <c r="AV9" s="169" t="str">
        <f t="shared" si="9"/>
        <v/>
      </c>
      <c r="AW9" s="170">
        <f>IF(AR9&gt;0,IFERROR(GETPIVOTDATA("act_qty",RECPT!$A$83,"yymm","202106","unit","MBR","comm","L"),0),)</f>
        <v>0</v>
      </c>
      <c r="AX9" s="104"/>
      <c r="AY9" s="172">
        <f t="shared" si="10"/>
        <v>44348</v>
      </c>
      <c r="AZ9" s="167"/>
      <c r="BA9" s="168"/>
      <c r="BB9" s="168"/>
      <c r="BC9" s="168"/>
      <c r="BD9" s="168"/>
      <c r="BE9" s="168" t="str">
        <f t="shared" si="11"/>
        <v/>
      </c>
      <c r="BF9" s="169" t="str">
        <f t="shared" si="12"/>
        <v/>
      </c>
      <c r="BG9" s="170">
        <f>IF(BB9&gt;0,IFERROR(GETPIVOTDATA("act_qty",RECPT!$A$83,"yymm","202106","unit","MBR","comm","F"),0),)</f>
        <v>0</v>
      </c>
    </row>
    <row r="10" spans="1:59" ht="21" x14ac:dyDescent="0.25">
      <c r="A10" s="166">
        <v>44378</v>
      </c>
      <c r="B10" s="167"/>
      <c r="C10" s="168"/>
      <c r="D10" s="168"/>
      <c r="E10" s="168"/>
      <c r="F10" s="168"/>
      <c r="G10" s="168" t="str">
        <f t="shared" si="0"/>
        <v/>
      </c>
      <c r="H10" s="169" t="str">
        <f t="shared" si="1"/>
        <v/>
      </c>
      <c r="I10" s="170">
        <f>IF(D10&gt;0,IFERROR(GETPIVOTDATA("act_qty",RECPT!$A$83,"yymm","202107","unit","KRB","comm","L"),0),)</f>
        <v>0</v>
      </c>
      <c r="J10" s="119"/>
      <c r="K10" s="166">
        <f t="shared" si="17"/>
        <v>44378</v>
      </c>
      <c r="L10" s="167">
        <v>61.66</v>
      </c>
      <c r="M10" s="168">
        <v>6.3</v>
      </c>
      <c r="N10" s="168">
        <v>1.66</v>
      </c>
      <c r="O10" s="168">
        <v>5.5</v>
      </c>
      <c r="P10" s="168">
        <v>47.4</v>
      </c>
      <c r="Q10" s="168">
        <f t="shared" si="15"/>
        <v>7.96</v>
      </c>
      <c r="R10" s="169">
        <f t="shared" si="16"/>
        <v>0.2634920634920635</v>
      </c>
      <c r="S10" s="170">
        <f>IF(N10&gt;0,IFERROR(GETPIVOTDATA("act_qty",RECPT!$A$83,"yymm","202107","unit","KRB","comm","F"),0),)</f>
        <v>105977</v>
      </c>
      <c r="T10" s="104"/>
      <c r="U10" s="166">
        <f t="shared" si="18"/>
        <v>44378</v>
      </c>
      <c r="V10" s="167"/>
      <c r="W10" s="168"/>
      <c r="X10" s="168"/>
      <c r="Y10" s="168"/>
      <c r="Z10" s="168"/>
      <c r="AA10" s="168" t="str">
        <f t="shared" si="2"/>
        <v/>
      </c>
      <c r="AB10" s="169" t="str">
        <f t="shared" si="3"/>
        <v/>
      </c>
      <c r="AC10" s="170">
        <f>IF(X10&gt;0,IFERROR(GETPIVOTDATA("act_qty",RECPT!$A$83,"yymm","202107","unit","BOL","comm","L"),0),)</f>
        <v>0</v>
      </c>
      <c r="AD10" s="171"/>
      <c r="AE10" s="172">
        <f t="shared" si="4"/>
        <v>44378</v>
      </c>
      <c r="AF10" s="167"/>
      <c r="AG10" s="168"/>
      <c r="AH10" s="168"/>
      <c r="AI10" s="168"/>
      <c r="AJ10" s="168"/>
      <c r="AK10" s="168" t="str">
        <f t="shared" si="5"/>
        <v/>
      </c>
      <c r="AL10" s="169" t="str">
        <f t="shared" si="6"/>
        <v/>
      </c>
      <c r="AM10" s="170">
        <f>IF(AH10&gt;0,IFERROR(GETPIVOTDATA("act_qty",RECPT!$A$83,"yymm","202107","unit","BOL","comm","F"),0),)</f>
        <v>0</v>
      </c>
      <c r="AN10" s="104"/>
      <c r="AO10" s="172">
        <f t="shared" si="7"/>
        <v>44378</v>
      </c>
      <c r="AP10" s="167"/>
      <c r="AQ10" s="168"/>
      <c r="AR10" s="168"/>
      <c r="AS10" s="168"/>
      <c r="AT10" s="168"/>
      <c r="AU10" s="168" t="str">
        <f t="shared" si="8"/>
        <v/>
      </c>
      <c r="AV10" s="169" t="str">
        <f t="shared" si="9"/>
        <v/>
      </c>
      <c r="AW10" s="170">
        <f>IF(AR10&gt;0,IFERROR(GETPIVOTDATA("act_qty",RECPT!$A$83,"yymm","202107","unit","MBR","comm","L"),0),)</f>
        <v>0</v>
      </c>
      <c r="AX10" s="104"/>
      <c r="AY10" s="172">
        <f t="shared" si="10"/>
        <v>44378</v>
      </c>
      <c r="AZ10" s="167"/>
      <c r="BA10" s="168"/>
      <c r="BB10" s="168"/>
      <c r="BC10" s="168"/>
      <c r="BD10" s="168"/>
      <c r="BE10" s="168" t="str">
        <f t="shared" si="11"/>
        <v/>
      </c>
      <c r="BF10" s="169" t="str">
        <f t="shared" si="12"/>
        <v/>
      </c>
      <c r="BG10" s="170">
        <f>IF(BB10&gt;0,IFERROR(GETPIVOTDATA("act_qty",RECPT!$A$83,"yymm","202107","unit","MBR","comm","F"),0),)</f>
        <v>0</v>
      </c>
    </row>
    <row r="11" spans="1:59" ht="21" x14ac:dyDescent="0.25">
      <c r="A11" s="166">
        <v>44409</v>
      </c>
      <c r="B11" s="167"/>
      <c r="C11" s="168"/>
      <c r="D11" s="168"/>
      <c r="E11" s="168"/>
      <c r="F11" s="168"/>
      <c r="G11" s="168" t="str">
        <f t="shared" si="0"/>
        <v/>
      </c>
      <c r="H11" s="169" t="str">
        <f t="shared" si="1"/>
        <v/>
      </c>
      <c r="I11" s="170">
        <f>IF(D11&gt;0,IFERROR(GETPIVOTDATA("act_qty",RECPT!$A$83,"yymm","202108","unit","KRB","comm","L"),0),)</f>
        <v>0</v>
      </c>
      <c r="J11" s="119"/>
      <c r="K11" s="166">
        <f t="shared" si="17"/>
        <v>44409</v>
      </c>
      <c r="L11" s="167">
        <v>61.83</v>
      </c>
      <c r="M11" s="168">
        <v>5.93</v>
      </c>
      <c r="N11" s="168">
        <v>1.9</v>
      </c>
      <c r="O11" s="168">
        <v>7.4</v>
      </c>
      <c r="P11" s="168">
        <v>41.7</v>
      </c>
      <c r="Q11" s="168">
        <f t="shared" si="15"/>
        <v>7.83</v>
      </c>
      <c r="R11" s="169">
        <f t="shared" si="16"/>
        <v>0.32040472175379425</v>
      </c>
      <c r="S11" s="170">
        <f>IF(N11&gt;0,IFERROR(GETPIVOTDATA("act_qty",RECPT!$A$83,"yymm","202108","unit","KRB","comm","F"),0),)</f>
        <v>90346</v>
      </c>
      <c r="T11" s="104"/>
      <c r="U11" s="166">
        <f t="shared" si="18"/>
        <v>44409</v>
      </c>
      <c r="V11" s="167"/>
      <c r="W11" s="168"/>
      <c r="X11" s="168"/>
      <c r="Y11" s="168"/>
      <c r="Z11" s="168"/>
      <c r="AA11" s="168" t="str">
        <f t="shared" si="2"/>
        <v/>
      </c>
      <c r="AB11" s="169" t="str">
        <f t="shared" si="3"/>
        <v/>
      </c>
      <c r="AC11" s="170">
        <f>IF(X11&gt;0,IFERROR(GETPIVOTDATA("act_qty",RECPT!$A$83,"yymm","202108","unit","BOL","comm","L"),0),)</f>
        <v>0</v>
      </c>
      <c r="AD11" s="171"/>
      <c r="AE11" s="172">
        <f t="shared" si="4"/>
        <v>44409</v>
      </c>
      <c r="AF11" s="167"/>
      <c r="AG11" s="168"/>
      <c r="AH11" s="168"/>
      <c r="AI11" s="168"/>
      <c r="AJ11" s="168"/>
      <c r="AK11" s="168" t="str">
        <f t="shared" si="5"/>
        <v/>
      </c>
      <c r="AL11" s="169" t="str">
        <f t="shared" si="6"/>
        <v/>
      </c>
      <c r="AM11" s="170">
        <f>IF(AH11&gt;0,IFERROR(GETPIVOTDATA("act_qty",RECPT!$A$83,"yymm","202108","unit","BOL","comm","F"),0),)</f>
        <v>0</v>
      </c>
      <c r="AN11" s="104"/>
      <c r="AO11" s="172">
        <f t="shared" si="7"/>
        <v>44409</v>
      </c>
      <c r="AP11" s="167"/>
      <c r="AQ11" s="168"/>
      <c r="AR11" s="168"/>
      <c r="AS11" s="168"/>
      <c r="AT11" s="168"/>
      <c r="AU11" s="168" t="str">
        <f t="shared" si="8"/>
        <v/>
      </c>
      <c r="AV11" s="169" t="str">
        <f t="shared" si="9"/>
        <v/>
      </c>
      <c r="AW11" s="170">
        <f>IF(AR11&gt;0,IFERROR(GETPIVOTDATA("act_qty",RECPT!$A$83,"yymm","202108","unit","MBR","comm","L"),0),)</f>
        <v>0</v>
      </c>
      <c r="AX11" s="104"/>
      <c r="AY11" s="172">
        <f t="shared" si="10"/>
        <v>44409</v>
      </c>
      <c r="AZ11" s="167"/>
      <c r="BA11" s="168"/>
      <c r="BB11" s="168"/>
      <c r="BC11" s="168"/>
      <c r="BD11" s="168"/>
      <c r="BE11" s="168" t="str">
        <f t="shared" si="11"/>
        <v/>
      </c>
      <c r="BF11" s="169" t="str">
        <f t="shared" si="12"/>
        <v/>
      </c>
      <c r="BG11" s="170">
        <f>IF(BB11&gt;0,IFERROR(GETPIVOTDATA("act_qty",RECPT!$A$83,"yymm","202108","unit","MBR","comm","F"),0),)</f>
        <v>0</v>
      </c>
    </row>
    <row r="12" spans="1:59" ht="21" x14ac:dyDescent="0.25">
      <c r="A12" s="166">
        <v>44440</v>
      </c>
      <c r="B12" s="167">
        <v>0</v>
      </c>
      <c r="C12" s="168">
        <v>0</v>
      </c>
      <c r="D12" s="168">
        <v>0</v>
      </c>
      <c r="E12" s="168">
        <v>0</v>
      </c>
      <c r="F12" s="168">
        <v>0</v>
      </c>
      <c r="G12" s="168" t="str">
        <f t="shared" si="0"/>
        <v/>
      </c>
      <c r="H12" s="169" t="str">
        <f t="shared" si="1"/>
        <v/>
      </c>
      <c r="I12" s="170">
        <f>IF(D12&gt;0,IFERROR(GETPIVOTDATA("act_qty",RECPT!$A$83,"yymm","202109","unit","KRB","comm","L"),0),)</f>
        <v>0</v>
      </c>
      <c r="J12" s="119"/>
      <c r="K12" s="166">
        <f t="shared" si="17"/>
        <v>44440</v>
      </c>
      <c r="L12" s="167">
        <v>60.51</v>
      </c>
      <c r="M12" s="168">
        <v>8.2799999999999994</v>
      </c>
      <c r="N12" s="168">
        <v>1.8</v>
      </c>
      <c r="O12" s="168">
        <v>12.62</v>
      </c>
      <c r="P12" s="168">
        <v>44.3</v>
      </c>
      <c r="Q12" s="168">
        <f t="shared" si="15"/>
        <v>10.08</v>
      </c>
      <c r="R12" s="169">
        <f t="shared" si="16"/>
        <v>0.21739130434782611</v>
      </c>
      <c r="S12" s="170">
        <f>IF(N12&gt;0,IFERROR(GETPIVOTDATA("act_qty",RECPT!$A$83,"yymm","202109","unit","KRB","comm","F"),0),)</f>
        <v>98047</v>
      </c>
      <c r="T12" s="104"/>
      <c r="U12" s="166">
        <f t="shared" si="18"/>
        <v>44440</v>
      </c>
      <c r="V12" s="167"/>
      <c r="W12" s="168"/>
      <c r="X12" s="168"/>
      <c r="Y12" s="168"/>
      <c r="Z12" s="168"/>
      <c r="AA12" s="168" t="str">
        <f t="shared" si="2"/>
        <v/>
      </c>
      <c r="AB12" s="169" t="str">
        <f t="shared" si="3"/>
        <v/>
      </c>
      <c r="AC12" s="170">
        <f>IF(X12&gt;0,IFERROR(GETPIVOTDATA("act_qty",RECPT!$A$83,"yymm","202109","unit","BOL","comm","L"),0),)</f>
        <v>0</v>
      </c>
      <c r="AD12" s="171"/>
      <c r="AE12" s="172">
        <f t="shared" si="4"/>
        <v>44440</v>
      </c>
      <c r="AF12" s="167"/>
      <c r="AG12" s="168"/>
      <c r="AH12" s="168"/>
      <c r="AI12" s="168"/>
      <c r="AJ12" s="168"/>
      <c r="AK12" s="168" t="str">
        <f t="shared" si="5"/>
        <v/>
      </c>
      <c r="AL12" s="169" t="str">
        <f t="shared" si="6"/>
        <v/>
      </c>
      <c r="AM12" s="170">
        <f>IF(AH12&gt;0,IFERROR(GETPIVOTDATA("act_qty",RECPT!$A$83,"yymm","202109","unit","BOL","comm","F"),0),)</f>
        <v>0</v>
      </c>
      <c r="AN12" s="104"/>
      <c r="AO12" s="172">
        <f t="shared" si="7"/>
        <v>44440</v>
      </c>
      <c r="AP12" s="167"/>
      <c r="AQ12" s="168"/>
      <c r="AR12" s="168"/>
      <c r="AS12" s="168"/>
      <c r="AT12" s="168"/>
      <c r="AU12" s="168" t="str">
        <f t="shared" si="8"/>
        <v/>
      </c>
      <c r="AV12" s="169" t="str">
        <f t="shared" si="9"/>
        <v/>
      </c>
      <c r="AW12" s="170">
        <f>IF(AR12&gt;0,IFERROR(GETPIVOTDATA("act_qty",RECPT!$A$83,"yymm","202109","unit","MBR","comm","L"),0),)</f>
        <v>0</v>
      </c>
      <c r="AX12" s="104"/>
      <c r="AY12" s="172">
        <f t="shared" si="10"/>
        <v>44440</v>
      </c>
      <c r="AZ12" s="167"/>
      <c r="BA12" s="168"/>
      <c r="BB12" s="168"/>
      <c r="BC12" s="168"/>
      <c r="BD12" s="168"/>
      <c r="BE12" s="168" t="str">
        <f t="shared" si="11"/>
        <v/>
      </c>
      <c r="BF12" s="169" t="str">
        <f t="shared" si="12"/>
        <v/>
      </c>
      <c r="BG12" s="170">
        <f>IF(BB12&gt;0,IFERROR(GETPIVOTDATA("act_qty",RECPT!$A$83,"yymm","202109","unit","MBR","comm","F"),0),)</f>
        <v>0</v>
      </c>
    </row>
    <row r="13" spans="1:59" ht="21" x14ac:dyDescent="0.25">
      <c r="A13" s="166">
        <v>44470</v>
      </c>
      <c r="B13" s="167">
        <v>0</v>
      </c>
      <c r="C13" s="168">
        <v>0</v>
      </c>
      <c r="D13" s="168">
        <v>0</v>
      </c>
      <c r="E13" s="168">
        <v>0</v>
      </c>
      <c r="F13" s="168">
        <v>0</v>
      </c>
      <c r="G13" s="168" t="str">
        <f t="shared" si="0"/>
        <v/>
      </c>
      <c r="H13" s="169" t="str">
        <f t="shared" si="1"/>
        <v/>
      </c>
      <c r="I13" s="170">
        <f>IF(D13&gt;0,IFERROR(GETPIVOTDATA("act_qty",RECPT!$A$83,"yymm","202110","unit","KRB","comm","L"),0),)</f>
        <v>0</v>
      </c>
      <c r="J13" s="119"/>
      <c r="K13" s="166">
        <f t="shared" si="17"/>
        <v>44470</v>
      </c>
      <c r="L13" s="167">
        <v>60.53</v>
      </c>
      <c r="M13" s="168">
        <v>7.93</v>
      </c>
      <c r="N13" s="168">
        <v>2.0699999999999998</v>
      </c>
      <c r="O13" s="168">
        <v>6.35</v>
      </c>
      <c r="P13" s="168">
        <v>44.4</v>
      </c>
      <c r="Q13" s="168">
        <f t="shared" si="15"/>
        <v>10</v>
      </c>
      <c r="R13" s="169">
        <f t="shared" si="16"/>
        <v>0.2610340479192938</v>
      </c>
      <c r="S13" s="170">
        <f>IF(N13&gt;0,IFERROR(GETPIVOTDATA("act_qty",RECPT!$A$83,"yymm","202110","unit","KRB","comm","F"),0),)</f>
        <v>97555.5</v>
      </c>
      <c r="T13" s="104"/>
      <c r="U13" s="166">
        <f t="shared" si="18"/>
        <v>44470</v>
      </c>
      <c r="V13" s="167"/>
      <c r="W13" s="168"/>
      <c r="X13" s="168"/>
      <c r="Y13" s="168"/>
      <c r="Z13" s="168"/>
      <c r="AA13" s="168" t="str">
        <f t="shared" si="2"/>
        <v/>
      </c>
      <c r="AB13" s="169" t="str">
        <f t="shared" si="3"/>
        <v/>
      </c>
      <c r="AC13" s="170">
        <f>IF(X13&gt;0,IFERROR(GETPIVOTDATA("act_qty",RECPT!$A$83,"yymm","202110","unit","BOL","comm","L"),0),)</f>
        <v>0</v>
      </c>
      <c r="AD13" s="119"/>
      <c r="AE13" s="172">
        <f t="shared" si="4"/>
        <v>44470</v>
      </c>
      <c r="AF13" s="167"/>
      <c r="AG13" s="168"/>
      <c r="AH13" s="168"/>
      <c r="AI13" s="168"/>
      <c r="AJ13" s="168"/>
      <c r="AK13" s="168" t="str">
        <f t="shared" si="5"/>
        <v/>
      </c>
      <c r="AL13" s="169" t="str">
        <f t="shared" si="6"/>
        <v/>
      </c>
      <c r="AM13" s="170">
        <f>IF(AH13&gt;0,IFERROR(GETPIVOTDATA("act_qty",RECPT!$A$83,"yymm","202110","unit","BOL","comm","F"),0),)</f>
        <v>0</v>
      </c>
      <c r="AN13" s="104"/>
      <c r="AO13" s="172">
        <f t="shared" si="7"/>
        <v>44470</v>
      </c>
      <c r="AP13" s="167"/>
      <c r="AQ13" s="168"/>
      <c r="AR13" s="168"/>
      <c r="AS13" s="168"/>
      <c r="AT13" s="168"/>
      <c r="AU13" s="168" t="str">
        <f t="shared" si="8"/>
        <v/>
      </c>
      <c r="AV13" s="169" t="str">
        <f t="shared" si="9"/>
        <v/>
      </c>
      <c r="AW13" s="170">
        <f>IF(AR13&gt;0,IFERROR(GETPIVOTDATA("act_qty",RECPT!$A$83,"yymm","202110","unit","MBR","comm","L"),0),)</f>
        <v>0</v>
      </c>
      <c r="AX13" s="104"/>
      <c r="AY13" s="172">
        <f t="shared" si="10"/>
        <v>44470</v>
      </c>
      <c r="AZ13" s="167"/>
      <c r="BA13" s="168"/>
      <c r="BB13" s="168"/>
      <c r="BC13" s="168"/>
      <c r="BD13" s="168"/>
      <c r="BE13" s="168" t="str">
        <f t="shared" si="11"/>
        <v/>
      </c>
      <c r="BF13" s="169" t="str">
        <f t="shared" si="12"/>
        <v/>
      </c>
      <c r="BG13" s="170">
        <f>IF(BB13&gt;0,IFERROR(GETPIVOTDATA("act_qty",RECPT!$A$83,"yymm","202110","unit","MBR","comm","F"),0),)</f>
        <v>0</v>
      </c>
    </row>
    <row r="14" spans="1:59" ht="21" x14ac:dyDescent="0.25">
      <c r="A14" s="166">
        <v>44501</v>
      </c>
      <c r="B14" s="167">
        <v>0</v>
      </c>
      <c r="C14" s="168">
        <v>0</v>
      </c>
      <c r="D14" s="168">
        <v>0</v>
      </c>
      <c r="E14" s="168">
        <v>0</v>
      </c>
      <c r="F14" s="168">
        <v>0</v>
      </c>
      <c r="G14" s="168" t="str">
        <f t="shared" si="0"/>
        <v/>
      </c>
      <c r="H14" s="169" t="str">
        <f t="shared" si="1"/>
        <v/>
      </c>
      <c r="I14" s="170">
        <f>IF(D14&gt;0,IFERROR(GETPIVOTDATA("act_qty",RECPT!$A$83,"yymm","202111","unit","KRB","comm","L"),0),)</f>
        <v>0</v>
      </c>
      <c r="J14" s="119"/>
      <c r="K14" s="166">
        <f t="shared" si="17"/>
        <v>44501</v>
      </c>
      <c r="L14" s="167">
        <v>60.98</v>
      </c>
      <c r="M14" s="168">
        <v>7.01</v>
      </c>
      <c r="N14" s="168">
        <v>2.4900000000000002</v>
      </c>
      <c r="O14" s="168">
        <v>6.63</v>
      </c>
      <c r="P14" s="168">
        <v>49.67</v>
      </c>
      <c r="Q14" s="168">
        <f t="shared" si="15"/>
        <v>9.5</v>
      </c>
      <c r="R14" s="169">
        <f t="shared" si="16"/>
        <v>0.35520684736091301</v>
      </c>
      <c r="S14" s="170">
        <f>IF(N14&gt;0,IFERROR(GETPIVOTDATA("act_qty",RECPT!$A$83,"yymm","202111","unit","KRB","comm","F"),0),)</f>
        <v>51900.3</v>
      </c>
      <c r="T14" s="104"/>
      <c r="U14" s="166">
        <f t="shared" si="18"/>
        <v>44501</v>
      </c>
      <c r="V14" s="167"/>
      <c r="W14" s="168"/>
      <c r="X14" s="168"/>
      <c r="Y14" s="168"/>
      <c r="Z14" s="168"/>
      <c r="AA14" s="168" t="str">
        <f t="shared" si="2"/>
        <v/>
      </c>
      <c r="AB14" s="169" t="str">
        <f t="shared" si="3"/>
        <v/>
      </c>
      <c r="AC14" s="170">
        <f>IF(X14&gt;0,IFERROR(GETPIVOTDATA("act_qty",RECPT!$A$83,"yymm","202111","unit","BOL","comm","L"),0),)</f>
        <v>0</v>
      </c>
      <c r="AD14" s="119"/>
      <c r="AE14" s="172">
        <f t="shared" si="4"/>
        <v>44501</v>
      </c>
      <c r="AF14" s="167"/>
      <c r="AG14" s="168"/>
      <c r="AH14" s="168"/>
      <c r="AI14" s="168"/>
      <c r="AJ14" s="168"/>
      <c r="AK14" s="168" t="str">
        <f t="shared" si="5"/>
        <v/>
      </c>
      <c r="AL14" s="169" t="str">
        <f t="shared" si="6"/>
        <v/>
      </c>
      <c r="AM14" s="170">
        <f>IF(AH14&gt;0,IFERROR(GETPIVOTDATA("act_qty",RECPT!$A$83,"yymm","202111","unit","BOL","comm","F"),0),)</f>
        <v>0</v>
      </c>
      <c r="AN14" s="104"/>
      <c r="AO14" s="172">
        <f t="shared" si="7"/>
        <v>44501</v>
      </c>
      <c r="AP14" s="167"/>
      <c r="AQ14" s="168"/>
      <c r="AR14" s="168"/>
      <c r="AS14" s="168"/>
      <c r="AT14" s="168"/>
      <c r="AU14" s="168" t="str">
        <f t="shared" si="8"/>
        <v/>
      </c>
      <c r="AV14" s="169" t="str">
        <f t="shared" si="9"/>
        <v/>
      </c>
      <c r="AW14" s="170">
        <f>IF(AR14&gt;0,IFERROR(GETPIVOTDATA("act_qty",RECPT!$A$83,"yymm","202111","unit","MBR","comm","L"),0),)</f>
        <v>0</v>
      </c>
      <c r="AX14" s="104"/>
      <c r="AY14" s="172">
        <f t="shared" si="10"/>
        <v>44501</v>
      </c>
      <c r="AZ14" s="167">
        <v>53.41</v>
      </c>
      <c r="BA14" s="168">
        <v>15.91</v>
      </c>
      <c r="BB14" s="168">
        <v>4</v>
      </c>
      <c r="BC14" s="168">
        <v>8</v>
      </c>
      <c r="BD14" s="168">
        <v>33.15</v>
      </c>
      <c r="BE14" s="168">
        <f t="shared" si="11"/>
        <v>19.91</v>
      </c>
      <c r="BF14" s="169">
        <f t="shared" si="12"/>
        <v>0.25141420490257699</v>
      </c>
      <c r="BG14" s="170">
        <f>IF(BB14&gt;0,IFERROR(GETPIVOTDATA("act_qty",RECPT!$A$83,"yymm","202111","unit","MBR","comm","F"),0),)</f>
        <v>7190.9</v>
      </c>
    </row>
    <row r="15" spans="1:59" ht="21" x14ac:dyDescent="0.25">
      <c r="A15" s="166">
        <v>44531</v>
      </c>
      <c r="B15" s="167">
        <v>0</v>
      </c>
      <c r="C15" s="168">
        <v>0</v>
      </c>
      <c r="D15" s="168">
        <v>0</v>
      </c>
      <c r="E15" s="168">
        <v>0</v>
      </c>
      <c r="F15" s="168">
        <v>0</v>
      </c>
      <c r="G15" s="168" t="str">
        <f t="shared" si="0"/>
        <v/>
      </c>
      <c r="H15" s="169" t="str">
        <f t="shared" si="1"/>
        <v/>
      </c>
      <c r="I15" s="170">
        <f>IF(D15&gt;0,IFERROR(GETPIVOTDATA("act_qty",RECPT!$A$83,"yymm","202112","unit","KRB","comm","L"),0),)</f>
        <v>0</v>
      </c>
      <c r="J15" s="119"/>
      <c r="K15" s="166">
        <f t="shared" si="17"/>
        <v>44531</v>
      </c>
      <c r="L15" s="167">
        <v>60.13</v>
      </c>
      <c r="M15" s="168">
        <v>8.6199999999999992</v>
      </c>
      <c r="N15" s="168">
        <v>2.42</v>
      </c>
      <c r="O15" s="168">
        <v>6.92</v>
      </c>
      <c r="P15" s="168">
        <v>53.09</v>
      </c>
      <c r="Q15" s="168">
        <f t="shared" si="15"/>
        <v>11.04</v>
      </c>
      <c r="R15" s="169">
        <f t="shared" si="16"/>
        <v>0.28074245939675174</v>
      </c>
      <c r="S15" s="170">
        <f>IF(N15&gt;0,IFERROR(GETPIVOTDATA("act_qty",RECPT!$A$83,"yymm","202112","unit","KRB","comm","F"),0),)</f>
        <v>63299.4</v>
      </c>
      <c r="T15" s="104"/>
      <c r="U15" s="166">
        <f t="shared" si="18"/>
        <v>44531</v>
      </c>
      <c r="V15" s="167"/>
      <c r="W15" s="168"/>
      <c r="X15" s="168"/>
      <c r="Y15" s="168"/>
      <c r="Z15" s="168"/>
      <c r="AA15" s="168" t="str">
        <f t="shared" si="2"/>
        <v/>
      </c>
      <c r="AB15" s="169" t="str">
        <f t="shared" si="3"/>
        <v/>
      </c>
      <c r="AC15" s="170">
        <f>IF(X15&gt;0,IFERROR(GETPIVOTDATA("act_qty",RECPT!$A$83,"yymm","202112","unit","BOL","comm","L"),0),)</f>
        <v>0</v>
      </c>
      <c r="AD15" s="119"/>
      <c r="AE15" s="172">
        <f t="shared" si="4"/>
        <v>44531</v>
      </c>
      <c r="AF15" s="167"/>
      <c r="AG15" s="168"/>
      <c r="AH15" s="168"/>
      <c r="AI15" s="168"/>
      <c r="AJ15" s="168"/>
      <c r="AK15" s="168" t="str">
        <f t="shared" si="5"/>
        <v/>
      </c>
      <c r="AL15" s="169" t="str">
        <f t="shared" si="6"/>
        <v/>
      </c>
      <c r="AM15" s="170">
        <f>IF(AH15&gt;0,IFERROR(GETPIVOTDATA("act_qty",RECPT!$A$83,"yymm","202112","unit","BOL","comm","F"),0),)</f>
        <v>0</v>
      </c>
      <c r="AN15" s="104"/>
      <c r="AO15" s="172">
        <f t="shared" si="7"/>
        <v>44531</v>
      </c>
      <c r="AP15" s="167"/>
      <c r="AQ15" s="168"/>
      <c r="AR15" s="168"/>
      <c r="AS15" s="168"/>
      <c r="AT15" s="168"/>
      <c r="AU15" s="168" t="str">
        <f t="shared" si="8"/>
        <v/>
      </c>
      <c r="AV15" s="169" t="str">
        <f t="shared" si="9"/>
        <v/>
      </c>
      <c r="AW15" s="170">
        <f>IF(AR15&gt;0,IFERROR(GETPIVOTDATA("act_qty",RECPT!$A$83,"yymm","202112","unit","MBR","comm","L"),0),)</f>
        <v>0</v>
      </c>
      <c r="AX15" s="104"/>
      <c r="AY15" s="172">
        <f t="shared" si="10"/>
        <v>44531</v>
      </c>
      <c r="AZ15" s="167">
        <v>0</v>
      </c>
      <c r="BA15" s="168">
        <v>0</v>
      </c>
      <c r="BB15" s="168">
        <v>0</v>
      </c>
      <c r="BC15" s="168">
        <v>0</v>
      </c>
      <c r="BD15" s="168">
        <v>0</v>
      </c>
      <c r="BE15" s="168" t="str">
        <f t="shared" si="11"/>
        <v/>
      </c>
      <c r="BF15" s="169" t="str">
        <f t="shared" si="12"/>
        <v/>
      </c>
      <c r="BG15" s="170">
        <f>IF(BB15&gt;0,IFERROR(GETPIVOTDATA("act_qty",RECPT!$A$83,"yymm","202112","unit","MBR","comm","F"),0),)</f>
        <v>0</v>
      </c>
    </row>
    <row r="16" spans="1:59" ht="21" x14ac:dyDescent="0.25">
      <c r="A16" s="166">
        <v>44562</v>
      </c>
      <c r="B16" s="167">
        <v>0</v>
      </c>
      <c r="C16" s="168">
        <v>0</v>
      </c>
      <c r="D16" s="168">
        <v>0</v>
      </c>
      <c r="E16" s="168">
        <v>0</v>
      </c>
      <c r="F16" s="168">
        <v>0</v>
      </c>
      <c r="G16" s="168" t="str">
        <f t="shared" si="0"/>
        <v/>
      </c>
      <c r="H16" s="169" t="str">
        <f t="shared" si="1"/>
        <v/>
      </c>
      <c r="I16" s="170">
        <f>IF(D16&gt;0,IFERROR(GETPIVOTDATA("act_qty",RECPT!$A$83,"yymm","202201","unit","KRB","comm","L"),0),)</f>
        <v>0</v>
      </c>
      <c r="J16" s="119"/>
      <c r="K16" s="166">
        <f t="shared" si="17"/>
        <v>44562</v>
      </c>
      <c r="L16" s="167">
        <v>60.82</v>
      </c>
      <c r="M16" s="168">
        <v>7.36</v>
      </c>
      <c r="N16" s="168">
        <v>2.2200000000000002</v>
      </c>
      <c r="O16" s="168">
        <v>8</v>
      </c>
      <c r="P16" s="168">
        <v>51.37</v>
      </c>
      <c r="Q16" s="168">
        <f t="shared" si="15"/>
        <v>9.58</v>
      </c>
      <c r="R16" s="169">
        <f t="shared" si="16"/>
        <v>0.3016304347826087</v>
      </c>
      <c r="S16" s="170">
        <f>IF(N16&gt;0,IFERROR(GETPIVOTDATA("act_qty",RECPT!$A$83,"yymm","202201","unit","KRB","comm","F"),0),)</f>
        <v>64251.1</v>
      </c>
      <c r="T16" s="104"/>
      <c r="U16" s="166">
        <f t="shared" si="18"/>
        <v>44562</v>
      </c>
      <c r="V16" s="167"/>
      <c r="W16" s="168"/>
      <c r="X16" s="168"/>
      <c r="Y16" s="168"/>
      <c r="Z16" s="168"/>
      <c r="AA16" s="168" t="str">
        <f t="shared" si="2"/>
        <v/>
      </c>
      <c r="AB16" s="169" t="str">
        <f t="shared" si="3"/>
        <v/>
      </c>
      <c r="AC16" s="170">
        <f>IF(X16&gt;0,IFERROR(GETPIVOTDATA("act_qty",RECPT!$A$83,"yymm","202201","unit","BOL","comm","L"),0),)</f>
        <v>0</v>
      </c>
      <c r="AD16" s="119"/>
      <c r="AE16" s="172">
        <f t="shared" si="4"/>
        <v>44562</v>
      </c>
      <c r="AF16" s="167"/>
      <c r="AG16" s="168"/>
      <c r="AH16" s="168"/>
      <c r="AI16" s="168"/>
      <c r="AJ16" s="168"/>
      <c r="AK16" s="168" t="str">
        <f t="shared" si="5"/>
        <v/>
      </c>
      <c r="AL16" s="169" t="str">
        <f t="shared" si="6"/>
        <v/>
      </c>
      <c r="AM16" s="170">
        <f>IF(AH16&gt;0,IFERROR(GETPIVOTDATA("act_qty",RECPT!$A$83,"yymm","202201","unit","BOL","comm","F"),0),)</f>
        <v>0</v>
      </c>
      <c r="AN16" s="104"/>
      <c r="AO16" s="172">
        <f t="shared" si="7"/>
        <v>44562</v>
      </c>
      <c r="AP16" s="167"/>
      <c r="AQ16" s="168"/>
      <c r="AR16" s="168"/>
      <c r="AS16" s="168"/>
      <c r="AT16" s="168"/>
      <c r="AU16" s="168" t="str">
        <f t="shared" si="8"/>
        <v/>
      </c>
      <c r="AV16" s="169" t="str">
        <f t="shared" si="9"/>
        <v/>
      </c>
      <c r="AW16" s="170">
        <f>IF(AR16&gt;0,IFERROR(GETPIVOTDATA("act_qty",RECPT!$A$83,"yymm","202201","unit","MBR","comm","L"),0),)</f>
        <v>0</v>
      </c>
      <c r="AX16" s="104"/>
      <c r="AY16" s="172">
        <f t="shared" si="10"/>
        <v>44562</v>
      </c>
      <c r="AZ16" s="167">
        <v>61.14</v>
      </c>
      <c r="BA16" s="168">
        <v>6.81</v>
      </c>
      <c r="BB16" s="168">
        <v>2.17</v>
      </c>
      <c r="BC16" s="168">
        <v>8.8000000000000007</v>
      </c>
      <c r="BD16" s="168">
        <v>51.7</v>
      </c>
      <c r="BE16" s="168">
        <f t="shared" si="11"/>
        <v>8.98</v>
      </c>
      <c r="BF16" s="169">
        <f t="shared" si="12"/>
        <v>0.31864904552129225</v>
      </c>
      <c r="BG16" s="170">
        <f>IF(BB16&gt;0,IFERROR(GETPIVOTDATA("act_qty",RECPT!$A$83,"yymm","202201","unit","MBR","comm","F"),0),)</f>
        <v>3725.8</v>
      </c>
    </row>
    <row r="17" spans="1:59" ht="21" x14ac:dyDescent="0.25">
      <c r="A17" s="166">
        <v>44593</v>
      </c>
      <c r="B17" s="167">
        <v>0</v>
      </c>
      <c r="C17" s="168">
        <v>0</v>
      </c>
      <c r="D17" s="168">
        <v>0</v>
      </c>
      <c r="E17" s="168">
        <v>0</v>
      </c>
      <c r="F17" s="168">
        <v>0</v>
      </c>
      <c r="G17" s="168" t="str">
        <f t="shared" si="0"/>
        <v/>
      </c>
      <c r="H17" s="169" t="str">
        <f t="shared" si="1"/>
        <v/>
      </c>
      <c r="I17" s="170">
        <f>IF(D17&gt;0,IFERROR(GETPIVOTDATA("act_qty",RECPT!$A$83,"yymm","202202","unit","KRB","comm","L"),0),)</f>
        <v>0</v>
      </c>
      <c r="J17" s="119"/>
      <c r="K17" s="166">
        <f t="shared" si="17"/>
        <v>44593</v>
      </c>
      <c r="L17" s="167">
        <v>61.58</v>
      </c>
      <c r="M17" s="168">
        <v>5.88</v>
      </c>
      <c r="N17" s="168">
        <v>2.63</v>
      </c>
      <c r="O17" s="168">
        <v>6.72</v>
      </c>
      <c r="P17" s="168">
        <v>50.03</v>
      </c>
      <c r="Q17" s="168">
        <f t="shared" si="15"/>
        <v>8.51</v>
      </c>
      <c r="R17" s="169">
        <f t="shared" si="16"/>
        <v>0.44727891156462585</v>
      </c>
      <c r="S17" s="170">
        <f>IF(N17&gt;0,IFERROR(GETPIVOTDATA("act_qty",RECPT!$A$83,"yymm","202202","unit","KRB","comm","F"),0),)</f>
        <v>57274.2</v>
      </c>
      <c r="T17" s="104"/>
      <c r="U17" s="166">
        <f t="shared" si="18"/>
        <v>44593</v>
      </c>
      <c r="V17" s="167"/>
      <c r="W17" s="168"/>
      <c r="X17" s="168"/>
      <c r="Y17" s="168"/>
      <c r="Z17" s="168"/>
      <c r="AA17" s="168" t="str">
        <f t="shared" si="2"/>
        <v/>
      </c>
      <c r="AB17" s="169" t="str">
        <f t="shared" si="3"/>
        <v/>
      </c>
      <c r="AC17" s="170">
        <f>IF(X17&gt;0,IFERROR(GETPIVOTDATA("act_qty",RECPT!$A$83,"yymm","202202","unit","BOL","comm","L"),0),)</f>
        <v>0</v>
      </c>
      <c r="AD17" s="119"/>
      <c r="AE17" s="172">
        <f t="shared" si="4"/>
        <v>44593</v>
      </c>
      <c r="AF17" s="167"/>
      <c r="AG17" s="168"/>
      <c r="AH17" s="168"/>
      <c r="AI17" s="168"/>
      <c r="AJ17" s="168"/>
      <c r="AK17" s="168" t="str">
        <f t="shared" si="5"/>
        <v/>
      </c>
      <c r="AL17" s="169" t="str">
        <f t="shared" si="6"/>
        <v/>
      </c>
      <c r="AM17" s="170">
        <f>IF(AH17&gt;0,IFERROR(GETPIVOTDATA("act_qty",RECPT!$A$83,"yymm","202202","unit","BOL","comm","F"),0),)</f>
        <v>0</v>
      </c>
      <c r="AN17" s="104"/>
      <c r="AO17" s="172">
        <f t="shared" si="7"/>
        <v>44593</v>
      </c>
      <c r="AP17" s="167"/>
      <c r="AQ17" s="168"/>
      <c r="AR17" s="168"/>
      <c r="AS17" s="168"/>
      <c r="AT17" s="168"/>
      <c r="AU17" s="168" t="str">
        <f t="shared" si="8"/>
        <v/>
      </c>
      <c r="AV17" s="169" t="str">
        <f t="shared" si="9"/>
        <v/>
      </c>
      <c r="AW17" s="170">
        <f>IF(AR17&gt;0,IFERROR(GETPIVOTDATA("act_qty",RECPT!$A$83,"yymm","202202","unit","MBR","comm","L"),0),)</f>
        <v>0</v>
      </c>
      <c r="AX17" s="104"/>
      <c r="AY17" s="172">
        <f t="shared" si="10"/>
        <v>44593</v>
      </c>
      <c r="AZ17" s="167">
        <v>0</v>
      </c>
      <c r="BA17" s="168">
        <v>0</v>
      </c>
      <c r="BB17" s="168">
        <v>0</v>
      </c>
      <c r="BC17" s="168">
        <v>0</v>
      </c>
      <c r="BD17" s="168">
        <v>0</v>
      </c>
      <c r="BE17" s="168" t="str">
        <f t="shared" si="11"/>
        <v/>
      </c>
      <c r="BF17" s="169" t="str">
        <f t="shared" si="12"/>
        <v/>
      </c>
      <c r="BG17" s="170">
        <f>IF(BB17&gt;0,IFERROR(GETPIVOTDATA("act_qty",RECPT!$A$83,"yymm","202202","unit","MBR","comm","F"),0),)</f>
        <v>0</v>
      </c>
    </row>
    <row r="18" spans="1:59" ht="21.5" thickBot="1" x14ac:dyDescent="0.3">
      <c r="A18" s="166">
        <v>44621</v>
      </c>
      <c r="B18" s="183">
        <v>0</v>
      </c>
      <c r="C18" s="184">
        <v>0</v>
      </c>
      <c r="D18" s="184">
        <v>0</v>
      </c>
      <c r="E18" s="168">
        <v>0</v>
      </c>
      <c r="F18" s="168">
        <v>0</v>
      </c>
      <c r="G18" s="168" t="str">
        <f t="shared" si="0"/>
        <v/>
      </c>
      <c r="H18" s="169" t="str">
        <f t="shared" si="1"/>
        <v/>
      </c>
      <c r="I18" s="170">
        <f>IF(D18&gt;0,IFERROR(GETPIVOTDATA("act_qty",RECPT!$A$83,"yymm","202203","unit","KRB","comm","L"),0),)</f>
        <v>0</v>
      </c>
      <c r="J18" s="119"/>
      <c r="K18" s="166">
        <f t="shared" si="17"/>
        <v>44621</v>
      </c>
      <c r="L18" s="183">
        <v>61.28</v>
      </c>
      <c r="M18" s="184">
        <v>4.51</v>
      </c>
      <c r="N18" s="184">
        <v>3.22</v>
      </c>
      <c r="O18" s="168">
        <v>9.27</v>
      </c>
      <c r="P18" s="168">
        <v>47.33</v>
      </c>
      <c r="Q18" s="168">
        <f t="shared" si="15"/>
        <v>7.73</v>
      </c>
      <c r="R18" s="169">
        <f t="shared" si="16"/>
        <v>0.71396895787139703</v>
      </c>
      <c r="S18" s="170">
        <f>IF(N18&gt;0,IFERROR(GETPIVOTDATA("act_qty",RECPT!$A$83,"yymm","202203","unit","KRB","comm","F"),0),)</f>
        <v>66889.2</v>
      </c>
      <c r="T18" s="104"/>
      <c r="U18" s="166">
        <f t="shared" si="18"/>
        <v>44621</v>
      </c>
      <c r="V18" s="183"/>
      <c r="W18" s="184"/>
      <c r="X18" s="184"/>
      <c r="Y18" s="168"/>
      <c r="Z18" s="168"/>
      <c r="AA18" s="168" t="str">
        <f t="shared" si="2"/>
        <v/>
      </c>
      <c r="AB18" s="169" t="str">
        <f t="shared" si="3"/>
        <v/>
      </c>
      <c r="AC18" s="170">
        <f>IF(X18&gt;0,IFERROR(GETPIVOTDATA("act_qty",RECPT!$A$83,"yymm","202203","unit","BOL","comm","L"),0),)</f>
        <v>0</v>
      </c>
      <c r="AD18" s="119"/>
      <c r="AE18" s="185">
        <f t="shared" si="4"/>
        <v>44621</v>
      </c>
      <c r="AF18" s="183"/>
      <c r="AG18" s="184"/>
      <c r="AH18" s="184"/>
      <c r="AI18" s="168"/>
      <c r="AJ18" s="168"/>
      <c r="AK18" s="168" t="str">
        <f t="shared" si="5"/>
        <v/>
      </c>
      <c r="AL18" s="169" t="str">
        <f t="shared" si="6"/>
        <v/>
      </c>
      <c r="AM18" s="170">
        <f>IF(AH18&gt;0,IFERROR(GETPIVOTDATA("act_qty",RECPT!$A$83,"yymm","202203","unit","BOL","comm","F"),0),)</f>
        <v>0</v>
      </c>
      <c r="AN18" s="104"/>
      <c r="AO18" s="172">
        <f t="shared" si="7"/>
        <v>44621</v>
      </c>
      <c r="AP18" s="183"/>
      <c r="AQ18" s="184"/>
      <c r="AR18" s="184"/>
      <c r="AS18" s="168"/>
      <c r="AT18" s="168"/>
      <c r="AU18" s="168" t="str">
        <f t="shared" si="8"/>
        <v/>
      </c>
      <c r="AV18" s="169" t="str">
        <f t="shared" si="9"/>
        <v/>
      </c>
      <c r="AW18" s="170">
        <f>IF(AR18&gt;0,IFERROR(GETPIVOTDATA("act_qty",RECPT!$A$83,"yymm","202203","unit","MBR","comm","L"),0),)</f>
        <v>0</v>
      </c>
      <c r="AX18" s="104"/>
      <c r="AY18" s="172">
        <f t="shared" si="10"/>
        <v>44621</v>
      </c>
      <c r="AZ18" s="183">
        <v>0</v>
      </c>
      <c r="BA18" s="184">
        <v>0</v>
      </c>
      <c r="BB18" s="184">
        <v>0</v>
      </c>
      <c r="BC18" s="168">
        <v>0</v>
      </c>
      <c r="BD18" s="168">
        <v>0</v>
      </c>
      <c r="BE18" s="168" t="str">
        <f t="shared" si="11"/>
        <v/>
      </c>
      <c r="BF18" s="169" t="str">
        <f t="shared" si="12"/>
        <v/>
      </c>
      <c r="BG18" s="170">
        <f>IF(BB18&gt;0,IFERROR(GETPIVOTDATA("act_qty",RECPT!$A$83,"yymm","202203","unit","MBR","comm","F"),0),)</f>
        <v>0</v>
      </c>
    </row>
    <row r="19" spans="1:59" ht="21.5" thickBot="1" x14ac:dyDescent="0.3">
      <c r="A19" s="191" t="s">
        <v>42</v>
      </c>
      <c r="B19" s="192">
        <v>60.91</v>
      </c>
      <c r="C19" s="192">
        <v>2.4500000000000002</v>
      </c>
      <c r="D19" s="192">
        <v>3.8</v>
      </c>
      <c r="E19" s="192">
        <v>32.6</v>
      </c>
      <c r="F19" s="192">
        <v>12.7</v>
      </c>
      <c r="G19" s="193">
        <f t="shared" si="0"/>
        <v>6.25</v>
      </c>
      <c r="H19" s="194">
        <f t="shared" si="1"/>
        <v>1.551020408163265</v>
      </c>
      <c r="I19" s="195">
        <f>SUM(I7:I18)</f>
        <v>0</v>
      </c>
      <c r="J19" s="119"/>
      <c r="K19" s="191" t="s">
        <v>42</v>
      </c>
      <c r="L19" s="192">
        <v>61.07</v>
      </c>
      <c r="M19" s="192">
        <v>6.47</v>
      </c>
      <c r="N19" s="192">
        <v>2.3199999999999998</v>
      </c>
      <c r="O19" s="192">
        <v>7.9</v>
      </c>
      <c r="P19" s="192">
        <v>47.7</v>
      </c>
      <c r="Q19" s="193">
        <f t="shared" si="15"/>
        <v>8.7899999999999991</v>
      </c>
      <c r="R19" s="194">
        <f t="shared" si="16"/>
        <v>0.35857805255023184</v>
      </c>
      <c r="S19" s="195">
        <f>SUM(S7:S18)</f>
        <v>963592.7</v>
      </c>
      <c r="T19" s="104"/>
      <c r="U19" s="191" t="s">
        <v>42</v>
      </c>
      <c r="V19" s="192"/>
      <c r="W19" s="192"/>
      <c r="X19" s="192"/>
      <c r="Y19" s="192"/>
      <c r="Z19" s="192"/>
      <c r="AA19" s="193" t="str">
        <f t="shared" si="2"/>
        <v/>
      </c>
      <c r="AB19" s="194" t="str">
        <f t="shared" si="3"/>
        <v/>
      </c>
      <c r="AC19" s="195">
        <f>SUM(AC7:AC18)</f>
        <v>0</v>
      </c>
      <c r="AD19" s="171"/>
      <c r="AE19" s="196" t="str">
        <f t="shared" si="4"/>
        <v>CUMML</v>
      </c>
      <c r="AF19" s="192"/>
      <c r="AG19" s="192"/>
      <c r="AH19" s="192"/>
      <c r="AI19" s="192"/>
      <c r="AJ19" s="192"/>
      <c r="AK19" s="193" t="str">
        <f t="shared" si="5"/>
        <v/>
      </c>
      <c r="AL19" s="194" t="str">
        <f t="shared" si="6"/>
        <v/>
      </c>
      <c r="AM19" s="195">
        <f>SUM(AM7:AM18)</f>
        <v>0</v>
      </c>
      <c r="AN19" s="104"/>
      <c r="AO19" s="197" t="s">
        <v>42</v>
      </c>
      <c r="AP19" s="192"/>
      <c r="AQ19" s="192"/>
      <c r="AR19" s="192"/>
      <c r="AS19" s="192"/>
      <c r="AT19" s="192"/>
      <c r="AU19" s="193" t="str">
        <f t="shared" si="8"/>
        <v/>
      </c>
      <c r="AV19" s="194" t="str">
        <f t="shared" si="9"/>
        <v/>
      </c>
      <c r="AW19" s="195">
        <f>SUM(AW7:AW18)</f>
        <v>0</v>
      </c>
      <c r="AX19" s="104"/>
      <c r="AY19" s="197" t="str">
        <f t="shared" si="10"/>
        <v>CUMML</v>
      </c>
      <c r="AZ19" s="192">
        <v>56.05</v>
      </c>
      <c r="BA19" s="192">
        <v>12.8</v>
      </c>
      <c r="BB19" s="192">
        <v>3.37</v>
      </c>
      <c r="BC19" s="192">
        <v>8.27</v>
      </c>
      <c r="BD19" s="192">
        <v>39.479999999999997</v>
      </c>
      <c r="BE19" s="193">
        <f t="shared" si="11"/>
        <v>16.170000000000002</v>
      </c>
      <c r="BF19" s="194">
        <f t="shared" si="12"/>
        <v>0.26328124999999997</v>
      </c>
      <c r="BG19" s="195">
        <f>SUM(BG7:BG18)</f>
        <v>10916.7</v>
      </c>
    </row>
    <row r="20" spans="1:59" s="7" customFormat="1" ht="21" x14ac:dyDescent="0.25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152"/>
      <c r="U20" s="104"/>
      <c r="V20" s="104"/>
      <c r="W20" s="104"/>
      <c r="X20" s="104"/>
      <c r="Y20" s="104"/>
      <c r="Z20" s="104"/>
      <c r="AA20" s="104"/>
      <c r="AB20" s="119"/>
      <c r="AC20" s="119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>
        <f>AZ14*1.4298+BE14</f>
        <v>96.275617999999994</v>
      </c>
      <c r="BA20" s="205"/>
      <c r="BB20" s="205"/>
      <c r="BC20" s="205"/>
      <c r="BD20" s="205"/>
      <c r="BE20" s="205"/>
      <c r="BF20" s="205"/>
      <c r="BG20" s="205"/>
    </row>
    <row r="21" spans="1:59" s="12" customFormat="1" ht="21" x14ac:dyDescent="0.25">
      <c r="A21" s="211"/>
      <c r="B21" s="212"/>
      <c r="C21" s="212"/>
      <c r="D21" s="212"/>
      <c r="E21" s="212"/>
      <c r="F21" s="212"/>
      <c r="G21" s="212"/>
      <c r="H21" s="212"/>
      <c r="I21" s="283"/>
      <c r="J21" s="212"/>
      <c r="K21" s="211"/>
      <c r="L21" s="212"/>
      <c r="M21" s="212"/>
      <c r="N21" s="212"/>
      <c r="O21" s="212"/>
      <c r="P21" s="212"/>
      <c r="Q21" s="212"/>
      <c r="R21" s="212"/>
      <c r="S21" s="283"/>
      <c r="T21" s="213"/>
      <c r="U21" s="213"/>
      <c r="V21" s="212"/>
      <c r="W21" s="212"/>
      <c r="X21" s="212"/>
      <c r="Y21" s="212"/>
      <c r="Z21" s="212"/>
      <c r="AA21" s="212"/>
      <c r="AB21" s="212"/>
      <c r="AC21" s="283"/>
      <c r="AD21" s="213"/>
      <c r="AE21" s="213"/>
      <c r="AF21" s="212"/>
      <c r="AG21" s="212"/>
      <c r="AH21" s="212"/>
      <c r="AI21" s="212"/>
      <c r="AJ21" s="212"/>
      <c r="AK21" s="212"/>
      <c r="AL21" s="212"/>
      <c r="AM21" s="213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>
        <f>AZ19*1.4298+BE19</f>
        <v>96.310289999999995</v>
      </c>
      <c r="BA21" s="212"/>
      <c r="BB21" s="212"/>
      <c r="BC21" s="212"/>
      <c r="BD21" s="212"/>
      <c r="BE21" s="212"/>
      <c r="BF21" s="212"/>
      <c r="BG21" s="212"/>
    </row>
    <row r="22" spans="1:59" s="12" customFormat="1" ht="23.5" x14ac:dyDescent="0.25">
      <c r="A22" s="221"/>
      <c r="B22" s="205"/>
      <c r="C22" s="205"/>
      <c r="D22" s="205"/>
      <c r="E22" s="205"/>
      <c r="F22" s="205"/>
      <c r="G22" s="205"/>
      <c r="H22" s="205"/>
      <c r="I22" s="222"/>
      <c r="J22" s="212"/>
      <c r="K22" s="221"/>
      <c r="L22" s="205"/>
      <c r="M22" s="205"/>
      <c r="N22" s="205"/>
      <c r="O22" s="205"/>
      <c r="P22" s="205"/>
      <c r="Q22" s="205"/>
      <c r="R22" s="205"/>
      <c r="S22" s="222"/>
      <c r="T22" s="213"/>
      <c r="U22" s="223"/>
      <c r="V22" s="224"/>
      <c r="W22" s="224"/>
      <c r="X22" s="224"/>
      <c r="Y22" s="224"/>
      <c r="Z22" s="224"/>
      <c r="AA22" s="224"/>
      <c r="AB22" s="224"/>
      <c r="AC22" s="224"/>
      <c r="AD22" s="213"/>
      <c r="AE22" s="223"/>
      <c r="AF22" s="224"/>
      <c r="AG22" s="224"/>
      <c r="AH22" s="224"/>
      <c r="AI22" s="224"/>
      <c r="AJ22" s="224"/>
      <c r="AK22" s="224"/>
      <c r="AL22" s="224"/>
      <c r="AM22" s="224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3"/>
      <c r="AZ22" s="224"/>
      <c r="BA22" s="224"/>
      <c r="BB22" s="224"/>
      <c r="BC22" s="224"/>
      <c r="BD22" s="224"/>
      <c r="BE22" s="224"/>
      <c r="BF22" s="224"/>
      <c r="BG22" s="213"/>
    </row>
    <row r="23" spans="1:59" ht="28.5" x14ac:dyDescent="0.6">
      <c r="A23" s="586" t="s">
        <v>43</v>
      </c>
      <c r="B23" s="586"/>
      <c r="C23" s="586"/>
      <c r="D23" s="585" t="s">
        <v>30</v>
      </c>
      <c r="E23" s="585"/>
      <c r="F23" s="585"/>
      <c r="G23" s="110"/>
      <c r="H23" s="110"/>
      <c r="I23" s="110"/>
      <c r="J23" s="219"/>
      <c r="K23" s="586" t="s">
        <v>43</v>
      </c>
      <c r="L23" s="586"/>
      <c r="M23" s="586"/>
      <c r="N23" s="585" t="s">
        <v>31</v>
      </c>
      <c r="O23" s="585"/>
      <c r="P23" s="585"/>
      <c r="Q23" s="228"/>
      <c r="R23" s="228"/>
      <c r="S23" s="228"/>
      <c r="T23" s="111"/>
      <c r="U23" s="586" t="s">
        <v>44</v>
      </c>
      <c r="V23" s="586"/>
      <c r="W23" s="586"/>
      <c r="X23" s="585" t="s">
        <v>30</v>
      </c>
      <c r="Y23" s="585"/>
      <c r="Z23" s="585"/>
      <c r="AA23" s="110"/>
      <c r="AB23" s="110"/>
      <c r="AC23" s="110"/>
      <c r="AD23" s="111"/>
      <c r="AE23" s="586" t="s">
        <v>44</v>
      </c>
      <c r="AF23" s="586"/>
      <c r="AG23" s="586"/>
      <c r="AH23" s="585" t="s">
        <v>31</v>
      </c>
      <c r="AI23" s="585"/>
      <c r="AJ23" s="585"/>
      <c r="AK23" s="110"/>
      <c r="AL23" s="110"/>
      <c r="AM23" s="110"/>
      <c r="AN23" s="111"/>
      <c r="AO23" s="586" t="s">
        <v>45</v>
      </c>
      <c r="AP23" s="586"/>
      <c r="AQ23" s="586"/>
      <c r="AR23" s="585" t="s">
        <v>30</v>
      </c>
      <c r="AS23" s="585"/>
      <c r="AT23" s="585"/>
      <c r="AU23" s="110"/>
      <c r="AV23" s="110"/>
      <c r="AW23" s="110"/>
      <c r="AX23" s="111"/>
      <c r="AY23" s="586" t="s">
        <v>45</v>
      </c>
      <c r="AZ23" s="586"/>
      <c r="BA23" s="586"/>
      <c r="BB23" s="585" t="s">
        <v>31</v>
      </c>
      <c r="BC23" s="585"/>
      <c r="BD23" s="585"/>
      <c r="BE23" s="110"/>
      <c r="BF23" s="110"/>
      <c r="BG23" s="110"/>
    </row>
    <row r="24" spans="1:59" ht="13" customHeight="1" thickBot="1" x14ac:dyDescent="0.3">
      <c r="A24" s="103"/>
      <c r="B24" s="230"/>
      <c r="C24" s="230"/>
      <c r="D24" s="230"/>
      <c r="E24" s="230"/>
      <c r="F24" s="230"/>
      <c r="G24" s="230"/>
      <c r="H24" s="230"/>
      <c r="I24" s="103"/>
      <c r="J24" s="212"/>
      <c r="K24" s="103"/>
      <c r="L24" s="103"/>
      <c r="M24" s="103"/>
      <c r="N24" s="103"/>
      <c r="O24" s="103"/>
      <c r="P24" s="103"/>
      <c r="Q24" s="103"/>
      <c r="R24" s="103"/>
      <c r="S24" s="103"/>
      <c r="T24" s="104"/>
      <c r="U24" s="103"/>
      <c r="V24" s="103"/>
      <c r="W24" s="103"/>
      <c r="X24" s="103"/>
      <c r="Y24" s="103"/>
      <c r="Z24" s="103"/>
      <c r="AA24" s="103"/>
      <c r="AB24" s="103"/>
      <c r="AC24" s="103"/>
      <c r="AD24" s="104"/>
      <c r="AE24" s="103"/>
      <c r="AF24" s="103"/>
      <c r="AG24" s="103"/>
      <c r="AH24" s="103"/>
      <c r="AI24" s="103"/>
      <c r="AJ24" s="103"/>
      <c r="AK24" s="103"/>
      <c r="AL24" s="103"/>
      <c r="AM24" s="103"/>
      <c r="AN24" s="104"/>
      <c r="AO24" s="103"/>
      <c r="AP24" s="103"/>
      <c r="AQ24" s="103"/>
      <c r="AR24" s="103"/>
      <c r="AS24" s="103"/>
      <c r="AT24" s="103"/>
      <c r="AU24" s="103"/>
      <c r="AV24" s="103"/>
      <c r="AW24" s="103"/>
      <c r="AX24" s="104"/>
      <c r="AY24" s="103"/>
      <c r="AZ24" s="103"/>
      <c r="BA24" s="103"/>
      <c r="BB24" s="103"/>
      <c r="BC24" s="103"/>
      <c r="BD24" s="103"/>
      <c r="BE24" s="103"/>
      <c r="BF24" s="103"/>
      <c r="BG24" s="103"/>
    </row>
    <row r="25" spans="1:59" ht="22.5" customHeight="1" thickBot="1" x14ac:dyDescent="0.3">
      <c r="A25" s="119"/>
      <c r="B25" s="120" t="s">
        <v>34</v>
      </c>
      <c r="C25" s="121" t="s">
        <v>35</v>
      </c>
      <c r="D25" s="121" t="s">
        <v>36</v>
      </c>
      <c r="E25" s="121" t="s">
        <v>37</v>
      </c>
      <c r="F25" s="121" t="s">
        <v>38</v>
      </c>
      <c r="G25" s="124" t="s">
        <v>39</v>
      </c>
      <c r="H25" s="121" t="s">
        <v>40</v>
      </c>
      <c r="I25" s="123" t="s">
        <v>41</v>
      </c>
      <c r="J25" s="212"/>
      <c r="K25" s="119"/>
      <c r="L25" s="120" t="s">
        <v>34</v>
      </c>
      <c r="M25" s="121" t="s">
        <v>35</v>
      </c>
      <c r="N25" s="121" t="s">
        <v>36</v>
      </c>
      <c r="O25" s="121" t="s">
        <v>37</v>
      </c>
      <c r="P25" s="121" t="s">
        <v>38</v>
      </c>
      <c r="Q25" s="124" t="s">
        <v>39</v>
      </c>
      <c r="R25" s="121" t="s">
        <v>40</v>
      </c>
      <c r="S25" s="123" t="s">
        <v>41</v>
      </c>
      <c r="T25" s="104"/>
      <c r="U25" s="126"/>
      <c r="V25" s="120" t="s">
        <v>34</v>
      </c>
      <c r="W25" s="121" t="s">
        <v>35</v>
      </c>
      <c r="X25" s="121" t="s">
        <v>36</v>
      </c>
      <c r="Y25" s="121" t="s">
        <v>37</v>
      </c>
      <c r="Z25" s="125" t="s">
        <v>38</v>
      </c>
      <c r="AA25" s="121" t="s">
        <v>39</v>
      </c>
      <c r="AB25" s="121" t="s">
        <v>40</v>
      </c>
      <c r="AC25" s="123" t="s">
        <v>41</v>
      </c>
      <c r="AD25" s="104"/>
      <c r="AE25" s="126"/>
      <c r="AF25" s="120" t="s">
        <v>34</v>
      </c>
      <c r="AG25" s="121" t="s">
        <v>35</v>
      </c>
      <c r="AH25" s="121" t="s">
        <v>36</v>
      </c>
      <c r="AI25" s="121" t="s">
        <v>37</v>
      </c>
      <c r="AJ25" s="125" t="s">
        <v>38</v>
      </c>
      <c r="AK25" s="121" t="s">
        <v>39</v>
      </c>
      <c r="AL25" s="121" t="s">
        <v>40</v>
      </c>
      <c r="AM25" s="123" t="s">
        <v>41</v>
      </c>
      <c r="AN25" s="104"/>
      <c r="AO25" s="126"/>
      <c r="AP25" s="120" t="s">
        <v>34</v>
      </c>
      <c r="AQ25" s="121" t="s">
        <v>35</v>
      </c>
      <c r="AR25" s="121" t="s">
        <v>36</v>
      </c>
      <c r="AS25" s="121" t="s">
        <v>37</v>
      </c>
      <c r="AT25" s="125" t="s">
        <v>38</v>
      </c>
      <c r="AU25" s="121" t="s">
        <v>39</v>
      </c>
      <c r="AV25" s="121" t="s">
        <v>40</v>
      </c>
      <c r="AW25" s="123" t="s">
        <v>41</v>
      </c>
      <c r="AX25" s="104"/>
      <c r="AY25" s="126"/>
      <c r="AZ25" s="120" t="s">
        <v>34</v>
      </c>
      <c r="BA25" s="121" t="s">
        <v>35</v>
      </c>
      <c r="BB25" s="121" t="s">
        <v>36</v>
      </c>
      <c r="BC25" s="121" t="s">
        <v>37</v>
      </c>
      <c r="BD25" s="125" t="s">
        <v>38</v>
      </c>
      <c r="BE25" s="121" t="s">
        <v>39</v>
      </c>
      <c r="BF25" s="121" t="s">
        <v>40</v>
      </c>
      <c r="BG25" s="123" t="s">
        <v>41</v>
      </c>
    </row>
    <row r="26" spans="1:59" ht="21" customHeight="1" thickBot="1" x14ac:dyDescent="0.3">
      <c r="A26" s="132" t="str">
        <f>A5</f>
        <v>Act 20-21</v>
      </c>
      <c r="B26" s="133"/>
      <c r="C26" s="133"/>
      <c r="D26" s="133"/>
      <c r="E26" s="133"/>
      <c r="F26" s="133"/>
      <c r="G26" s="134" t="str">
        <f t="shared" ref="G26:G40" si="19">IF(C26&gt;0,+D26+C26,"")</f>
        <v/>
      </c>
      <c r="H26" s="134" t="str">
        <f t="shared" ref="H26:H40" si="20">IF(C26&gt;0,+D26/C26,"")</f>
        <v/>
      </c>
      <c r="I26" s="135"/>
      <c r="J26" s="212"/>
      <c r="K26" s="132" t="str">
        <f>K5</f>
        <v>Act 20-21</v>
      </c>
      <c r="L26" s="133">
        <v>60.18</v>
      </c>
      <c r="M26" s="133">
        <v>6.36</v>
      </c>
      <c r="N26" s="133">
        <v>3.26</v>
      </c>
      <c r="O26" s="133">
        <v>4.03</v>
      </c>
      <c r="P26" s="133">
        <v>42.42</v>
      </c>
      <c r="Q26" s="134">
        <f t="shared" ref="Q26:Q40" si="21">IF(M26&gt;0,+N26+M26,"")</f>
        <v>9.620000000000001</v>
      </c>
      <c r="R26" s="134">
        <f t="shared" ref="R26:R40" si="22">IF(M26&gt;0,+N26/M26,"")</f>
        <v>0.51257861635220114</v>
      </c>
      <c r="S26" s="135"/>
      <c r="T26" s="138"/>
      <c r="U26" s="136" t="str">
        <f t="shared" ref="U26:U40" si="23">K26</f>
        <v>Act 20-21</v>
      </c>
      <c r="V26" s="133">
        <v>61.61</v>
      </c>
      <c r="W26" s="133">
        <v>3.27</v>
      </c>
      <c r="X26" s="133">
        <v>3.25</v>
      </c>
      <c r="Y26" s="133">
        <v>40.630000000000003</v>
      </c>
      <c r="Z26" s="133">
        <v>10.59</v>
      </c>
      <c r="AA26" s="134">
        <f t="shared" ref="AA26:AA40" si="24">IF(W26&gt;0,+X26+W26,"")</f>
        <v>6.52</v>
      </c>
      <c r="AB26" s="134">
        <f t="shared" ref="AB26:AB40" si="25">IF(W26&gt;0,+X26/W26,"")</f>
        <v>0.99388379204892963</v>
      </c>
      <c r="AC26" s="135"/>
      <c r="AD26" s="104"/>
      <c r="AE26" s="136" t="str">
        <f t="shared" ref="AE26:AE40" si="26">K26</f>
        <v>Act 20-21</v>
      </c>
      <c r="AF26" s="139"/>
      <c r="AG26" s="134"/>
      <c r="AH26" s="134"/>
      <c r="AI26" s="134"/>
      <c r="AJ26" s="134"/>
      <c r="AK26" s="134" t="str">
        <f t="shared" ref="AK26:AK40" si="27">IF(AG26&gt;0,+AH26+AG26,"")</f>
        <v/>
      </c>
      <c r="AL26" s="134" t="str">
        <f t="shared" ref="AL26:AL40" si="28">IF(AG26&gt;0,+AH26/AG26,"")</f>
        <v/>
      </c>
      <c r="AM26" s="140"/>
      <c r="AN26" s="104"/>
      <c r="AO26" s="136" t="str">
        <f t="shared" ref="AO26:AO40" si="29">K26</f>
        <v>Act 20-21</v>
      </c>
      <c r="AP26" s="133"/>
      <c r="AQ26" s="133"/>
      <c r="AR26" s="133"/>
      <c r="AS26" s="133"/>
      <c r="AT26" s="133"/>
      <c r="AU26" s="134" t="str">
        <f t="shared" ref="AU26:AU40" si="30">IF(AQ26&gt;0,+AR26+AQ26,"")</f>
        <v/>
      </c>
      <c r="AV26" s="134" t="str">
        <f t="shared" ref="AV26:AV40" si="31">IF(AQ26&gt;0,+AR26/AQ26,"")</f>
        <v/>
      </c>
      <c r="AW26" s="140"/>
      <c r="AX26" s="104"/>
      <c r="AY26" s="136" t="str">
        <f>$AO$26</f>
        <v>Act 20-21</v>
      </c>
      <c r="AZ26" s="133">
        <v>63.7</v>
      </c>
      <c r="BA26" s="133">
        <v>3.55</v>
      </c>
      <c r="BB26" s="133">
        <v>2.64</v>
      </c>
      <c r="BC26" s="133">
        <v>1.35</v>
      </c>
      <c r="BD26" s="133">
        <v>47.1</v>
      </c>
      <c r="BE26" s="134">
        <f t="shared" ref="BE26:BE40" si="32">IF(BA26&gt;0,+BB26+BA26,"")</f>
        <v>6.1899999999999995</v>
      </c>
      <c r="BF26" s="134">
        <f t="shared" ref="BF26:BF40" si="33">IF(BA26&gt;0,+BB26/BA26,"")</f>
        <v>0.74366197183098603</v>
      </c>
      <c r="BG26" s="140"/>
    </row>
    <row r="27" spans="1:59" s="7" customFormat="1" ht="21" x14ac:dyDescent="0.25">
      <c r="A27" s="145" t="str">
        <f>A6</f>
        <v>APP 21-22</v>
      </c>
      <c r="B27" s="146">
        <v>62.5</v>
      </c>
      <c r="C27" s="147">
        <v>3.6</v>
      </c>
      <c r="D27" s="147">
        <v>2.2000000000000002</v>
      </c>
      <c r="E27" s="147">
        <v>10</v>
      </c>
      <c r="F27" s="147">
        <v>10</v>
      </c>
      <c r="G27" s="147">
        <f t="shared" si="19"/>
        <v>5.8000000000000007</v>
      </c>
      <c r="H27" s="148">
        <f t="shared" si="20"/>
        <v>0.61111111111111116</v>
      </c>
      <c r="I27" s="149"/>
      <c r="J27" s="150"/>
      <c r="K27" s="145" t="str">
        <f>A6</f>
        <v>APP 21-22</v>
      </c>
      <c r="L27" s="146">
        <v>62</v>
      </c>
      <c r="M27" s="147">
        <v>3.8</v>
      </c>
      <c r="N27" s="147">
        <v>2.7</v>
      </c>
      <c r="O27" s="147">
        <v>7</v>
      </c>
      <c r="P27" s="147">
        <v>40</v>
      </c>
      <c r="Q27" s="147">
        <f t="shared" si="21"/>
        <v>6.5</v>
      </c>
      <c r="R27" s="148">
        <f t="shared" si="22"/>
        <v>0.71052631578947378</v>
      </c>
      <c r="S27" s="149"/>
      <c r="T27" s="152"/>
      <c r="U27" s="151" t="str">
        <f t="shared" si="23"/>
        <v>APP 21-22</v>
      </c>
      <c r="V27" s="146">
        <v>62.3</v>
      </c>
      <c r="W27" s="147">
        <v>3</v>
      </c>
      <c r="X27" s="147">
        <v>2.95</v>
      </c>
      <c r="Y27" s="147">
        <v>10</v>
      </c>
      <c r="Z27" s="147">
        <v>10</v>
      </c>
      <c r="AA27" s="147">
        <f t="shared" si="24"/>
        <v>5.95</v>
      </c>
      <c r="AB27" s="148">
        <f t="shared" si="25"/>
        <v>0.98333333333333339</v>
      </c>
      <c r="AC27" s="149"/>
      <c r="AD27" s="104"/>
      <c r="AE27" s="151" t="str">
        <f t="shared" si="26"/>
        <v>APP 21-22</v>
      </c>
      <c r="AF27" s="147">
        <v>61.3</v>
      </c>
      <c r="AG27" s="147">
        <v>3.6</v>
      </c>
      <c r="AH27" s="147">
        <v>3.6</v>
      </c>
      <c r="AI27" s="147">
        <v>7</v>
      </c>
      <c r="AJ27" s="147">
        <v>40</v>
      </c>
      <c r="AK27" s="147">
        <f t="shared" si="27"/>
        <v>7.2</v>
      </c>
      <c r="AL27" s="154">
        <f t="shared" si="28"/>
        <v>1</v>
      </c>
      <c r="AM27" s="155"/>
      <c r="AN27" s="152"/>
      <c r="AO27" s="151" t="str">
        <f t="shared" si="29"/>
        <v>APP 21-22</v>
      </c>
      <c r="AP27" s="146">
        <v>63</v>
      </c>
      <c r="AQ27" s="147">
        <v>2.6</v>
      </c>
      <c r="AR27" s="147">
        <v>2.2000000000000002</v>
      </c>
      <c r="AS27" s="147">
        <v>5</v>
      </c>
      <c r="AT27" s="147">
        <v>5</v>
      </c>
      <c r="AU27" s="147">
        <f t="shared" si="30"/>
        <v>4.8000000000000007</v>
      </c>
      <c r="AV27" s="148">
        <f t="shared" si="31"/>
        <v>0.84615384615384615</v>
      </c>
      <c r="AW27" s="155"/>
      <c r="AX27" s="152"/>
      <c r="AY27" s="151" t="str">
        <f>AO27</f>
        <v>APP 21-22</v>
      </c>
      <c r="AZ27" s="146">
        <v>63</v>
      </c>
      <c r="BA27" s="147">
        <v>2.9</v>
      </c>
      <c r="BB27" s="147">
        <v>2.5</v>
      </c>
      <c r="BC27" s="147">
        <v>5</v>
      </c>
      <c r="BD27" s="147">
        <v>40</v>
      </c>
      <c r="BE27" s="147">
        <f t="shared" si="32"/>
        <v>5.4</v>
      </c>
      <c r="BF27" s="148">
        <f t="shared" si="33"/>
        <v>0.86206896551724144</v>
      </c>
      <c r="BG27" s="155"/>
    </row>
    <row r="28" spans="1:59" ht="21" x14ac:dyDescent="0.25">
      <c r="A28" s="166">
        <f>A7</f>
        <v>44287</v>
      </c>
      <c r="B28" s="167"/>
      <c r="C28" s="168"/>
      <c r="D28" s="168"/>
      <c r="E28" s="168"/>
      <c r="F28" s="168"/>
      <c r="G28" s="168" t="str">
        <f t="shared" si="19"/>
        <v/>
      </c>
      <c r="H28" s="169" t="str">
        <f t="shared" si="20"/>
        <v/>
      </c>
      <c r="I28" s="170">
        <f>IF(D28&gt;0,IFERROR(GETPIVOTDATA("act_qty",RECPT!$A$83,"yymm","202104","unit","GUA","comm","L"),0),)</f>
        <v>0</v>
      </c>
      <c r="J28" s="119"/>
      <c r="K28" s="166">
        <f>A7</f>
        <v>44287</v>
      </c>
      <c r="L28" s="167"/>
      <c r="M28" s="168"/>
      <c r="N28" s="168"/>
      <c r="O28" s="168"/>
      <c r="P28" s="168"/>
      <c r="Q28" s="168" t="str">
        <f t="shared" si="21"/>
        <v/>
      </c>
      <c r="R28" s="169" t="str">
        <f t="shared" si="22"/>
        <v/>
      </c>
      <c r="S28" s="170">
        <f>IF(N28&gt;0,IFERROR(GETPIVOTDATA("act_qty",RECPT!$A$83,"yymm","202104","unit","GUA","comm","F"),0),)</f>
        <v>0</v>
      </c>
      <c r="T28" s="104"/>
      <c r="U28" s="172">
        <f t="shared" si="23"/>
        <v>44287</v>
      </c>
      <c r="V28" s="167"/>
      <c r="W28" s="168"/>
      <c r="X28" s="168"/>
      <c r="Y28" s="168"/>
      <c r="Z28" s="168"/>
      <c r="AA28" s="168" t="str">
        <f t="shared" si="24"/>
        <v/>
      </c>
      <c r="AB28" s="169" t="str">
        <f t="shared" si="25"/>
        <v/>
      </c>
      <c r="AC28" s="170">
        <f>IF(X28&gt;0,IFERROR(GETPIVOTDATA("act_qty",RECPT!$A$83,"yymm","202104","unit","BAR","comm","L"),0),)</f>
        <v>0</v>
      </c>
      <c r="AD28" s="104"/>
      <c r="AE28" s="172">
        <f t="shared" si="26"/>
        <v>44287</v>
      </c>
      <c r="AF28" s="167"/>
      <c r="AG28" s="168"/>
      <c r="AH28" s="168"/>
      <c r="AI28" s="168"/>
      <c r="AJ28" s="168"/>
      <c r="AK28" s="168" t="str">
        <f t="shared" si="27"/>
        <v/>
      </c>
      <c r="AL28" s="169" t="str">
        <f t="shared" si="28"/>
        <v/>
      </c>
      <c r="AM28" s="170">
        <f>IF(AH28&gt;0,IFERROR(GETPIVOTDATA("act_qty",RECPT!$A$83,"yymm","202104","unit","BAR","comm","F"),0),)</f>
        <v>0</v>
      </c>
      <c r="AN28" s="104"/>
      <c r="AO28" s="172">
        <f t="shared" si="29"/>
        <v>44287</v>
      </c>
      <c r="AP28" s="167"/>
      <c r="AQ28" s="168"/>
      <c r="AR28" s="168"/>
      <c r="AS28" s="168"/>
      <c r="AT28" s="168"/>
      <c r="AU28" s="168" t="str">
        <f t="shared" si="30"/>
        <v/>
      </c>
      <c r="AV28" s="169" t="str">
        <f t="shared" si="31"/>
        <v/>
      </c>
      <c r="AW28" s="170">
        <f>IF(AR28&gt;0,IFERROR(GETPIVOTDATA("act_qty",RECPT!$A$83,"yymm","202104","unit","KAL","comm","L"),0),)</f>
        <v>0</v>
      </c>
      <c r="AX28" s="104"/>
      <c r="AY28" s="172">
        <f t="shared" ref="AY28:AY40" si="34">AO28</f>
        <v>44287</v>
      </c>
      <c r="AZ28" s="167"/>
      <c r="BA28" s="168"/>
      <c r="BB28" s="168"/>
      <c r="BC28" s="168"/>
      <c r="BD28" s="168"/>
      <c r="BE28" s="168" t="str">
        <f t="shared" si="32"/>
        <v/>
      </c>
      <c r="BF28" s="169" t="str">
        <f t="shared" si="33"/>
        <v/>
      </c>
      <c r="BG28" s="170">
        <f>IF(BB28&gt;0,IFERROR(GETPIVOTDATA("act_qty",RECPT!$A$83,"yymm","202104","unit","KAL","comm","F"),0),)</f>
        <v>0</v>
      </c>
    </row>
    <row r="29" spans="1:59" ht="21" x14ac:dyDescent="0.25">
      <c r="A29" s="166">
        <f t="shared" ref="A29:A39" si="35">A8</f>
        <v>44317</v>
      </c>
      <c r="B29" s="167"/>
      <c r="C29" s="168"/>
      <c r="D29" s="168"/>
      <c r="E29" s="168"/>
      <c r="F29" s="168"/>
      <c r="G29" s="168" t="str">
        <f t="shared" si="19"/>
        <v/>
      </c>
      <c r="H29" s="169" t="str">
        <f t="shared" si="20"/>
        <v/>
      </c>
      <c r="I29" s="170">
        <f>IF(D29&gt;0,IFERROR(GETPIVOTDATA("act_qty",RECPT!$A$83,"yymm","202105","unit","GUA","comm","L"),0),)</f>
        <v>0</v>
      </c>
      <c r="J29" s="119"/>
      <c r="K29" s="166">
        <f t="shared" ref="K29:K39" si="36">A8</f>
        <v>44317</v>
      </c>
      <c r="L29" s="167"/>
      <c r="M29" s="168"/>
      <c r="N29" s="168"/>
      <c r="O29" s="168"/>
      <c r="P29" s="168"/>
      <c r="Q29" s="168" t="str">
        <f t="shared" si="21"/>
        <v/>
      </c>
      <c r="R29" s="169" t="str">
        <f t="shared" si="22"/>
        <v/>
      </c>
      <c r="S29" s="170">
        <f>IF(N29&gt;0,IFERROR(GETPIVOTDATA("act_qty",RECPT!$A$83,"yymm","202105","unit","GUA","comm","F"),0),)</f>
        <v>0</v>
      </c>
      <c r="T29" s="104"/>
      <c r="U29" s="172">
        <f t="shared" si="23"/>
        <v>44317</v>
      </c>
      <c r="V29" s="167"/>
      <c r="W29" s="168"/>
      <c r="X29" s="168"/>
      <c r="Y29" s="168"/>
      <c r="Z29" s="168"/>
      <c r="AA29" s="168" t="str">
        <f t="shared" si="24"/>
        <v/>
      </c>
      <c r="AB29" s="169" t="str">
        <f t="shared" si="25"/>
        <v/>
      </c>
      <c r="AC29" s="170">
        <f>IF(X29&gt;0,IFERROR(GETPIVOTDATA("act_qty",RECPT!$A$83,"yymm","202105","unit","BAR","comm","L"),0),)</f>
        <v>0</v>
      </c>
      <c r="AD29" s="104"/>
      <c r="AE29" s="172">
        <f t="shared" si="26"/>
        <v>44317</v>
      </c>
      <c r="AF29" s="167"/>
      <c r="AG29" s="168"/>
      <c r="AH29" s="168"/>
      <c r="AI29" s="168"/>
      <c r="AJ29" s="168"/>
      <c r="AK29" s="168" t="str">
        <f t="shared" si="27"/>
        <v/>
      </c>
      <c r="AL29" s="169" t="str">
        <f t="shared" si="28"/>
        <v/>
      </c>
      <c r="AM29" s="170">
        <f>IF(AH29&gt;0,IFERROR(GETPIVOTDATA("act_qty",RECPT!$A$83,"yymm","202105","unit","BAR","comm","F"),0),)</f>
        <v>0</v>
      </c>
      <c r="AN29" s="104"/>
      <c r="AO29" s="172">
        <f t="shared" si="29"/>
        <v>44317</v>
      </c>
      <c r="AP29" s="167"/>
      <c r="AQ29" s="168"/>
      <c r="AR29" s="168"/>
      <c r="AS29" s="168"/>
      <c r="AT29" s="168"/>
      <c r="AU29" s="168" t="str">
        <f t="shared" si="30"/>
        <v/>
      </c>
      <c r="AV29" s="169" t="str">
        <f t="shared" si="31"/>
        <v/>
      </c>
      <c r="AW29" s="170">
        <f>IF(AR29&gt;0,IFERROR(GETPIVOTDATA("act_qty",RECPT!$A$83,"yymm","202105","unit","KAL","comm","L"),0),)</f>
        <v>0</v>
      </c>
      <c r="AX29" s="104"/>
      <c r="AY29" s="172">
        <f t="shared" si="34"/>
        <v>44317</v>
      </c>
      <c r="AZ29" s="167"/>
      <c r="BA29" s="168"/>
      <c r="BB29" s="168"/>
      <c r="BC29" s="168"/>
      <c r="BD29" s="168"/>
      <c r="BE29" s="168" t="str">
        <f t="shared" si="32"/>
        <v/>
      </c>
      <c r="BF29" s="169" t="str">
        <f t="shared" si="33"/>
        <v/>
      </c>
      <c r="BG29" s="170">
        <f>IF(BB29&gt;0,IFERROR(GETPIVOTDATA("act_qty",RECPT!$A$83,"yymm","202105","unit","KAL","comm","F"),0),)</f>
        <v>0</v>
      </c>
    </row>
    <row r="30" spans="1:59" ht="21" x14ac:dyDescent="0.25">
      <c r="A30" s="166">
        <f t="shared" si="35"/>
        <v>44348</v>
      </c>
      <c r="B30" s="167"/>
      <c r="C30" s="168"/>
      <c r="D30" s="168"/>
      <c r="E30" s="168"/>
      <c r="F30" s="168"/>
      <c r="G30" s="168" t="str">
        <f t="shared" si="19"/>
        <v/>
      </c>
      <c r="H30" s="169" t="str">
        <f t="shared" si="20"/>
        <v/>
      </c>
      <c r="I30" s="170">
        <f>IF(D30&gt;0,IFERROR(GETPIVOTDATA("act_qty",RECPT!$A$83,"yymm","202106","unit","GUA","comm","L"),0),)</f>
        <v>0</v>
      </c>
      <c r="J30" s="119"/>
      <c r="K30" s="166">
        <f t="shared" si="36"/>
        <v>44348</v>
      </c>
      <c r="L30" s="167"/>
      <c r="M30" s="168"/>
      <c r="N30" s="168"/>
      <c r="O30" s="168"/>
      <c r="P30" s="168"/>
      <c r="Q30" s="168" t="str">
        <f t="shared" si="21"/>
        <v/>
      </c>
      <c r="R30" s="169" t="str">
        <f t="shared" si="22"/>
        <v/>
      </c>
      <c r="S30" s="170">
        <f>IF(N30&gt;0,IFERROR(GETPIVOTDATA("act_qty",RECPT!$A$83,"yymm","202106","unit","GUA","comm","F"),0),)</f>
        <v>0</v>
      </c>
      <c r="T30" s="104"/>
      <c r="U30" s="172">
        <f t="shared" si="23"/>
        <v>44348</v>
      </c>
      <c r="V30" s="167"/>
      <c r="W30" s="168"/>
      <c r="X30" s="168"/>
      <c r="Y30" s="168"/>
      <c r="Z30" s="168"/>
      <c r="AA30" s="168" t="str">
        <f t="shared" si="24"/>
        <v/>
      </c>
      <c r="AB30" s="169" t="str">
        <f t="shared" si="25"/>
        <v/>
      </c>
      <c r="AC30" s="170">
        <f>IF(X30&gt;0,IFERROR(GETPIVOTDATA("act_qty",RECPT!$A$83,"yymm","202106","unit","BAR","comm","L"),0),)</f>
        <v>0</v>
      </c>
      <c r="AD30" s="171"/>
      <c r="AE30" s="172">
        <f t="shared" si="26"/>
        <v>44348</v>
      </c>
      <c r="AF30" s="167"/>
      <c r="AG30" s="168"/>
      <c r="AH30" s="168"/>
      <c r="AI30" s="168"/>
      <c r="AJ30" s="168"/>
      <c r="AK30" s="168" t="str">
        <f t="shared" si="27"/>
        <v/>
      </c>
      <c r="AL30" s="169" t="str">
        <f t="shared" si="28"/>
        <v/>
      </c>
      <c r="AM30" s="170">
        <f>IF(AH30&gt;0,IFERROR(GETPIVOTDATA("act_qty",RECPT!$A$83,"yymm","202106","unit","BAR","comm","F"),0),)</f>
        <v>0</v>
      </c>
      <c r="AN30" s="104"/>
      <c r="AO30" s="172">
        <f t="shared" si="29"/>
        <v>44348</v>
      </c>
      <c r="AP30" s="167"/>
      <c r="AQ30" s="168"/>
      <c r="AR30" s="168"/>
      <c r="AS30" s="168"/>
      <c r="AT30" s="168"/>
      <c r="AU30" s="168" t="str">
        <f t="shared" si="30"/>
        <v/>
      </c>
      <c r="AV30" s="169" t="str">
        <f t="shared" si="31"/>
        <v/>
      </c>
      <c r="AW30" s="170">
        <f>IF(AR30&gt;0,IFERROR(GETPIVOTDATA("act_qty",RECPT!$A$83,"yymm","202106","unit","KAL","comm","L"),0),)</f>
        <v>0</v>
      </c>
      <c r="AX30" s="104"/>
      <c r="AY30" s="172">
        <f t="shared" si="34"/>
        <v>44348</v>
      </c>
      <c r="AZ30" s="167"/>
      <c r="BA30" s="168"/>
      <c r="BB30" s="168"/>
      <c r="BC30" s="168"/>
      <c r="BD30" s="168"/>
      <c r="BE30" s="168" t="str">
        <f t="shared" si="32"/>
        <v/>
      </c>
      <c r="BF30" s="169" t="str">
        <f t="shared" si="33"/>
        <v/>
      </c>
      <c r="BG30" s="170">
        <f>IF(BB30&gt;0,IFERROR(GETPIVOTDATA("act_qty",RECPT!$A$83,"yymm","202106","unit","KAL","comm","F"),0),)</f>
        <v>0</v>
      </c>
    </row>
    <row r="31" spans="1:59" ht="21" x14ac:dyDescent="0.25">
      <c r="A31" s="166">
        <f t="shared" si="35"/>
        <v>44378</v>
      </c>
      <c r="B31" s="167"/>
      <c r="C31" s="168"/>
      <c r="D31" s="168"/>
      <c r="E31" s="168"/>
      <c r="F31" s="168"/>
      <c r="G31" s="168" t="str">
        <f t="shared" si="19"/>
        <v/>
      </c>
      <c r="H31" s="169" t="str">
        <f t="shared" si="20"/>
        <v/>
      </c>
      <c r="I31" s="170">
        <f>IF(D31&gt;0,IFERROR(GETPIVOTDATA("act_qty",RECPT!$A$83,"yymm","202107","unit","GUA","comm","L"),0),)</f>
        <v>0</v>
      </c>
      <c r="J31" s="119"/>
      <c r="K31" s="166">
        <f t="shared" si="36"/>
        <v>44378</v>
      </c>
      <c r="L31" s="167"/>
      <c r="M31" s="168"/>
      <c r="N31" s="168"/>
      <c r="O31" s="168"/>
      <c r="P31" s="168"/>
      <c r="Q31" s="168" t="str">
        <f t="shared" si="21"/>
        <v/>
      </c>
      <c r="R31" s="169" t="str">
        <f t="shared" si="22"/>
        <v/>
      </c>
      <c r="S31" s="170">
        <f>IF(N31&gt;0,IFERROR(GETPIVOTDATA("act_qty",RECPT!$A$83,"yymm","202107","unit","GUA","comm","F"),0),)</f>
        <v>0</v>
      </c>
      <c r="T31" s="104"/>
      <c r="U31" s="172">
        <f t="shared" si="23"/>
        <v>44378</v>
      </c>
      <c r="V31" s="167"/>
      <c r="W31" s="168"/>
      <c r="X31" s="168"/>
      <c r="Y31" s="168"/>
      <c r="Z31" s="168"/>
      <c r="AA31" s="168" t="str">
        <f t="shared" si="24"/>
        <v/>
      </c>
      <c r="AB31" s="169" t="str">
        <f t="shared" si="25"/>
        <v/>
      </c>
      <c r="AC31" s="170">
        <f>IF(X31&gt;0,IFERROR(GETPIVOTDATA("act_qty",RECPT!$A$83,"yymm","202107","unit","BAR","comm","L"),0),)</f>
        <v>0</v>
      </c>
      <c r="AD31" s="171"/>
      <c r="AE31" s="172">
        <f t="shared" si="26"/>
        <v>44378</v>
      </c>
      <c r="AF31" s="167"/>
      <c r="AG31" s="168"/>
      <c r="AH31" s="168"/>
      <c r="AI31" s="168"/>
      <c r="AJ31" s="168"/>
      <c r="AK31" s="168" t="str">
        <f t="shared" si="27"/>
        <v/>
      </c>
      <c r="AL31" s="169" t="str">
        <f t="shared" si="28"/>
        <v/>
      </c>
      <c r="AM31" s="170">
        <f>IF(AH31&gt;0,IFERROR(GETPIVOTDATA("act_qty",RECPT!$A$83,"yymm","202107","unit","BAR","comm","F"),0),)</f>
        <v>0</v>
      </c>
      <c r="AN31" s="104"/>
      <c r="AO31" s="172">
        <f t="shared" si="29"/>
        <v>44378</v>
      </c>
      <c r="AP31" s="167"/>
      <c r="AQ31" s="168"/>
      <c r="AR31" s="168"/>
      <c r="AS31" s="168"/>
      <c r="AT31" s="168"/>
      <c r="AU31" s="168" t="str">
        <f t="shared" si="30"/>
        <v/>
      </c>
      <c r="AV31" s="169" t="str">
        <f t="shared" si="31"/>
        <v/>
      </c>
      <c r="AW31" s="170">
        <f>IF(AR31&gt;0,IFERROR(GETPIVOTDATA("act_qty",RECPT!$A$83,"yymm","202107","unit","KAL","comm","L"),0),)</f>
        <v>0</v>
      </c>
      <c r="AX31" s="104"/>
      <c r="AY31" s="172">
        <f t="shared" si="34"/>
        <v>44378</v>
      </c>
      <c r="AZ31" s="167"/>
      <c r="BA31" s="168"/>
      <c r="BB31" s="168"/>
      <c r="BC31" s="168"/>
      <c r="BD31" s="168"/>
      <c r="BE31" s="168" t="str">
        <f t="shared" si="32"/>
        <v/>
      </c>
      <c r="BF31" s="169" t="str">
        <f t="shared" si="33"/>
        <v/>
      </c>
      <c r="BG31" s="170">
        <f>IF(BB31&gt;0,IFERROR(GETPIVOTDATA("act_qty",RECPT!$A$83,"yymm","202107","unit","KAL","comm","F"),0),)</f>
        <v>0</v>
      </c>
    </row>
    <row r="32" spans="1:59" ht="21" x14ac:dyDescent="0.25">
      <c r="A32" s="166">
        <f t="shared" si="35"/>
        <v>44409</v>
      </c>
      <c r="B32" s="167"/>
      <c r="C32" s="168"/>
      <c r="D32" s="168"/>
      <c r="E32" s="168"/>
      <c r="F32" s="168"/>
      <c r="G32" s="168" t="str">
        <f t="shared" si="19"/>
        <v/>
      </c>
      <c r="H32" s="169" t="str">
        <f t="shared" si="20"/>
        <v/>
      </c>
      <c r="I32" s="170">
        <f>IF(D32&gt;0,IFERROR(GETPIVOTDATA("act_qty",RECPT!$A$83,"yymm","202108","unit","GUA","comm","L"),0),)</f>
        <v>0</v>
      </c>
      <c r="J32" s="119"/>
      <c r="K32" s="166">
        <f t="shared" si="36"/>
        <v>44409</v>
      </c>
      <c r="L32" s="167"/>
      <c r="M32" s="168"/>
      <c r="N32" s="168"/>
      <c r="O32" s="168"/>
      <c r="P32" s="168"/>
      <c r="Q32" s="168" t="str">
        <f t="shared" si="21"/>
        <v/>
      </c>
      <c r="R32" s="169" t="str">
        <f t="shared" si="22"/>
        <v/>
      </c>
      <c r="S32" s="170">
        <f>IF(N32&gt;0,IFERROR(GETPIVOTDATA("act_qty",RECPT!$A$83,"yymm","202108","unit","GUA","comm","F"),0),)</f>
        <v>0</v>
      </c>
      <c r="T32" s="104"/>
      <c r="U32" s="172">
        <f t="shared" si="23"/>
        <v>44409</v>
      </c>
      <c r="V32" s="167"/>
      <c r="W32" s="168"/>
      <c r="X32" s="168"/>
      <c r="Y32" s="168"/>
      <c r="Z32" s="168"/>
      <c r="AA32" s="168" t="str">
        <f t="shared" si="24"/>
        <v/>
      </c>
      <c r="AB32" s="169" t="str">
        <f t="shared" si="25"/>
        <v/>
      </c>
      <c r="AC32" s="170">
        <f>IF(X32&gt;0,IFERROR(GETPIVOTDATA("act_qty",RECPT!$A$83,"yymm","202108","unit","BAR","comm","L"),0),)</f>
        <v>0</v>
      </c>
      <c r="AD32" s="171"/>
      <c r="AE32" s="172">
        <f t="shared" si="26"/>
        <v>44409</v>
      </c>
      <c r="AF32" s="167">
        <v>58.7</v>
      </c>
      <c r="AG32" s="168">
        <v>8.36</v>
      </c>
      <c r="AH32" s="168">
        <v>2.99</v>
      </c>
      <c r="AI32" s="168">
        <v>8.9499999999999993</v>
      </c>
      <c r="AJ32" s="168">
        <v>66.599999999999994</v>
      </c>
      <c r="AK32" s="168">
        <f t="shared" si="27"/>
        <v>11.35</v>
      </c>
      <c r="AL32" s="169">
        <f t="shared" si="28"/>
        <v>0.35765550239234456</v>
      </c>
      <c r="AM32" s="170">
        <f>IF(AH32&gt;0,IFERROR(GETPIVOTDATA("act_qty",RECPT!$A$83,"yymm","202108","unit","BAR","comm","F"),0),)</f>
        <v>7758</v>
      </c>
      <c r="AN32" s="104"/>
      <c r="AO32" s="172">
        <f t="shared" si="29"/>
        <v>44409</v>
      </c>
      <c r="AP32" s="167"/>
      <c r="AQ32" s="168"/>
      <c r="AR32" s="168"/>
      <c r="AS32" s="168"/>
      <c r="AT32" s="168"/>
      <c r="AU32" s="168" t="str">
        <f t="shared" si="30"/>
        <v/>
      </c>
      <c r="AV32" s="169" t="str">
        <f t="shared" si="31"/>
        <v/>
      </c>
      <c r="AW32" s="170">
        <f>IF(AR32&gt;0,IFERROR(GETPIVOTDATA("act_qty",RECPT!$A$83,"yymm","202108","unit","KAL","comm","L"),0),)</f>
        <v>0</v>
      </c>
      <c r="AX32" s="104"/>
      <c r="AY32" s="172">
        <f t="shared" si="34"/>
        <v>44409</v>
      </c>
      <c r="AZ32" s="167"/>
      <c r="BA32" s="168"/>
      <c r="BB32" s="168"/>
      <c r="BC32" s="168"/>
      <c r="BD32" s="168"/>
      <c r="BE32" s="168" t="str">
        <f t="shared" si="32"/>
        <v/>
      </c>
      <c r="BF32" s="169" t="str">
        <f t="shared" si="33"/>
        <v/>
      </c>
      <c r="BG32" s="170">
        <f>IF(BB32&gt;0,IFERROR(GETPIVOTDATA("act_qty",RECPT!$A$83,"yymm","202108","unit","KAL","comm","F"),0),)</f>
        <v>0</v>
      </c>
    </row>
    <row r="33" spans="1:60" ht="21" x14ac:dyDescent="0.25">
      <c r="A33" s="166">
        <f t="shared" si="35"/>
        <v>44440</v>
      </c>
      <c r="B33" s="167"/>
      <c r="C33" s="168"/>
      <c r="D33" s="168"/>
      <c r="E33" s="168"/>
      <c r="F33" s="168"/>
      <c r="G33" s="168" t="str">
        <f t="shared" si="19"/>
        <v/>
      </c>
      <c r="H33" s="169" t="str">
        <f t="shared" si="20"/>
        <v/>
      </c>
      <c r="I33" s="170">
        <f>IF(D33&gt;0,IFERROR(GETPIVOTDATA("act_qty",RECPT!$A$83,"yymm","202109","unit","GUA","comm","L"),0),)</f>
        <v>0</v>
      </c>
      <c r="J33" s="119"/>
      <c r="K33" s="166">
        <f t="shared" si="36"/>
        <v>44440</v>
      </c>
      <c r="L33" s="167"/>
      <c r="M33" s="168"/>
      <c r="N33" s="168"/>
      <c r="O33" s="168"/>
      <c r="P33" s="168"/>
      <c r="Q33" s="168" t="str">
        <f t="shared" si="21"/>
        <v/>
      </c>
      <c r="R33" s="169" t="str">
        <f t="shared" si="22"/>
        <v/>
      </c>
      <c r="S33" s="170">
        <f>IF(N33&gt;0,IFERROR(GETPIVOTDATA("act_qty",RECPT!$A$83,"yymm","202109","unit","GUA","comm","F"),0),)</f>
        <v>0</v>
      </c>
      <c r="T33" s="104"/>
      <c r="U33" s="172">
        <f t="shared" si="23"/>
        <v>44440</v>
      </c>
      <c r="V33" s="167"/>
      <c r="W33" s="168"/>
      <c r="X33" s="168"/>
      <c r="Y33" s="168"/>
      <c r="Z33" s="168"/>
      <c r="AA33" s="168" t="str">
        <f t="shared" si="24"/>
        <v/>
      </c>
      <c r="AB33" s="169" t="str">
        <f t="shared" si="25"/>
        <v/>
      </c>
      <c r="AC33" s="170">
        <f>IF(X33&gt;0,IFERROR(GETPIVOTDATA("act_qty",RECPT!$A$83,"yymm","202109","unit","BAR","comm","L"),0),)</f>
        <v>0</v>
      </c>
      <c r="AD33" s="171"/>
      <c r="AE33" s="172">
        <f t="shared" si="26"/>
        <v>44440</v>
      </c>
      <c r="AF33" s="167">
        <v>0</v>
      </c>
      <c r="AG33" s="168">
        <v>0</v>
      </c>
      <c r="AH33" s="168">
        <v>0</v>
      </c>
      <c r="AI33" s="168">
        <v>0</v>
      </c>
      <c r="AJ33" s="168">
        <v>0</v>
      </c>
      <c r="AK33" s="168" t="str">
        <f t="shared" si="27"/>
        <v/>
      </c>
      <c r="AL33" s="169" t="str">
        <f t="shared" si="28"/>
        <v/>
      </c>
      <c r="AM33" s="170">
        <f>IF(AH33&gt;0,IFERROR(GETPIVOTDATA("act_qty",RECPT!$A$83,"yymm","202109","unit","BAR","comm","F"),0),)</f>
        <v>0</v>
      </c>
      <c r="AN33" s="104"/>
      <c r="AO33" s="172">
        <f t="shared" si="29"/>
        <v>44440</v>
      </c>
      <c r="AP33" s="167"/>
      <c r="AQ33" s="168"/>
      <c r="AR33" s="168"/>
      <c r="AS33" s="168"/>
      <c r="AT33" s="168"/>
      <c r="AU33" s="168" t="str">
        <f t="shared" si="30"/>
        <v/>
      </c>
      <c r="AV33" s="169" t="str">
        <f t="shared" si="31"/>
        <v/>
      </c>
      <c r="AW33" s="170">
        <f>IF(AR33&gt;0,IFERROR(GETPIVOTDATA("act_qty",RECPT!$A$83,"yymm","202109","unit","KAL","comm","L"),0),)</f>
        <v>0</v>
      </c>
      <c r="AX33" s="104"/>
      <c r="AY33" s="172">
        <f t="shared" si="34"/>
        <v>44440</v>
      </c>
      <c r="AZ33" s="167"/>
      <c r="BA33" s="168"/>
      <c r="BB33" s="168"/>
      <c r="BC33" s="168"/>
      <c r="BD33" s="168"/>
      <c r="BE33" s="168" t="str">
        <f t="shared" si="32"/>
        <v/>
      </c>
      <c r="BF33" s="169" t="str">
        <f t="shared" si="33"/>
        <v/>
      </c>
      <c r="BG33" s="170">
        <f>IF(BB33&gt;0,IFERROR(GETPIVOTDATA("act_qty",RECPT!$A$83,"yymm","202109","unit","KAL","comm","F"),0),)</f>
        <v>0</v>
      </c>
    </row>
    <row r="34" spans="1:60" ht="21" x14ac:dyDescent="0.25">
      <c r="A34" s="166">
        <f t="shared" si="35"/>
        <v>44470</v>
      </c>
      <c r="B34" s="167"/>
      <c r="C34" s="168"/>
      <c r="D34" s="168"/>
      <c r="E34" s="168"/>
      <c r="F34" s="168"/>
      <c r="G34" s="168" t="str">
        <f t="shared" si="19"/>
        <v/>
      </c>
      <c r="H34" s="169" t="str">
        <f t="shared" si="20"/>
        <v/>
      </c>
      <c r="I34" s="170">
        <f>IF(D34&gt;0,IFERROR(GETPIVOTDATA("act_qty",RECPT!$A$83,"yymm","202110","unit","GUA","comm","L"),0),)</f>
        <v>0</v>
      </c>
      <c r="J34" s="119"/>
      <c r="K34" s="166">
        <f t="shared" si="36"/>
        <v>44470</v>
      </c>
      <c r="L34" s="167"/>
      <c r="M34" s="168"/>
      <c r="N34" s="168"/>
      <c r="O34" s="168"/>
      <c r="P34" s="168"/>
      <c r="Q34" s="168" t="str">
        <f t="shared" si="21"/>
        <v/>
      </c>
      <c r="R34" s="169" t="str">
        <f t="shared" si="22"/>
        <v/>
      </c>
      <c r="S34" s="170">
        <f>IF(N34&gt;0,IFERROR(GETPIVOTDATA("act_qty",RECPT!$A$83,"yymm","202110","unit","GUA","comm","F"),0),)</f>
        <v>0</v>
      </c>
      <c r="T34" s="104"/>
      <c r="U34" s="172">
        <f t="shared" si="23"/>
        <v>44470</v>
      </c>
      <c r="V34" s="167"/>
      <c r="W34" s="168"/>
      <c r="X34" s="168"/>
      <c r="Y34" s="168"/>
      <c r="Z34" s="168"/>
      <c r="AA34" s="168" t="str">
        <f t="shared" si="24"/>
        <v/>
      </c>
      <c r="AB34" s="169" t="str">
        <f t="shared" si="25"/>
        <v/>
      </c>
      <c r="AC34" s="170">
        <f>IF(X34&gt;0,IFERROR(GETPIVOTDATA("act_qty",RECPT!$A$83,"yymm","202110","unit","BAR","comm","L"),0),)</f>
        <v>0</v>
      </c>
      <c r="AD34" s="171"/>
      <c r="AE34" s="172">
        <f t="shared" si="26"/>
        <v>44470</v>
      </c>
      <c r="AF34" s="167">
        <v>59.01</v>
      </c>
      <c r="AG34" s="168">
        <v>5.72</v>
      </c>
      <c r="AH34" s="168">
        <v>4.09</v>
      </c>
      <c r="AI34" s="168">
        <v>5.94</v>
      </c>
      <c r="AJ34" s="168">
        <v>47.88</v>
      </c>
      <c r="AK34" s="168">
        <f t="shared" si="27"/>
        <v>9.8099999999999987</v>
      </c>
      <c r="AL34" s="169">
        <f t="shared" si="28"/>
        <v>0.715034965034965</v>
      </c>
      <c r="AM34" s="170">
        <f>IF(AH34&gt;0,IFERROR(GETPIVOTDATA("act_qty",RECPT!$A$83,"yymm","202110","unit","BAR","comm","F"),0),)</f>
        <v>19604.96</v>
      </c>
      <c r="AN34" s="104"/>
      <c r="AO34" s="172">
        <f t="shared" si="29"/>
        <v>44470</v>
      </c>
      <c r="AP34" s="167"/>
      <c r="AQ34" s="168"/>
      <c r="AR34" s="168"/>
      <c r="AS34" s="168"/>
      <c r="AT34" s="168"/>
      <c r="AU34" s="168" t="str">
        <f t="shared" si="30"/>
        <v/>
      </c>
      <c r="AV34" s="169" t="str">
        <f t="shared" si="31"/>
        <v/>
      </c>
      <c r="AW34" s="170">
        <f>IF(AR34&gt;0,IFERROR(GETPIVOTDATA("act_qty",RECPT!$A$83,"yymm","202110","unit","KAL","comm","L"),0),)</f>
        <v>0</v>
      </c>
      <c r="AX34" s="104"/>
      <c r="AY34" s="172">
        <f t="shared" si="34"/>
        <v>44470</v>
      </c>
      <c r="AZ34" s="167"/>
      <c r="BA34" s="168"/>
      <c r="BB34" s="168"/>
      <c r="BC34" s="168"/>
      <c r="BD34" s="168"/>
      <c r="BE34" s="168" t="str">
        <f t="shared" si="32"/>
        <v/>
      </c>
      <c r="BF34" s="169" t="str">
        <f t="shared" si="33"/>
        <v/>
      </c>
      <c r="BG34" s="170">
        <f>IF(BB34&gt;0,IFERROR(GETPIVOTDATA("act_qty",RECPT!$A$83,"yymm","202110","unit","KAL","comm","F"),0),)</f>
        <v>0</v>
      </c>
    </row>
    <row r="35" spans="1:60" ht="21" x14ac:dyDescent="0.25">
      <c r="A35" s="166">
        <f t="shared" si="35"/>
        <v>44501</v>
      </c>
      <c r="B35" s="167"/>
      <c r="C35" s="168"/>
      <c r="D35" s="168"/>
      <c r="E35" s="168"/>
      <c r="F35" s="168"/>
      <c r="G35" s="168" t="str">
        <f t="shared" si="19"/>
        <v/>
      </c>
      <c r="H35" s="169" t="str">
        <f t="shared" si="20"/>
        <v/>
      </c>
      <c r="I35" s="170">
        <f>IF(D35&gt;0,IFERROR(GETPIVOTDATA("act_qty",RECPT!$A$83,"yymm","202111","unit","GUA","comm","L"),0),)</f>
        <v>0</v>
      </c>
      <c r="J35" s="119"/>
      <c r="K35" s="166">
        <f t="shared" si="36"/>
        <v>44501</v>
      </c>
      <c r="L35" s="167"/>
      <c r="M35" s="168"/>
      <c r="N35" s="168"/>
      <c r="O35" s="168"/>
      <c r="P35" s="168"/>
      <c r="Q35" s="168" t="str">
        <f t="shared" si="21"/>
        <v/>
      </c>
      <c r="R35" s="169" t="str">
        <f t="shared" si="22"/>
        <v/>
      </c>
      <c r="S35" s="170">
        <f>IF(N35&gt;0,IFERROR(GETPIVOTDATA("act_qty",RECPT!$A$83,"yymm","202111","unit","GUA","comm","F"),0),)</f>
        <v>0</v>
      </c>
      <c r="T35" s="104"/>
      <c r="U35" s="172">
        <f t="shared" si="23"/>
        <v>44501</v>
      </c>
      <c r="V35" s="167"/>
      <c r="W35" s="168"/>
      <c r="X35" s="168"/>
      <c r="Y35" s="168"/>
      <c r="Z35" s="168"/>
      <c r="AA35" s="168" t="str">
        <f t="shared" si="24"/>
        <v/>
      </c>
      <c r="AB35" s="169" t="str">
        <f t="shared" si="25"/>
        <v/>
      </c>
      <c r="AC35" s="170">
        <f>IF(X35&gt;0,IFERROR(GETPIVOTDATA("act_qty",RECPT!$A$83,"yymm","202111","unit","BAR","comm","L"),0),)</f>
        <v>0</v>
      </c>
      <c r="AD35" s="171"/>
      <c r="AE35" s="172">
        <f t="shared" si="26"/>
        <v>44501</v>
      </c>
      <c r="AF35" s="167">
        <v>59.46</v>
      </c>
      <c r="AG35" s="168">
        <v>5.67</v>
      </c>
      <c r="AH35" s="168">
        <v>4.16</v>
      </c>
      <c r="AI35" s="168">
        <v>2.93</v>
      </c>
      <c r="AJ35" s="168">
        <v>60.43</v>
      </c>
      <c r="AK35" s="168">
        <f t="shared" si="27"/>
        <v>9.83</v>
      </c>
      <c r="AL35" s="169">
        <f t="shared" si="28"/>
        <v>0.73368606701940042</v>
      </c>
      <c r="AM35" s="170">
        <f>IF(AH35&gt;0,IFERROR(GETPIVOTDATA("act_qty",RECPT!$A$83,"yymm","202111","unit","BAR","comm","F"),0),)</f>
        <v>15191.9</v>
      </c>
      <c r="AN35" s="104"/>
      <c r="AO35" s="172">
        <f t="shared" si="29"/>
        <v>44501</v>
      </c>
      <c r="AP35" s="167"/>
      <c r="AQ35" s="168"/>
      <c r="AR35" s="168"/>
      <c r="AS35" s="168"/>
      <c r="AT35" s="168"/>
      <c r="AU35" s="168" t="str">
        <f t="shared" si="30"/>
        <v/>
      </c>
      <c r="AV35" s="169" t="str">
        <f t="shared" si="31"/>
        <v/>
      </c>
      <c r="AW35" s="170">
        <f>IF(AR35&gt;0,IFERROR(GETPIVOTDATA("act_qty",RECPT!$A$83,"yymm","202111","unit","KAL","comm","L"),0),)</f>
        <v>0</v>
      </c>
      <c r="AX35" s="104"/>
      <c r="AY35" s="172">
        <f t="shared" si="34"/>
        <v>44501</v>
      </c>
      <c r="AZ35" s="167"/>
      <c r="BA35" s="168"/>
      <c r="BB35" s="168"/>
      <c r="BC35" s="168"/>
      <c r="BD35" s="168"/>
      <c r="BE35" s="168" t="str">
        <f t="shared" si="32"/>
        <v/>
      </c>
      <c r="BF35" s="169" t="str">
        <f t="shared" si="33"/>
        <v/>
      </c>
      <c r="BG35" s="170">
        <f>IF(BB35&gt;0,IFERROR(GETPIVOTDATA("act_qty",RECPT!$A$83,"yymm","202111","unit","KAL","comm","F"),0),)</f>
        <v>0</v>
      </c>
    </row>
    <row r="36" spans="1:60" ht="21" x14ac:dyDescent="0.25">
      <c r="A36" s="166">
        <f t="shared" si="35"/>
        <v>44531</v>
      </c>
      <c r="B36" s="167"/>
      <c r="C36" s="168"/>
      <c r="D36" s="168"/>
      <c r="E36" s="168"/>
      <c r="F36" s="168"/>
      <c r="G36" s="168" t="str">
        <f t="shared" si="19"/>
        <v/>
      </c>
      <c r="H36" s="169" t="str">
        <f t="shared" si="20"/>
        <v/>
      </c>
      <c r="I36" s="170">
        <f>IF(D36&gt;0,IFERROR(GETPIVOTDATA("act_qty",RECPT!$A$83,"yymm","202112","unit","GUA","comm","L"),0),)</f>
        <v>0</v>
      </c>
      <c r="J36" s="119"/>
      <c r="K36" s="166">
        <f t="shared" si="36"/>
        <v>44531</v>
      </c>
      <c r="L36" s="167"/>
      <c r="M36" s="168"/>
      <c r="N36" s="168"/>
      <c r="O36" s="168"/>
      <c r="P36" s="168"/>
      <c r="Q36" s="168" t="str">
        <f t="shared" si="21"/>
        <v/>
      </c>
      <c r="R36" s="169" t="str">
        <f t="shared" si="22"/>
        <v/>
      </c>
      <c r="S36" s="170">
        <f>IF(N36&gt;0,IFERROR(GETPIVOTDATA("act_qty",RECPT!$A$83,"yymm","202112","unit","GUA","comm","F"),0),)</f>
        <v>0</v>
      </c>
      <c r="T36" s="104"/>
      <c r="U36" s="172">
        <f t="shared" si="23"/>
        <v>44531</v>
      </c>
      <c r="V36" s="167"/>
      <c r="W36" s="168"/>
      <c r="X36" s="168"/>
      <c r="Y36" s="168"/>
      <c r="Z36" s="168"/>
      <c r="AA36" s="168" t="str">
        <f t="shared" si="24"/>
        <v/>
      </c>
      <c r="AB36" s="169" t="str">
        <f t="shared" si="25"/>
        <v/>
      </c>
      <c r="AC36" s="170">
        <f>IF(X36&gt;0,IFERROR(GETPIVOTDATA("act_qty",RECPT!$A$83,"yymm","202112","unit","BAR","comm","L"),0),)</f>
        <v>0</v>
      </c>
      <c r="AD36" s="171"/>
      <c r="AE36" s="172">
        <f t="shared" si="26"/>
        <v>44531</v>
      </c>
      <c r="AF36" s="167">
        <v>60.64</v>
      </c>
      <c r="AG36" s="168">
        <v>5.0999999999999996</v>
      </c>
      <c r="AH36" s="168">
        <v>3.94</v>
      </c>
      <c r="AI36" s="168">
        <v>3.6</v>
      </c>
      <c r="AJ36" s="168">
        <v>58.45</v>
      </c>
      <c r="AK36" s="168">
        <f t="shared" si="27"/>
        <v>9.0399999999999991</v>
      </c>
      <c r="AL36" s="169">
        <f t="shared" si="28"/>
        <v>0.77254901960784317</v>
      </c>
      <c r="AM36" s="170">
        <f>IF(AH36&gt;0,IFERROR(GETPIVOTDATA("act_qty",RECPT!$A$83,"yymm","202112","unit","BAR","comm","F"),0),)</f>
        <v>7062.76</v>
      </c>
      <c r="AN36" s="104"/>
      <c r="AO36" s="172">
        <f t="shared" si="29"/>
        <v>44531</v>
      </c>
      <c r="AP36" s="167"/>
      <c r="AQ36" s="168"/>
      <c r="AR36" s="168"/>
      <c r="AS36" s="168"/>
      <c r="AT36" s="168"/>
      <c r="AU36" s="168" t="str">
        <f t="shared" si="30"/>
        <v/>
      </c>
      <c r="AV36" s="169" t="str">
        <f t="shared" si="31"/>
        <v/>
      </c>
      <c r="AW36" s="170">
        <f>IF(AR36&gt;0,IFERROR(GETPIVOTDATA("act_qty",RECPT!$A$83,"yymm","202112","unit","KAL","comm","L"),0),)</f>
        <v>0</v>
      </c>
      <c r="AX36" s="104"/>
      <c r="AY36" s="172">
        <f t="shared" si="34"/>
        <v>44531</v>
      </c>
      <c r="AZ36" s="167"/>
      <c r="BA36" s="168"/>
      <c r="BB36" s="168"/>
      <c r="BC36" s="168"/>
      <c r="BD36" s="168"/>
      <c r="BE36" s="168" t="str">
        <f t="shared" si="32"/>
        <v/>
      </c>
      <c r="BF36" s="169" t="str">
        <f t="shared" si="33"/>
        <v/>
      </c>
      <c r="BG36" s="170">
        <f>IF(BB36&gt;0,IFERROR(GETPIVOTDATA("act_qty",RECPT!$A$83,"yymm","202112","unit","KAL","comm","F"),0),)</f>
        <v>0</v>
      </c>
    </row>
    <row r="37" spans="1:60" ht="18.75" customHeight="1" x14ac:dyDescent="0.25">
      <c r="A37" s="166">
        <f t="shared" si="35"/>
        <v>44562</v>
      </c>
      <c r="B37" s="167"/>
      <c r="C37" s="168"/>
      <c r="D37" s="168"/>
      <c r="E37" s="168"/>
      <c r="F37" s="168"/>
      <c r="G37" s="168" t="str">
        <f t="shared" si="19"/>
        <v/>
      </c>
      <c r="H37" s="169" t="str">
        <f t="shared" si="20"/>
        <v/>
      </c>
      <c r="I37" s="170">
        <f>IF(D37&gt;0,IFERROR(GETPIVOTDATA("act_qty",RECPT!$A$83,"yymm","202201","unit","GUA","comm","L"),0),)</f>
        <v>0</v>
      </c>
      <c r="J37" s="119"/>
      <c r="K37" s="166">
        <f t="shared" si="36"/>
        <v>44562</v>
      </c>
      <c r="L37" s="167"/>
      <c r="M37" s="168"/>
      <c r="N37" s="168"/>
      <c r="O37" s="168"/>
      <c r="P37" s="168"/>
      <c r="Q37" s="168" t="str">
        <f t="shared" si="21"/>
        <v/>
      </c>
      <c r="R37" s="169" t="str">
        <f t="shared" si="22"/>
        <v/>
      </c>
      <c r="S37" s="170">
        <f>IF(N37&gt;0,IFERROR(GETPIVOTDATA("act_qty",RECPT!$A$83,"yymm","202201","unit","GUA","comm","F"),0),)</f>
        <v>0</v>
      </c>
      <c r="T37" s="104"/>
      <c r="U37" s="172">
        <f t="shared" si="23"/>
        <v>44562</v>
      </c>
      <c r="V37" s="167"/>
      <c r="W37" s="168"/>
      <c r="X37" s="168"/>
      <c r="Y37" s="168"/>
      <c r="Z37" s="168"/>
      <c r="AA37" s="168" t="str">
        <f t="shared" si="24"/>
        <v/>
      </c>
      <c r="AB37" s="169" t="str">
        <f t="shared" si="25"/>
        <v/>
      </c>
      <c r="AC37" s="170">
        <f>IF(X37&gt;0,IFERROR(GETPIVOTDATA("act_qty",RECPT!$A$83,"yymm","202201","unit","BAR","comm","L"),0),)</f>
        <v>0</v>
      </c>
      <c r="AD37" s="171"/>
      <c r="AE37" s="172">
        <f t="shared" si="26"/>
        <v>44562</v>
      </c>
      <c r="AF37" s="167">
        <v>56.66</v>
      </c>
      <c r="AG37" s="168">
        <v>7.79</v>
      </c>
      <c r="AH37" s="168">
        <v>5.28</v>
      </c>
      <c r="AI37" s="168">
        <v>2.1</v>
      </c>
      <c r="AJ37" s="168">
        <v>47.1</v>
      </c>
      <c r="AK37" s="168">
        <f t="shared" si="27"/>
        <v>13.07</v>
      </c>
      <c r="AL37" s="169">
        <f t="shared" si="28"/>
        <v>0.6777920410783056</v>
      </c>
      <c r="AM37" s="170">
        <f>IF(AH37&gt;0,IFERROR(GETPIVOTDATA("act_qty",RECPT!$A$83,"yymm","202201","unit","BAR","comm","F"),0),)</f>
        <v>3006.82</v>
      </c>
      <c r="AN37" s="104"/>
      <c r="AO37" s="172">
        <f t="shared" si="29"/>
        <v>44562</v>
      </c>
      <c r="AP37" s="167"/>
      <c r="AQ37" s="168"/>
      <c r="AR37" s="168"/>
      <c r="AS37" s="168"/>
      <c r="AT37" s="168"/>
      <c r="AU37" s="168" t="str">
        <f t="shared" si="30"/>
        <v/>
      </c>
      <c r="AV37" s="169" t="str">
        <f t="shared" si="31"/>
        <v/>
      </c>
      <c r="AW37" s="170">
        <f>IF(AR37&gt;0,IFERROR(GETPIVOTDATA("act_qty",RECPT!$A$83,"yymm","202201","unit","KAL","comm","L"),0),)</f>
        <v>0</v>
      </c>
      <c r="AX37" s="104"/>
      <c r="AY37" s="172">
        <f t="shared" si="34"/>
        <v>44562</v>
      </c>
      <c r="AZ37" s="167"/>
      <c r="BA37" s="168"/>
      <c r="BB37" s="168"/>
      <c r="BC37" s="168"/>
      <c r="BD37" s="168"/>
      <c r="BE37" s="168" t="str">
        <f t="shared" si="32"/>
        <v/>
      </c>
      <c r="BF37" s="169" t="str">
        <f t="shared" si="33"/>
        <v/>
      </c>
      <c r="BG37" s="170">
        <f>IF(BB37&gt;0,IFERROR(GETPIVOTDATA("act_qty",RECPT!$A$83,"yymm","202201","unit","KAL","comm","F"),0),)</f>
        <v>0</v>
      </c>
    </row>
    <row r="38" spans="1:60" ht="21" x14ac:dyDescent="0.25">
      <c r="A38" s="166">
        <f t="shared" si="35"/>
        <v>44593</v>
      </c>
      <c r="B38" s="167"/>
      <c r="C38" s="168"/>
      <c r="D38" s="168"/>
      <c r="E38" s="168"/>
      <c r="F38" s="168"/>
      <c r="G38" s="168" t="str">
        <f t="shared" si="19"/>
        <v/>
      </c>
      <c r="H38" s="169" t="str">
        <f t="shared" si="20"/>
        <v/>
      </c>
      <c r="I38" s="170">
        <f>IF(D38&gt;0,IFERROR(GETPIVOTDATA("act_qty",RECPT!$A$83,"yymm","202202","unit","GUA","comm","L"),0),)</f>
        <v>0</v>
      </c>
      <c r="J38" s="119"/>
      <c r="K38" s="166">
        <f t="shared" si="36"/>
        <v>44593</v>
      </c>
      <c r="L38" s="167"/>
      <c r="M38" s="168"/>
      <c r="N38" s="168"/>
      <c r="O38" s="168"/>
      <c r="P38" s="168"/>
      <c r="Q38" s="168" t="str">
        <f t="shared" si="21"/>
        <v/>
      </c>
      <c r="R38" s="169" t="str">
        <f t="shared" si="22"/>
        <v/>
      </c>
      <c r="S38" s="170">
        <f>IF(N38&gt;0,IFERROR(GETPIVOTDATA("act_qty",RECPT!$A$83,"yymm","202202","unit","GUA","comm","F"),0),)</f>
        <v>0</v>
      </c>
      <c r="T38" s="104"/>
      <c r="U38" s="172">
        <f t="shared" si="23"/>
        <v>44593</v>
      </c>
      <c r="V38" s="167"/>
      <c r="W38" s="168"/>
      <c r="X38" s="168"/>
      <c r="Y38" s="168"/>
      <c r="Z38" s="168"/>
      <c r="AA38" s="168" t="str">
        <f t="shared" si="24"/>
        <v/>
      </c>
      <c r="AB38" s="169" t="str">
        <f t="shared" si="25"/>
        <v/>
      </c>
      <c r="AC38" s="170">
        <f>IF(X38&gt;0,IFERROR(GETPIVOTDATA("act_qty",RECPT!$A$83,"yymm","202202","unit","BAR","comm","L"),0),)</f>
        <v>0</v>
      </c>
      <c r="AD38" s="171"/>
      <c r="AE38" s="172">
        <f t="shared" si="26"/>
        <v>44593</v>
      </c>
      <c r="AF38" s="167">
        <v>0</v>
      </c>
      <c r="AG38" s="168">
        <v>0</v>
      </c>
      <c r="AH38" s="168">
        <v>0</v>
      </c>
      <c r="AI38" s="168">
        <v>0</v>
      </c>
      <c r="AJ38" s="168">
        <v>0</v>
      </c>
      <c r="AK38" s="168" t="str">
        <f t="shared" si="27"/>
        <v/>
      </c>
      <c r="AL38" s="169" t="str">
        <f t="shared" si="28"/>
        <v/>
      </c>
      <c r="AM38" s="170">
        <f>IF(AH38&gt;0,IFERROR(GETPIVOTDATA("act_qty",RECPT!$A$83,"yymm","202202","unit","BAR","comm","F"),0),)</f>
        <v>0</v>
      </c>
      <c r="AN38" s="104"/>
      <c r="AO38" s="172">
        <f t="shared" si="29"/>
        <v>44593</v>
      </c>
      <c r="AP38" s="167"/>
      <c r="AQ38" s="168"/>
      <c r="AR38" s="168"/>
      <c r="AS38" s="168"/>
      <c r="AT38" s="168"/>
      <c r="AU38" s="168" t="str">
        <f t="shared" si="30"/>
        <v/>
      </c>
      <c r="AV38" s="169" t="str">
        <f t="shared" si="31"/>
        <v/>
      </c>
      <c r="AW38" s="170">
        <f>IF(AR38&gt;0,IFERROR(GETPIVOTDATA("act_qty",RECPT!$A$83,"yymm","202202","unit","KAL","comm","L"),0),)</f>
        <v>0</v>
      </c>
      <c r="AX38" s="104"/>
      <c r="AY38" s="172">
        <f t="shared" si="34"/>
        <v>44593</v>
      </c>
      <c r="AZ38" s="167"/>
      <c r="BA38" s="168"/>
      <c r="BB38" s="168"/>
      <c r="BC38" s="168"/>
      <c r="BD38" s="168"/>
      <c r="BE38" s="168" t="str">
        <f t="shared" si="32"/>
        <v/>
      </c>
      <c r="BF38" s="169" t="str">
        <f t="shared" si="33"/>
        <v/>
      </c>
      <c r="BG38" s="170">
        <f>IF(BB38&gt;0,IFERROR(GETPIVOTDATA("act_qty",RECPT!$A$83,"yymm","202202","unit","KAL","comm","F"),0),)</f>
        <v>0</v>
      </c>
    </row>
    <row r="39" spans="1:60" ht="21.5" thickBot="1" x14ac:dyDescent="0.3">
      <c r="A39" s="166">
        <f t="shared" si="35"/>
        <v>44621</v>
      </c>
      <c r="B39" s="183"/>
      <c r="C39" s="184"/>
      <c r="D39" s="184"/>
      <c r="E39" s="168"/>
      <c r="F39" s="168"/>
      <c r="G39" s="168" t="str">
        <f t="shared" si="19"/>
        <v/>
      </c>
      <c r="H39" s="169" t="str">
        <f t="shared" si="20"/>
        <v/>
      </c>
      <c r="I39" s="170">
        <f>IF(D39&gt;0,IFERROR(GETPIVOTDATA("act_qty",RECPT!$A$83,"yymm","202203","unit","GUA","comm","L"),0),)</f>
        <v>0</v>
      </c>
      <c r="J39" s="119"/>
      <c r="K39" s="166">
        <f t="shared" si="36"/>
        <v>44621</v>
      </c>
      <c r="L39" s="183"/>
      <c r="M39" s="184"/>
      <c r="N39" s="184"/>
      <c r="O39" s="168"/>
      <c r="P39" s="168"/>
      <c r="Q39" s="168" t="str">
        <f t="shared" si="21"/>
        <v/>
      </c>
      <c r="R39" s="169" t="str">
        <f t="shared" si="22"/>
        <v/>
      </c>
      <c r="S39" s="170">
        <f>IF(N39&gt;0,IFERROR(GETPIVOTDATA("act_qty",RECPT!$A$83,"yymm","202203","unit","GUA","comm","F"),0),)</f>
        <v>0</v>
      </c>
      <c r="T39" s="104"/>
      <c r="U39" s="172">
        <f t="shared" si="23"/>
        <v>44621</v>
      </c>
      <c r="V39" s="183"/>
      <c r="W39" s="184"/>
      <c r="X39" s="184"/>
      <c r="Y39" s="168"/>
      <c r="Z39" s="168"/>
      <c r="AA39" s="168" t="str">
        <f t="shared" si="24"/>
        <v/>
      </c>
      <c r="AB39" s="169" t="str">
        <f t="shared" si="25"/>
        <v/>
      </c>
      <c r="AC39" s="170">
        <f>IF(X39&gt;0,IFERROR(GETPIVOTDATA("act_qty",RECPT!$A$83,"yymm","202203","unit","BAR","comm","L"),0),)</f>
        <v>0</v>
      </c>
      <c r="AD39" s="171"/>
      <c r="AE39" s="172">
        <f t="shared" si="26"/>
        <v>44621</v>
      </c>
      <c r="AF39" s="183">
        <v>0</v>
      </c>
      <c r="AG39" s="184">
        <v>0</v>
      </c>
      <c r="AH39" s="184">
        <v>0</v>
      </c>
      <c r="AI39" s="168">
        <v>0</v>
      </c>
      <c r="AJ39" s="168">
        <v>0</v>
      </c>
      <c r="AK39" s="168" t="str">
        <f t="shared" si="27"/>
        <v/>
      </c>
      <c r="AL39" s="169" t="str">
        <f t="shared" si="28"/>
        <v/>
      </c>
      <c r="AM39" s="170">
        <f>IF(AH39&gt;0,IFERROR(GETPIVOTDATA("act_qty",RECPT!$A$83,"yymm","202203","unit","BAR","comm","F"),0),)</f>
        <v>0</v>
      </c>
      <c r="AN39" s="104"/>
      <c r="AO39" s="185">
        <f t="shared" si="29"/>
        <v>44621</v>
      </c>
      <c r="AP39" s="183"/>
      <c r="AQ39" s="184"/>
      <c r="AR39" s="184"/>
      <c r="AS39" s="168"/>
      <c r="AT39" s="168"/>
      <c r="AU39" s="168" t="str">
        <f t="shared" si="30"/>
        <v/>
      </c>
      <c r="AV39" s="169" t="str">
        <f t="shared" si="31"/>
        <v/>
      </c>
      <c r="AW39" s="170">
        <f>IF(AR39&gt;0,IFERROR(GETPIVOTDATA("act_qty",RECPT!$A$83,"yymm","202203","unit","KAL","comm","L"),0),)</f>
        <v>0</v>
      </c>
      <c r="AX39" s="104"/>
      <c r="AY39" s="185">
        <f t="shared" si="34"/>
        <v>44621</v>
      </c>
      <c r="AZ39" s="183"/>
      <c r="BA39" s="184"/>
      <c r="BB39" s="184"/>
      <c r="BC39" s="168"/>
      <c r="BD39" s="168"/>
      <c r="BE39" s="168" t="str">
        <f t="shared" si="32"/>
        <v/>
      </c>
      <c r="BF39" s="169" t="str">
        <f t="shared" si="33"/>
        <v/>
      </c>
      <c r="BG39" s="235">
        <f>IF(BB39&gt;0,IFERROR(GETPIVOTDATA("act_qty",RECPT!$A$83,"yymm","202203","unit","KAL","comm","F"),0),)</f>
        <v>0</v>
      </c>
    </row>
    <row r="40" spans="1:60" ht="21.5" thickBot="1" x14ac:dyDescent="0.3">
      <c r="A40" s="191" t="s">
        <v>42</v>
      </c>
      <c r="B40" s="192"/>
      <c r="C40" s="192"/>
      <c r="D40" s="192"/>
      <c r="E40" s="192"/>
      <c r="F40" s="192"/>
      <c r="G40" s="193" t="str">
        <f t="shared" si="19"/>
        <v/>
      </c>
      <c r="H40" s="194" t="str">
        <f t="shared" si="20"/>
        <v/>
      </c>
      <c r="I40" s="195">
        <f>SUM(I28:I39)</f>
        <v>0</v>
      </c>
      <c r="J40" s="119"/>
      <c r="K40" s="191" t="s">
        <v>42</v>
      </c>
      <c r="L40" s="192"/>
      <c r="M40" s="192"/>
      <c r="N40" s="192"/>
      <c r="O40" s="192"/>
      <c r="P40" s="192"/>
      <c r="Q40" s="193" t="str">
        <f t="shared" si="21"/>
        <v/>
      </c>
      <c r="R40" s="194" t="str">
        <f t="shared" si="22"/>
        <v/>
      </c>
      <c r="S40" s="195">
        <f>SUM(S28:S39)</f>
        <v>0</v>
      </c>
      <c r="T40" s="104"/>
      <c r="U40" s="191" t="str">
        <f t="shared" si="23"/>
        <v>CUMML</v>
      </c>
      <c r="V40" s="192"/>
      <c r="W40" s="192"/>
      <c r="X40" s="192"/>
      <c r="Y40" s="192"/>
      <c r="Z40" s="192"/>
      <c r="AA40" s="193" t="str">
        <f t="shared" si="24"/>
        <v/>
      </c>
      <c r="AB40" s="194" t="str">
        <f t="shared" si="25"/>
        <v/>
      </c>
      <c r="AC40" s="195">
        <f>SUM(AC28:AC39)</f>
        <v>0</v>
      </c>
      <c r="AD40" s="171"/>
      <c r="AE40" s="196" t="str">
        <f t="shared" si="26"/>
        <v>CUMML</v>
      </c>
      <c r="AF40" s="192">
        <v>59.05</v>
      </c>
      <c r="AG40" s="192">
        <v>6.21</v>
      </c>
      <c r="AH40" s="192">
        <v>4</v>
      </c>
      <c r="AI40" s="192">
        <v>5.0999999999999996</v>
      </c>
      <c r="AJ40" s="192">
        <v>55.41</v>
      </c>
      <c r="AK40" s="193">
        <f t="shared" si="27"/>
        <v>10.210000000000001</v>
      </c>
      <c r="AL40" s="194">
        <f t="shared" si="28"/>
        <v>0.64412238325281801</v>
      </c>
      <c r="AM40" s="195">
        <f>SUM(AM28:AM39)</f>
        <v>52624.44</v>
      </c>
      <c r="AN40" s="104"/>
      <c r="AO40" s="197" t="str">
        <f t="shared" si="29"/>
        <v>CUMML</v>
      </c>
      <c r="AP40" s="192"/>
      <c r="AQ40" s="192"/>
      <c r="AR40" s="192"/>
      <c r="AS40" s="192"/>
      <c r="AT40" s="192"/>
      <c r="AU40" s="193" t="str">
        <f t="shared" si="30"/>
        <v/>
      </c>
      <c r="AV40" s="194" t="str">
        <f t="shared" si="31"/>
        <v/>
      </c>
      <c r="AW40" s="195">
        <f>SUM(AW28:AW39)</f>
        <v>0</v>
      </c>
      <c r="AX40" s="104"/>
      <c r="AY40" s="197" t="str">
        <f t="shared" si="34"/>
        <v>CUMML</v>
      </c>
      <c r="AZ40" s="192"/>
      <c r="BA40" s="192"/>
      <c r="BB40" s="192"/>
      <c r="BC40" s="192"/>
      <c r="BD40" s="192"/>
      <c r="BE40" s="193" t="str">
        <f t="shared" si="32"/>
        <v/>
      </c>
      <c r="BF40" s="194" t="str">
        <f t="shared" si="33"/>
        <v/>
      </c>
      <c r="BG40" s="195">
        <f>SUM(BG28:BG39)</f>
        <v>0</v>
      </c>
    </row>
    <row r="41" spans="1:60" s="7" customFormat="1" ht="15.75" customHeight="1" x14ac:dyDescent="0.4">
      <c r="A41" s="209"/>
      <c r="B41" s="209"/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16"/>
    </row>
    <row r="42" spans="1:60" s="18" customFormat="1" ht="26.25" customHeight="1" x14ac:dyDescent="0.4">
      <c r="A42" s="211"/>
      <c r="B42" s="212"/>
      <c r="C42" s="212"/>
      <c r="D42" s="212"/>
      <c r="E42" s="212"/>
      <c r="F42" s="212"/>
      <c r="G42" s="212"/>
      <c r="H42" s="212"/>
      <c r="I42" s="283"/>
      <c r="J42" s="212"/>
      <c r="K42" s="211"/>
      <c r="L42" s="212"/>
      <c r="M42" s="212"/>
      <c r="N42" s="212"/>
      <c r="O42" s="212"/>
      <c r="P42" s="212"/>
      <c r="Q42" s="212"/>
      <c r="R42" s="212"/>
      <c r="S42" s="283"/>
      <c r="T42" s="213"/>
      <c r="U42" s="213"/>
      <c r="V42" s="212"/>
      <c r="W42" s="212"/>
      <c r="X42" s="212"/>
      <c r="Y42" s="212"/>
      <c r="Z42" s="212"/>
      <c r="AA42" s="212"/>
      <c r="AB42" s="212"/>
      <c r="AC42" s="283"/>
      <c r="AD42" s="213"/>
      <c r="AE42" s="213"/>
      <c r="AF42" s="212"/>
      <c r="AG42" s="212"/>
      <c r="AH42" s="212"/>
      <c r="AI42" s="212"/>
      <c r="AJ42" s="212"/>
      <c r="AK42" s="212"/>
      <c r="AL42" s="212"/>
      <c r="AM42" s="213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2"/>
      <c r="BH42" s="17"/>
    </row>
    <row r="43" spans="1:60" s="12" customFormat="1" ht="18.75" customHeight="1" x14ac:dyDescent="0.25">
      <c r="A43" s="221"/>
      <c r="B43" s="205"/>
      <c r="C43" s="205"/>
      <c r="D43" s="205"/>
      <c r="E43" s="205"/>
      <c r="F43" s="205"/>
      <c r="G43" s="205"/>
      <c r="H43" s="205"/>
      <c r="I43" s="222"/>
      <c r="J43" s="212"/>
      <c r="K43" s="221"/>
      <c r="L43" s="205"/>
      <c r="M43" s="205"/>
      <c r="N43" s="205"/>
      <c r="O43" s="205"/>
      <c r="P43" s="205"/>
      <c r="Q43" s="205"/>
      <c r="R43" s="205"/>
      <c r="S43" s="213"/>
      <c r="T43" s="213"/>
      <c r="U43" s="223"/>
      <c r="V43" s="224"/>
      <c r="W43" s="224"/>
      <c r="X43" s="224"/>
      <c r="Y43" s="224"/>
      <c r="Z43" s="224"/>
      <c r="AA43" s="224"/>
      <c r="AB43" s="224"/>
      <c r="AC43" s="224"/>
      <c r="AD43" s="213"/>
      <c r="AE43" s="223"/>
      <c r="AF43" s="224"/>
      <c r="AG43" s="224"/>
      <c r="AH43" s="224"/>
      <c r="AI43" s="224"/>
      <c r="AJ43" s="224"/>
      <c r="AK43" s="224"/>
      <c r="AL43" s="224"/>
      <c r="AM43" s="213"/>
      <c r="AN43" s="213"/>
      <c r="AO43" s="223"/>
      <c r="AP43" s="224"/>
      <c r="AQ43" s="224"/>
      <c r="AR43" s="224"/>
      <c r="AS43" s="224"/>
      <c r="AT43" s="224"/>
      <c r="AU43" s="224"/>
      <c r="AV43" s="224"/>
      <c r="AW43" s="213"/>
      <c r="AX43" s="213"/>
      <c r="AY43" s="223"/>
      <c r="AZ43" s="224"/>
      <c r="BA43" s="224"/>
      <c r="BB43" s="224"/>
      <c r="BC43" s="224"/>
      <c r="BD43" s="224"/>
      <c r="BE43" s="224"/>
      <c r="BF43" s="224"/>
      <c r="BG43" s="213"/>
    </row>
    <row r="44" spans="1:60" s="19" customFormat="1" ht="24.75" customHeight="1" x14ac:dyDescent="0.6">
      <c r="A44" s="586" t="s">
        <v>46</v>
      </c>
      <c r="B44" s="586"/>
      <c r="C44" s="586"/>
      <c r="D44" s="585" t="s">
        <v>30</v>
      </c>
      <c r="E44" s="585"/>
      <c r="F44" s="585"/>
      <c r="G44" s="246"/>
      <c r="H44" s="246"/>
      <c r="I44" s="246"/>
      <c r="J44" s="104"/>
      <c r="K44" s="586" t="s">
        <v>46</v>
      </c>
      <c r="L44" s="586"/>
      <c r="M44" s="586"/>
      <c r="N44" s="585" t="s">
        <v>31</v>
      </c>
      <c r="O44" s="585"/>
      <c r="P44" s="585"/>
      <c r="Q44" s="246"/>
      <c r="R44" s="246"/>
      <c r="S44" s="104"/>
      <c r="T44" s="104"/>
      <c r="U44" s="586" t="s">
        <v>47</v>
      </c>
      <c r="V44" s="586"/>
      <c r="W44" s="586"/>
      <c r="X44" s="585" t="s">
        <v>30</v>
      </c>
      <c r="Y44" s="585"/>
      <c r="Z44" s="585"/>
      <c r="AA44" s="246"/>
      <c r="AB44" s="246"/>
      <c r="AC44" s="246"/>
      <c r="AD44" s="104"/>
      <c r="AE44" s="586" t="s">
        <v>47</v>
      </c>
      <c r="AF44" s="586"/>
      <c r="AG44" s="586"/>
      <c r="AH44" s="585" t="s">
        <v>31</v>
      </c>
      <c r="AI44" s="585"/>
      <c r="AJ44" s="585"/>
      <c r="AK44" s="246"/>
      <c r="AL44" s="246"/>
      <c r="AM44" s="104"/>
      <c r="AN44" s="104"/>
      <c r="AO44" s="586" t="s">
        <v>48</v>
      </c>
      <c r="AP44" s="586"/>
      <c r="AQ44" s="586"/>
      <c r="AR44" s="585" t="s">
        <v>30</v>
      </c>
      <c r="AS44" s="585"/>
      <c r="AT44" s="585"/>
      <c r="AU44" s="246"/>
      <c r="AV44" s="246"/>
      <c r="AW44" s="246"/>
      <c r="AX44" s="104"/>
      <c r="AY44" s="586" t="s">
        <v>48</v>
      </c>
      <c r="AZ44" s="586"/>
      <c r="BA44" s="586"/>
      <c r="BB44" s="585" t="s">
        <v>31</v>
      </c>
      <c r="BC44" s="585"/>
      <c r="BD44" s="585"/>
      <c r="BE44" s="246"/>
      <c r="BF44" s="246"/>
      <c r="BG44" s="246"/>
    </row>
    <row r="45" spans="1:60" ht="13.5" thickBot="1" x14ac:dyDescent="0.3">
      <c r="A45" s="103"/>
      <c r="B45" s="103"/>
      <c r="C45" s="103"/>
      <c r="D45" s="103"/>
      <c r="E45" s="103"/>
      <c r="F45" s="103"/>
      <c r="G45" s="103"/>
      <c r="H45" s="103"/>
      <c r="I45" s="103"/>
      <c r="J45" s="104"/>
      <c r="K45" s="103"/>
      <c r="L45" s="103"/>
      <c r="M45" s="103"/>
      <c r="N45" s="103"/>
      <c r="O45" s="103"/>
      <c r="P45" s="103"/>
      <c r="Q45" s="103"/>
      <c r="R45" s="103"/>
      <c r="S45" s="104"/>
      <c r="T45" s="104"/>
      <c r="U45" s="103"/>
      <c r="V45" s="103"/>
      <c r="W45" s="103"/>
      <c r="X45" s="103"/>
      <c r="Y45" s="103"/>
      <c r="Z45" s="103"/>
      <c r="AA45" s="103"/>
      <c r="AB45" s="103"/>
      <c r="AC45" s="103"/>
      <c r="AD45" s="104"/>
      <c r="AE45" s="103"/>
      <c r="AF45" s="103"/>
      <c r="AG45" s="103"/>
      <c r="AH45" s="103"/>
      <c r="AI45" s="103"/>
      <c r="AJ45" s="103"/>
      <c r="AK45" s="103"/>
      <c r="AL45" s="103"/>
      <c r="AM45" s="104"/>
      <c r="AN45" s="104"/>
      <c r="AO45" s="103"/>
      <c r="AP45" s="103"/>
      <c r="AQ45" s="103"/>
      <c r="AR45" s="103"/>
      <c r="AS45" s="103"/>
      <c r="AT45" s="103"/>
      <c r="AU45" s="103"/>
      <c r="AV45" s="103"/>
      <c r="AW45" s="103"/>
      <c r="AX45" s="104"/>
      <c r="AY45" s="103"/>
      <c r="AZ45" s="103"/>
      <c r="BA45" s="103"/>
      <c r="BB45" s="103"/>
      <c r="BC45" s="103"/>
      <c r="BD45" s="103"/>
      <c r="BE45" s="103"/>
      <c r="BF45" s="103"/>
      <c r="BG45" s="103"/>
    </row>
    <row r="46" spans="1:60" ht="25" thickBot="1" x14ac:dyDescent="0.3">
      <c r="A46" s="119"/>
      <c r="B46" s="120" t="s">
        <v>34</v>
      </c>
      <c r="C46" s="121" t="s">
        <v>35</v>
      </c>
      <c r="D46" s="121" t="s">
        <v>36</v>
      </c>
      <c r="E46" s="121" t="s">
        <v>37</v>
      </c>
      <c r="F46" s="121" t="s">
        <v>38</v>
      </c>
      <c r="G46" s="124" t="s">
        <v>39</v>
      </c>
      <c r="H46" s="121" t="s">
        <v>40</v>
      </c>
      <c r="I46" s="123" t="s">
        <v>41</v>
      </c>
      <c r="J46" s="104"/>
      <c r="K46" s="119"/>
      <c r="L46" s="120" t="s">
        <v>34</v>
      </c>
      <c r="M46" s="121" t="s">
        <v>35</v>
      </c>
      <c r="N46" s="121" t="s">
        <v>36</v>
      </c>
      <c r="O46" s="121" t="s">
        <v>37</v>
      </c>
      <c r="P46" s="121" t="s">
        <v>38</v>
      </c>
      <c r="Q46" s="124" t="s">
        <v>39</v>
      </c>
      <c r="R46" s="121" t="s">
        <v>40</v>
      </c>
      <c r="S46" s="123" t="s">
        <v>41</v>
      </c>
      <c r="T46" s="104"/>
      <c r="U46" s="119"/>
      <c r="V46" s="120" t="s">
        <v>34</v>
      </c>
      <c r="W46" s="121" t="s">
        <v>35</v>
      </c>
      <c r="X46" s="121" t="s">
        <v>36</v>
      </c>
      <c r="Y46" s="121" t="s">
        <v>37</v>
      </c>
      <c r="Z46" s="121" t="s">
        <v>38</v>
      </c>
      <c r="AA46" s="124" t="s">
        <v>39</v>
      </c>
      <c r="AB46" s="121" t="s">
        <v>40</v>
      </c>
      <c r="AC46" s="123" t="s">
        <v>41</v>
      </c>
      <c r="AD46" s="104"/>
      <c r="AE46" s="119"/>
      <c r="AF46" s="120" t="s">
        <v>34</v>
      </c>
      <c r="AG46" s="121" t="s">
        <v>35</v>
      </c>
      <c r="AH46" s="121" t="s">
        <v>36</v>
      </c>
      <c r="AI46" s="121" t="s">
        <v>37</v>
      </c>
      <c r="AJ46" s="121" t="s">
        <v>38</v>
      </c>
      <c r="AK46" s="124" t="s">
        <v>39</v>
      </c>
      <c r="AL46" s="121" t="s">
        <v>40</v>
      </c>
      <c r="AM46" s="123" t="s">
        <v>41</v>
      </c>
      <c r="AN46" s="104"/>
      <c r="AO46" s="126"/>
      <c r="AP46" s="120" t="s">
        <v>34</v>
      </c>
      <c r="AQ46" s="121" t="s">
        <v>35</v>
      </c>
      <c r="AR46" s="121" t="s">
        <v>36</v>
      </c>
      <c r="AS46" s="121" t="s">
        <v>37</v>
      </c>
      <c r="AT46" s="125" t="s">
        <v>38</v>
      </c>
      <c r="AU46" s="124" t="s">
        <v>39</v>
      </c>
      <c r="AV46" s="121" t="s">
        <v>40</v>
      </c>
      <c r="AW46" s="250" t="s">
        <v>41</v>
      </c>
      <c r="AX46" s="251"/>
      <c r="AY46" s="126"/>
      <c r="AZ46" s="120" t="s">
        <v>34</v>
      </c>
      <c r="BA46" s="121" t="s">
        <v>35</v>
      </c>
      <c r="BB46" s="121" t="s">
        <v>36</v>
      </c>
      <c r="BC46" s="121" t="s">
        <v>37</v>
      </c>
      <c r="BD46" s="125" t="s">
        <v>38</v>
      </c>
      <c r="BE46" s="124" t="s">
        <v>39</v>
      </c>
      <c r="BF46" s="121" t="s">
        <v>40</v>
      </c>
      <c r="BG46" s="250" t="s">
        <v>41</v>
      </c>
      <c r="BH46" s="20"/>
    </row>
    <row r="47" spans="1:60" ht="21.5" thickBot="1" x14ac:dyDescent="0.3">
      <c r="A47" s="132" t="str">
        <f>A5</f>
        <v>Act 20-21</v>
      </c>
      <c r="B47" s="133"/>
      <c r="C47" s="133"/>
      <c r="D47" s="133"/>
      <c r="E47" s="168"/>
      <c r="F47" s="168"/>
      <c r="G47" s="134" t="str">
        <f t="shared" ref="G47:G61" si="37">IF(C47&gt;0,+D47+C47,"")</f>
        <v/>
      </c>
      <c r="H47" s="134" t="str">
        <f t="shared" ref="H47:H61" si="38">IF(C47&gt;0,+D47/C47,"")</f>
        <v/>
      </c>
      <c r="I47" s="135"/>
      <c r="J47" s="104"/>
      <c r="K47" s="132" t="str">
        <f>A5</f>
        <v>Act 20-21</v>
      </c>
      <c r="L47" s="133"/>
      <c r="M47" s="133"/>
      <c r="N47" s="133"/>
      <c r="O47" s="168"/>
      <c r="P47" s="168"/>
      <c r="Q47" s="134" t="str">
        <f t="shared" ref="Q47:Q61" si="39">IF(M47&gt;0,+N47+M47,"")</f>
        <v/>
      </c>
      <c r="R47" s="134" t="str">
        <f t="shared" ref="R47:R61" si="40">IF(M47&gt;0,+N47/M47,"")</f>
        <v/>
      </c>
      <c r="S47" s="135"/>
      <c r="T47" s="104"/>
      <c r="U47" s="132" t="str">
        <f>K47</f>
        <v>Act 20-21</v>
      </c>
      <c r="V47" s="133"/>
      <c r="W47" s="133"/>
      <c r="X47" s="133"/>
      <c r="Y47" s="168"/>
      <c r="Z47" s="168"/>
      <c r="AA47" s="134" t="str">
        <f t="shared" ref="AA47:AA61" si="41">IF(W47&gt;0,+X47+W47,"")</f>
        <v/>
      </c>
      <c r="AB47" s="134" t="str">
        <f t="shared" ref="AB47:AB61" si="42">IF(W47&gt;0,+X47/W47,"")</f>
        <v/>
      </c>
      <c r="AC47" s="135"/>
      <c r="AD47" s="104"/>
      <c r="AE47" s="132" t="str">
        <f>K47</f>
        <v>Act 20-21</v>
      </c>
      <c r="AF47" s="139"/>
      <c r="AG47" s="134"/>
      <c r="AH47" s="134"/>
      <c r="AI47" s="168"/>
      <c r="AJ47" s="168"/>
      <c r="AK47" s="134" t="str">
        <f t="shared" ref="AK47:AK61" si="43">IF(AG47&gt;0,+AH47+AG47,"")</f>
        <v/>
      </c>
      <c r="AL47" s="134" t="str">
        <f t="shared" ref="AL47:AL61" si="44">IF(AG47&gt;0,+AH47/AG47,"")</f>
        <v/>
      </c>
      <c r="AM47" s="140"/>
      <c r="AN47" s="104"/>
      <c r="AO47" s="136" t="str">
        <f>AE47</f>
        <v>Act 20-21</v>
      </c>
      <c r="AP47" s="133">
        <v>62.92</v>
      </c>
      <c r="AQ47" s="133">
        <v>2.85</v>
      </c>
      <c r="AR47" s="133">
        <v>2.2000000000000002</v>
      </c>
      <c r="AS47" s="133">
        <v>17.5</v>
      </c>
      <c r="AT47" s="133">
        <v>17.399999999999999</v>
      </c>
      <c r="AU47" s="134">
        <f t="shared" ref="AU47:AU61" si="45">IF(AQ47&gt;0,+AR47+AQ47,"")</f>
        <v>5.0500000000000007</v>
      </c>
      <c r="AV47" s="134">
        <f t="shared" ref="AV47:AV48" si="46">IF(AQ47=0,0,AR47/AQ47)</f>
        <v>0.77192982456140358</v>
      </c>
      <c r="AW47" s="140"/>
      <c r="AX47" s="104"/>
      <c r="AY47" s="136" t="str">
        <f>+AO47</f>
        <v>Act 20-21</v>
      </c>
      <c r="AZ47" s="133">
        <v>61.51</v>
      </c>
      <c r="BA47" s="133">
        <v>4.37</v>
      </c>
      <c r="BB47" s="133">
        <v>2.68</v>
      </c>
      <c r="BC47" s="133">
        <v>6.77</v>
      </c>
      <c r="BD47" s="133">
        <v>34.33</v>
      </c>
      <c r="BE47" s="134">
        <f t="shared" ref="BE47:BE61" si="47">IF(BA47&gt;0,+BB47+BA47,"")</f>
        <v>7.0500000000000007</v>
      </c>
      <c r="BF47" s="134">
        <f t="shared" ref="BF47:BF48" si="48">IF(BA47=0,0,BB47/BA47)</f>
        <v>0.61327231121281467</v>
      </c>
      <c r="BG47" s="140"/>
    </row>
    <row r="48" spans="1:60" ht="21" x14ac:dyDescent="0.25">
      <c r="A48" s="145" t="str">
        <f>A6</f>
        <v>APP 21-22</v>
      </c>
      <c r="B48" s="146">
        <v>62.5</v>
      </c>
      <c r="C48" s="147">
        <v>2.4</v>
      </c>
      <c r="D48" s="147">
        <v>2.4</v>
      </c>
      <c r="E48" s="147">
        <v>5</v>
      </c>
      <c r="F48" s="147">
        <v>10</v>
      </c>
      <c r="G48" s="147">
        <f t="shared" si="37"/>
        <v>4.8</v>
      </c>
      <c r="H48" s="148">
        <f t="shared" si="38"/>
        <v>1</v>
      </c>
      <c r="I48" s="149"/>
      <c r="J48" s="153"/>
      <c r="K48" s="145" t="str">
        <f>A6</f>
        <v>APP 21-22</v>
      </c>
      <c r="L48" s="146">
        <v>62.2</v>
      </c>
      <c r="M48" s="147">
        <v>3</v>
      </c>
      <c r="N48" s="147">
        <v>3</v>
      </c>
      <c r="O48" s="147">
        <v>5</v>
      </c>
      <c r="P48" s="147">
        <v>40</v>
      </c>
      <c r="Q48" s="147">
        <f t="shared" si="39"/>
        <v>6</v>
      </c>
      <c r="R48" s="148">
        <f t="shared" si="40"/>
        <v>1</v>
      </c>
      <c r="S48" s="149"/>
      <c r="T48" s="104"/>
      <c r="U48" s="145" t="str">
        <f>K48</f>
        <v>APP 21-22</v>
      </c>
      <c r="V48" s="146">
        <v>63</v>
      </c>
      <c r="W48" s="147">
        <v>2.5</v>
      </c>
      <c r="X48" s="147">
        <v>2.2000000000000002</v>
      </c>
      <c r="Y48" s="147">
        <v>10</v>
      </c>
      <c r="Z48" s="147">
        <v>10</v>
      </c>
      <c r="AA48" s="147">
        <f t="shared" si="41"/>
        <v>4.7</v>
      </c>
      <c r="AB48" s="148">
        <f t="shared" si="42"/>
        <v>0.88000000000000012</v>
      </c>
      <c r="AC48" s="149"/>
      <c r="AD48" s="153"/>
      <c r="AE48" s="145" t="str">
        <f>K48</f>
        <v>APP 21-22</v>
      </c>
      <c r="AF48" s="147">
        <v>63</v>
      </c>
      <c r="AG48" s="147">
        <v>2.8</v>
      </c>
      <c r="AH48" s="147">
        <v>2.4</v>
      </c>
      <c r="AI48" s="147">
        <v>5</v>
      </c>
      <c r="AJ48" s="147">
        <v>40</v>
      </c>
      <c r="AK48" s="147">
        <f t="shared" si="43"/>
        <v>5.1999999999999993</v>
      </c>
      <c r="AL48" s="154">
        <f t="shared" si="44"/>
        <v>0.85714285714285721</v>
      </c>
      <c r="AM48" s="155"/>
      <c r="AN48" s="104"/>
      <c r="AO48" s="156" t="str">
        <f t="shared" ref="AO48:AO61" si="49">K48</f>
        <v>APP 21-22</v>
      </c>
      <c r="AP48" s="146">
        <v>62.3</v>
      </c>
      <c r="AQ48" s="147">
        <v>3.9</v>
      </c>
      <c r="AR48" s="147">
        <v>2.2000000000000002</v>
      </c>
      <c r="AS48" s="147">
        <v>10</v>
      </c>
      <c r="AT48" s="147">
        <v>10</v>
      </c>
      <c r="AU48" s="147">
        <f t="shared" si="45"/>
        <v>6.1</v>
      </c>
      <c r="AV48" s="148">
        <f t="shared" si="46"/>
        <v>0.56410256410256421</v>
      </c>
      <c r="AW48" s="155">
        <f t="shared" ref="AW48:AW60" si="50">+I6+I27+I48+AC6+AC27+AC48+AW6+AW27</f>
        <v>0</v>
      </c>
      <c r="AX48" s="152"/>
      <c r="AY48" s="156" t="str">
        <f>+AO48</f>
        <v>APP 21-22</v>
      </c>
      <c r="AZ48" s="146">
        <v>61.5</v>
      </c>
      <c r="BA48" s="147">
        <v>4.8</v>
      </c>
      <c r="BB48" s="147">
        <v>3</v>
      </c>
      <c r="BC48" s="147">
        <v>5</v>
      </c>
      <c r="BD48" s="147">
        <v>40</v>
      </c>
      <c r="BE48" s="147">
        <f t="shared" si="47"/>
        <v>7.8</v>
      </c>
      <c r="BF48" s="148">
        <f t="shared" si="48"/>
        <v>0.625</v>
      </c>
      <c r="BG48" s="155">
        <f t="shared" ref="BG48:BG60" si="51">+S6+S27+S48+AM6+AM27+AM48+BG6+BG27</f>
        <v>0</v>
      </c>
    </row>
    <row r="49" spans="1:59" ht="21" x14ac:dyDescent="0.25">
      <c r="A49" s="166">
        <f>A7</f>
        <v>44287</v>
      </c>
      <c r="B49" s="167"/>
      <c r="C49" s="168"/>
      <c r="D49" s="168"/>
      <c r="E49" s="168"/>
      <c r="F49" s="168"/>
      <c r="G49" s="168" t="str">
        <f t="shared" si="37"/>
        <v/>
      </c>
      <c r="H49" s="169" t="str">
        <f t="shared" si="38"/>
        <v/>
      </c>
      <c r="I49" s="170">
        <f>IF(D49&gt;0,IFERROR(GETPIVOTDATA("act_qty",RECPT!$A$83,"yymm","202104","unit","TAL","comm","L"),0),)</f>
        <v>0</v>
      </c>
      <c r="J49" s="171"/>
      <c r="K49" s="166">
        <f>A7</f>
        <v>44287</v>
      </c>
      <c r="L49" s="167"/>
      <c r="M49" s="168"/>
      <c r="N49" s="168"/>
      <c r="O49" s="168"/>
      <c r="P49" s="168"/>
      <c r="Q49" s="168" t="str">
        <f t="shared" si="39"/>
        <v/>
      </c>
      <c r="R49" s="169" t="str">
        <f t="shared" si="40"/>
        <v/>
      </c>
      <c r="S49" s="170">
        <f>IF(N49&gt;0,IFERROR(GETPIVOTDATA("act_qty",RECPT!$A$83,"yymm","202104","unit","TAL","comm","F"),0),)</f>
        <v>0</v>
      </c>
      <c r="T49" s="104"/>
      <c r="U49" s="166">
        <f>A7</f>
        <v>44287</v>
      </c>
      <c r="V49" s="167"/>
      <c r="W49" s="168"/>
      <c r="X49" s="168"/>
      <c r="Y49" s="168"/>
      <c r="Z49" s="168"/>
      <c r="AA49" s="168" t="str">
        <f t="shared" si="41"/>
        <v/>
      </c>
      <c r="AB49" s="169" t="str">
        <f t="shared" si="42"/>
        <v/>
      </c>
      <c r="AC49" s="170">
        <f>IF(X49&gt;0,IFERROR(GETPIVOTDATA("act_qty",RECPT!$A$83,"yymm","202104","unit","MPR","comm","L"),0),)</f>
        <v>0</v>
      </c>
      <c r="AD49" s="171"/>
      <c r="AE49" s="166">
        <f>A7</f>
        <v>44287</v>
      </c>
      <c r="AF49" s="167"/>
      <c r="AG49" s="168"/>
      <c r="AH49" s="168"/>
      <c r="AI49" s="168"/>
      <c r="AJ49" s="168"/>
      <c r="AK49" s="168" t="str">
        <f t="shared" si="43"/>
        <v/>
      </c>
      <c r="AL49" s="169" t="str">
        <f t="shared" si="44"/>
        <v/>
      </c>
      <c r="AM49" s="170">
        <f>IF(AH49&gt;0,IFERROR(GETPIVOTDATA("act_qty",RECPT!$A$83,"yymm","202104","unit","MPR","comm","F"),0),)</f>
        <v>0</v>
      </c>
      <c r="AN49" s="104"/>
      <c r="AO49" s="172">
        <f t="shared" si="49"/>
        <v>44287</v>
      </c>
      <c r="AP49" s="167">
        <f t="shared" ref="AP49:AP60" si="52">IF(AW49=0,0,(B7*$I7+B28*$I28+B49*$I49+V7*$AC7+V28*$AC28+V49*$AC49+AP7*$AW7+AP28*$AW28)/$AW49)</f>
        <v>0</v>
      </c>
      <c r="AQ49" s="168">
        <f t="shared" ref="AQ49:AQ60" si="53">IF(AW49=0,0,(C7*$I7+C28*$I28+C49*$I49+W7*$AC7+W28*$AC28+W49*$AC49+AQ7*$AW7+AQ28*$AW28)/$AW49)</f>
        <v>0</v>
      </c>
      <c r="AR49" s="168">
        <f t="shared" ref="AR49:AR60" si="54">IF(AW49=0,0,(D7*$I7+D28*$I28+D49*$I49+X7*$AC7+X28*$AC28+X49*$AC49+AR7*$AW7+AR28*$AW28)/$AW49)</f>
        <v>0</v>
      </c>
      <c r="AS49" s="168">
        <f t="shared" ref="AS49:AS60" si="55">IF(AW49=0,0,(E7*$I7+E28*$I28+E49*$I49+Y7*$AC7+Y28*$AC28+Y49*$AC49+AS7*$AW7+AS28*$AW28)/$AW49)</f>
        <v>0</v>
      </c>
      <c r="AT49" s="168">
        <f t="shared" ref="AT49:AT60" si="56">IF(AW49=0,0,(F7*$I7+F28*$I28+F49*$I49+Z7*$AC7+Z28*$AC28+Z49*$AC49+AT7*$AW7+AT28*$AW28)/$AW49)</f>
        <v>0</v>
      </c>
      <c r="AU49" s="168" t="str">
        <f t="shared" si="45"/>
        <v/>
      </c>
      <c r="AV49" s="169">
        <f t="shared" ref="AV49:AV60" si="57">IF(AQ49=0,0,AR49/AQ49)</f>
        <v>0</v>
      </c>
      <c r="AW49" s="170">
        <f t="shared" si="50"/>
        <v>0</v>
      </c>
      <c r="AX49" s="104"/>
      <c r="AY49" s="172">
        <f t="shared" ref="AY49:AY60" si="58">AO49</f>
        <v>44287</v>
      </c>
      <c r="AZ49" s="167">
        <f t="shared" ref="AZ49:AZ60" si="59">IF(BG49=0,0,((L7*$S7+L28*$S28+L49*$S49+AF7*$AM7+AF28*$AM28+AF49*$AM49+AZ7*$BG7+AZ28*$BG28)/$BG49))</f>
        <v>60.76</v>
      </c>
      <c r="BA49" s="168">
        <f t="shared" ref="BA49:BA60" si="60">IF(BG49=0,0,((M7*$S7+M28*$S28+M49*$S49+AG7*$AM7+AG28*$AM28+AG49*$AM49+BA7*$BG7+BA28*$BG28)/$BG49))</f>
        <v>4.5</v>
      </c>
      <c r="BB49" s="168">
        <f t="shared" ref="BB49:BB60" si="61">IF(BG49=0,0,((N7*$S7+N28*$S28+N49*$S49+AH7*$AM7+AH28*$AM28+AH49*$AM49+BB7*$BG7+BB28*$BG28)/$BG49))</f>
        <v>3.29</v>
      </c>
      <c r="BC49" s="168">
        <f t="shared" ref="BC49:BC60" si="62">IF(BG49=0,0,((O7*$S7+O28*$S28+O49*$S49+AI7*$AM7+AI28*$AM28+AI49*$AM49+BC7*$BG7+BC28*$BG28)/$BG49))</f>
        <v>9.66</v>
      </c>
      <c r="BD49" s="168">
        <f t="shared" ref="BD49:BD60" si="63">IF(BG49=0,0,((P7*$S7+P28*$S28+P49*$S49+AJ7*$AM7+AJ28*$AM28+AJ49*$AM49+BD7*$BG7+BD28*$BG28)/$BG49))</f>
        <v>55.24</v>
      </c>
      <c r="BE49" s="168">
        <f t="shared" si="47"/>
        <v>7.79</v>
      </c>
      <c r="BF49" s="169">
        <f t="shared" ref="BF49:BF60" si="64">IF(BA49=0,0,BB49/BA49)</f>
        <v>0.73111111111111116</v>
      </c>
      <c r="BG49" s="170">
        <f t="shared" si="51"/>
        <v>96739</v>
      </c>
    </row>
    <row r="50" spans="1:59" ht="21" x14ac:dyDescent="0.25">
      <c r="A50" s="166">
        <f t="shared" ref="A50:A60" si="65">A8</f>
        <v>44317</v>
      </c>
      <c r="B50" s="167"/>
      <c r="C50" s="168"/>
      <c r="D50" s="168"/>
      <c r="E50" s="168"/>
      <c r="F50" s="168"/>
      <c r="G50" s="168" t="str">
        <f t="shared" si="37"/>
        <v/>
      </c>
      <c r="H50" s="169" t="str">
        <f t="shared" si="38"/>
        <v/>
      </c>
      <c r="I50" s="170">
        <f>IF(D50&gt;0,IFERROR(GETPIVOTDATA("act_qty",RECPT!$A$83,"yymm","202105","unit","TAL","comm","L"),0),)</f>
        <v>0</v>
      </c>
      <c r="J50" s="171"/>
      <c r="K50" s="166">
        <f t="shared" ref="K50:K60" si="66">A8</f>
        <v>44317</v>
      </c>
      <c r="L50" s="167"/>
      <c r="M50" s="168"/>
      <c r="N50" s="168"/>
      <c r="O50" s="168"/>
      <c r="P50" s="168"/>
      <c r="Q50" s="168" t="str">
        <f t="shared" si="39"/>
        <v/>
      </c>
      <c r="R50" s="169" t="str">
        <f t="shared" si="40"/>
        <v/>
      </c>
      <c r="S50" s="170">
        <f>IF(N50&gt;0,IFERROR(GETPIVOTDATA("act_qty",RECPT!$A$83,"yymm","202105","unit","TAL","comm","F"),0),)</f>
        <v>0</v>
      </c>
      <c r="T50" s="104"/>
      <c r="U50" s="166">
        <f t="shared" ref="U50:U60" si="67">A8</f>
        <v>44317</v>
      </c>
      <c r="V50" s="167"/>
      <c r="W50" s="168"/>
      <c r="X50" s="168"/>
      <c r="Y50" s="168"/>
      <c r="Z50" s="168"/>
      <c r="AA50" s="168" t="str">
        <f t="shared" si="41"/>
        <v/>
      </c>
      <c r="AB50" s="169" t="str">
        <f t="shared" si="42"/>
        <v/>
      </c>
      <c r="AC50" s="170">
        <f>IF(X50&gt;0,IFERROR(GETPIVOTDATA("act_qty",RECPT!$A$83,"yymm","202105","unit","MPR","comm","L"),0),)</f>
        <v>0</v>
      </c>
      <c r="AD50" s="171"/>
      <c r="AE50" s="166">
        <f t="shared" ref="AE50:AE60" si="68">A8</f>
        <v>44317</v>
      </c>
      <c r="AF50" s="167"/>
      <c r="AG50" s="168"/>
      <c r="AH50" s="168"/>
      <c r="AI50" s="168"/>
      <c r="AJ50" s="168"/>
      <c r="AK50" s="168" t="str">
        <f t="shared" si="43"/>
        <v/>
      </c>
      <c r="AL50" s="169" t="str">
        <f t="shared" si="44"/>
        <v/>
      </c>
      <c r="AM50" s="170">
        <f>IF(AH50&gt;0,IFERROR(GETPIVOTDATA("act_qty",RECPT!$A$83,"yymm","202105","unit","MPR","comm","F"),0),)</f>
        <v>0</v>
      </c>
      <c r="AN50" s="104"/>
      <c r="AO50" s="172">
        <f t="shared" si="49"/>
        <v>44317</v>
      </c>
      <c r="AP50" s="167">
        <f t="shared" si="52"/>
        <v>0</v>
      </c>
      <c r="AQ50" s="168">
        <f t="shared" si="53"/>
        <v>0</v>
      </c>
      <c r="AR50" s="168">
        <f t="shared" si="54"/>
        <v>0</v>
      </c>
      <c r="AS50" s="168">
        <f t="shared" si="55"/>
        <v>0</v>
      </c>
      <c r="AT50" s="168">
        <f t="shared" si="56"/>
        <v>0</v>
      </c>
      <c r="AU50" s="168" t="str">
        <f t="shared" si="45"/>
        <v/>
      </c>
      <c r="AV50" s="169">
        <f t="shared" si="57"/>
        <v>0</v>
      </c>
      <c r="AW50" s="170">
        <f t="shared" si="50"/>
        <v>0</v>
      </c>
      <c r="AX50" s="104"/>
      <c r="AY50" s="172">
        <f t="shared" si="58"/>
        <v>44317</v>
      </c>
      <c r="AZ50" s="167">
        <f t="shared" si="59"/>
        <v>62.3</v>
      </c>
      <c r="BA50" s="168">
        <f t="shared" si="60"/>
        <v>3.79</v>
      </c>
      <c r="BB50" s="168">
        <f t="shared" si="61"/>
        <v>2.48</v>
      </c>
      <c r="BC50" s="168">
        <f t="shared" si="62"/>
        <v>7.3</v>
      </c>
      <c r="BD50" s="168">
        <f t="shared" si="63"/>
        <v>45.6</v>
      </c>
      <c r="BE50" s="168">
        <f t="shared" si="47"/>
        <v>6.27</v>
      </c>
      <c r="BF50" s="169">
        <f t="shared" si="64"/>
        <v>0.65435356200527706</v>
      </c>
      <c r="BG50" s="170">
        <f t="shared" si="51"/>
        <v>93978</v>
      </c>
    </row>
    <row r="51" spans="1:59" ht="21" x14ac:dyDescent="0.25">
      <c r="A51" s="166">
        <f t="shared" si="65"/>
        <v>44348</v>
      </c>
      <c r="B51" s="167"/>
      <c r="C51" s="168"/>
      <c r="D51" s="168"/>
      <c r="E51" s="168"/>
      <c r="F51" s="168"/>
      <c r="G51" s="168" t="str">
        <f t="shared" si="37"/>
        <v/>
      </c>
      <c r="H51" s="169" t="str">
        <f t="shared" si="38"/>
        <v/>
      </c>
      <c r="I51" s="170">
        <f>IF(D51&gt;0,IFERROR(GETPIVOTDATA("act_qty",RECPT!$A$83,"yymm","202106","unit","TAL","comm","L"),0),)</f>
        <v>0</v>
      </c>
      <c r="J51" s="171"/>
      <c r="K51" s="166">
        <f t="shared" si="66"/>
        <v>44348</v>
      </c>
      <c r="L51" s="167"/>
      <c r="M51" s="168"/>
      <c r="N51" s="168"/>
      <c r="O51" s="168"/>
      <c r="P51" s="168"/>
      <c r="Q51" s="168" t="str">
        <f t="shared" si="39"/>
        <v/>
      </c>
      <c r="R51" s="169" t="str">
        <f t="shared" si="40"/>
        <v/>
      </c>
      <c r="S51" s="170">
        <f>IF(N51&gt;0,IFERROR(GETPIVOTDATA("act_qty",RECPT!$A$83,"yymm","202106","unit","TAL","comm","F"),0),)</f>
        <v>0</v>
      </c>
      <c r="T51" s="104"/>
      <c r="U51" s="166">
        <f t="shared" si="67"/>
        <v>44348</v>
      </c>
      <c r="V51" s="167"/>
      <c r="W51" s="168"/>
      <c r="X51" s="168"/>
      <c r="Y51" s="168"/>
      <c r="Z51" s="168"/>
      <c r="AA51" s="168" t="str">
        <f t="shared" si="41"/>
        <v/>
      </c>
      <c r="AB51" s="169" t="str">
        <f t="shared" si="42"/>
        <v/>
      </c>
      <c r="AC51" s="170">
        <f>IF(X51&gt;0,IFERROR(GETPIVOTDATA("act_qty",RECPT!$A$83,"yymm","202106","unit","MPR","comm","L"),0),)</f>
        <v>0</v>
      </c>
      <c r="AD51" s="171"/>
      <c r="AE51" s="166">
        <f t="shared" si="68"/>
        <v>44348</v>
      </c>
      <c r="AF51" s="167"/>
      <c r="AG51" s="168"/>
      <c r="AH51" s="168"/>
      <c r="AI51" s="168"/>
      <c r="AJ51" s="168"/>
      <c r="AK51" s="168" t="str">
        <f t="shared" si="43"/>
        <v/>
      </c>
      <c r="AL51" s="169" t="str">
        <f t="shared" si="44"/>
        <v/>
      </c>
      <c r="AM51" s="170">
        <f>IF(AH51&gt;0,IFERROR(GETPIVOTDATA("act_qty",RECPT!$A$83,"yymm","202106","unit","MPR","comm","F"),0),)</f>
        <v>0</v>
      </c>
      <c r="AN51" s="104"/>
      <c r="AO51" s="172">
        <f t="shared" si="49"/>
        <v>44348</v>
      </c>
      <c r="AP51" s="167">
        <f t="shared" si="52"/>
        <v>0</v>
      </c>
      <c r="AQ51" s="168">
        <f t="shared" si="53"/>
        <v>0</v>
      </c>
      <c r="AR51" s="168">
        <f t="shared" si="54"/>
        <v>0</v>
      </c>
      <c r="AS51" s="168">
        <f t="shared" si="55"/>
        <v>0</v>
      </c>
      <c r="AT51" s="168">
        <f t="shared" si="56"/>
        <v>0</v>
      </c>
      <c r="AU51" s="168" t="str">
        <f t="shared" si="45"/>
        <v/>
      </c>
      <c r="AV51" s="169">
        <f t="shared" si="57"/>
        <v>0</v>
      </c>
      <c r="AW51" s="170">
        <f t="shared" si="50"/>
        <v>0</v>
      </c>
      <c r="AX51" s="104"/>
      <c r="AY51" s="172">
        <f t="shared" si="58"/>
        <v>44348</v>
      </c>
      <c r="AZ51" s="167">
        <f t="shared" si="59"/>
        <v>60.17</v>
      </c>
      <c r="BA51" s="168">
        <f t="shared" si="60"/>
        <v>8.4</v>
      </c>
      <c r="BB51" s="168">
        <f t="shared" si="61"/>
        <v>2.0499999999999998</v>
      </c>
      <c r="BC51" s="168">
        <f t="shared" si="62"/>
        <v>7.4</v>
      </c>
      <c r="BD51" s="168">
        <f t="shared" si="63"/>
        <v>46.5</v>
      </c>
      <c r="BE51" s="168">
        <f t="shared" si="47"/>
        <v>10.45</v>
      </c>
      <c r="BF51" s="169">
        <f t="shared" si="64"/>
        <v>0.24404761904761901</v>
      </c>
      <c r="BG51" s="170">
        <f t="shared" si="51"/>
        <v>77336</v>
      </c>
    </row>
    <row r="52" spans="1:59" ht="21" x14ac:dyDescent="0.25">
      <c r="A52" s="166">
        <f t="shared" si="65"/>
        <v>44378</v>
      </c>
      <c r="B52" s="167"/>
      <c r="C52" s="168"/>
      <c r="D52" s="168"/>
      <c r="E52" s="168"/>
      <c r="F52" s="168"/>
      <c r="G52" s="168" t="str">
        <f t="shared" si="37"/>
        <v/>
      </c>
      <c r="H52" s="169" t="str">
        <f t="shared" si="38"/>
        <v/>
      </c>
      <c r="I52" s="170">
        <f>IF(D52&gt;0,IFERROR(GETPIVOTDATA("act_qty",RECPT!$A$83,"yymm","202107","unit","TAL","comm","L"),0),)</f>
        <v>0</v>
      </c>
      <c r="J52" s="171"/>
      <c r="K52" s="166">
        <f t="shared" si="66"/>
        <v>44378</v>
      </c>
      <c r="L52" s="167"/>
      <c r="M52" s="168"/>
      <c r="N52" s="168"/>
      <c r="O52" s="168"/>
      <c r="P52" s="168"/>
      <c r="Q52" s="168" t="str">
        <f t="shared" si="39"/>
        <v/>
      </c>
      <c r="R52" s="169" t="str">
        <f t="shared" si="40"/>
        <v/>
      </c>
      <c r="S52" s="170">
        <f>IF(N52&gt;0,IFERROR(GETPIVOTDATA("act_qty",RECPT!$A$83,"yymm","202107","unit","TAL","comm","F"),0),)</f>
        <v>0</v>
      </c>
      <c r="T52" s="104"/>
      <c r="U52" s="166">
        <f t="shared" si="67"/>
        <v>44378</v>
      </c>
      <c r="V52" s="167"/>
      <c r="W52" s="168"/>
      <c r="X52" s="168"/>
      <c r="Y52" s="168"/>
      <c r="Z52" s="168"/>
      <c r="AA52" s="168" t="str">
        <f t="shared" si="41"/>
        <v/>
      </c>
      <c r="AB52" s="169" t="str">
        <f t="shared" si="42"/>
        <v/>
      </c>
      <c r="AC52" s="170">
        <f>IF(X52&gt;0,IFERROR(GETPIVOTDATA("act_qty",RECPT!$A$83,"yymm","202107","unit","MPR","comm","L"),0),)</f>
        <v>0</v>
      </c>
      <c r="AD52" s="171"/>
      <c r="AE52" s="166">
        <f t="shared" si="68"/>
        <v>44378</v>
      </c>
      <c r="AF52" s="167"/>
      <c r="AG52" s="168"/>
      <c r="AH52" s="168"/>
      <c r="AI52" s="168"/>
      <c r="AJ52" s="168"/>
      <c r="AK52" s="168" t="str">
        <f t="shared" si="43"/>
        <v/>
      </c>
      <c r="AL52" s="169" t="str">
        <f t="shared" si="44"/>
        <v/>
      </c>
      <c r="AM52" s="170">
        <f>IF(AH52&gt;0,IFERROR(GETPIVOTDATA("act_qty",RECPT!$A$83,"yymm","202107","unit","MPR","comm","F"),0),)</f>
        <v>0</v>
      </c>
      <c r="AN52" s="104"/>
      <c r="AO52" s="172">
        <f t="shared" si="49"/>
        <v>44378</v>
      </c>
      <c r="AP52" s="167">
        <f t="shared" si="52"/>
        <v>0</v>
      </c>
      <c r="AQ52" s="168">
        <f t="shared" si="53"/>
        <v>0</v>
      </c>
      <c r="AR52" s="168">
        <f t="shared" si="54"/>
        <v>0</v>
      </c>
      <c r="AS52" s="168">
        <f t="shared" si="55"/>
        <v>0</v>
      </c>
      <c r="AT52" s="168">
        <f t="shared" si="56"/>
        <v>0</v>
      </c>
      <c r="AU52" s="168" t="str">
        <f t="shared" si="45"/>
        <v/>
      </c>
      <c r="AV52" s="169">
        <f t="shared" si="57"/>
        <v>0</v>
      </c>
      <c r="AW52" s="170">
        <f t="shared" si="50"/>
        <v>0</v>
      </c>
      <c r="AX52" s="104"/>
      <c r="AY52" s="172">
        <f t="shared" si="58"/>
        <v>44378</v>
      </c>
      <c r="AZ52" s="167">
        <f t="shared" si="59"/>
        <v>61.66</v>
      </c>
      <c r="BA52" s="168">
        <f t="shared" si="60"/>
        <v>6.3</v>
      </c>
      <c r="BB52" s="168">
        <f t="shared" si="61"/>
        <v>1.6599999999999997</v>
      </c>
      <c r="BC52" s="168">
        <f t="shared" si="62"/>
        <v>5.5</v>
      </c>
      <c r="BD52" s="168">
        <f t="shared" si="63"/>
        <v>47.4</v>
      </c>
      <c r="BE52" s="168">
        <f t="shared" si="47"/>
        <v>7.9599999999999991</v>
      </c>
      <c r="BF52" s="169">
        <f t="shared" si="64"/>
        <v>0.26349206349206344</v>
      </c>
      <c r="BG52" s="170">
        <f t="shared" si="51"/>
        <v>105977</v>
      </c>
    </row>
    <row r="53" spans="1:59" ht="21" x14ac:dyDescent="0.25">
      <c r="A53" s="166">
        <f t="shared" si="65"/>
        <v>44409</v>
      </c>
      <c r="B53" s="167"/>
      <c r="C53" s="168"/>
      <c r="D53" s="168"/>
      <c r="E53" s="168"/>
      <c r="F53" s="168"/>
      <c r="G53" s="168" t="str">
        <f t="shared" si="37"/>
        <v/>
      </c>
      <c r="H53" s="169" t="str">
        <f t="shared" si="38"/>
        <v/>
      </c>
      <c r="I53" s="170">
        <f>IF(D53&gt;0,IFERROR(GETPIVOTDATA("act_qty",RECPT!$A$83,"yymm","202108","unit","TAL","comm","L"),0),)</f>
        <v>0</v>
      </c>
      <c r="J53" s="171"/>
      <c r="K53" s="166">
        <f t="shared" si="66"/>
        <v>44409</v>
      </c>
      <c r="L53" s="167"/>
      <c r="M53" s="168"/>
      <c r="N53" s="168"/>
      <c r="O53" s="168"/>
      <c r="P53" s="168"/>
      <c r="Q53" s="168" t="str">
        <f t="shared" si="39"/>
        <v/>
      </c>
      <c r="R53" s="169" t="str">
        <f t="shared" si="40"/>
        <v/>
      </c>
      <c r="S53" s="170">
        <f>IF(N53&gt;0,IFERROR(GETPIVOTDATA("act_qty",RECPT!$A$83,"yymm","202108","unit","TAL","comm","F"),0),)</f>
        <v>0</v>
      </c>
      <c r="T53" s="104"/>
      <c r="U53" s="166">
        <f t="shared" si="67"/>
        <v>44409</v>
      </c>
      <c r="V53" s="167"/>
      <c r="W53" s="168"/>
      <c r="X53" s="168"/>
      <c r="Y53" s="168"/>
      <c r="Z53" s="168"/>
      <c r="AA53" s="168" t="str">
        <f t="shared" si="41"/>
        <v/>
      </c>
      <c r="AB53" s="169" t="str">
        <f t="shared" si="42"/>
        <v/>
      </c>
      <c r="AC53" s="170">
        <f>IF(X53&gt;0,IFERROR(GETPIVOTDATA("act_qty",RECPT!$A$83,"yymm","202108","unit","MPR","comm","L"),0),)</f>
        <v>0</v>
      </c>
      <c r="AD53" s="171"/>
      <c r="AE53" s="166">
        <f t="shared" si="68"/>
        <v>44409</v>
      </c>
      <c r="AF53" s="167"/>
      <c r="AG53" s="168"/>
      <c r="AH53" s="168"/>
      <c r="AI53" s="168"/>
      <c r="AJ53" s="168"/>
      <c r="AK53" s="168" t="str">
        <f t="shared" si="43"/>
        <v/>
      </c>
      <c r="AL53" s="169" t="str">
        <f t="shared" si="44"/>
        <v/>
      </c>
      <c r="AM53" s="170">
        <f>IF(AH53&gt;0,IFERROR(GETPIVOTDATA("act_qty",RECPT!$A$83,"yymm","202108","unit","MPR","comm","F"),0),)</f>
        <v>0</v>
      </c>
      <c r="AN53" s="104"/>
      <c r="AO53" s="172">
        <f t="shared" si="49"/>
        <v>44409</v>
      </c>
      <c r="AP53" s="167">
        <f t="shared" si="52"/>
        <v>0</v>
      </c>
      <c r="AQ53" s="168">
        <f t="shared" si="53"/>
        <v>0</v>
      </c>
      <c r="AR53" s="168">
        <f t="shared" si="54"/>
        <v>0</v>
      </c>
      <c r="AS53" s="168">
        <f t="shared" si="55"/>
        <v>0</v>
      </c>
      <c r="AT53" s="168">
        <f t="shared" si="56"/>
        <v>0</v>
      </c>
      <c r="AU53" s="168" t="str">
        <f t="shared" si="45"/>
        <v/>
      </c>
      <c r="AV53" s="169">
        <f t="shared" si="57"/>
        <v>0</v>
      </c>
      <c r="AW53" s="170">
        <f t="shared" si="50"/>
        <v>0</v>
      </c>
      <c r="AX53" s="104"/>
      <c r="AY53" s="172">
        <f t="shared" si="58"/>
        <v>44409</v>
      </c>
      <c r="AZ53" s="167">
        <f t="shared" si="59"/>
        <v>61.582481652124272</v>
      </c>
      <c r="BA53" s="168">
        <f t="shared" si="60"/>
        <v>6.1221628068172551</v>
      </c>
      <c r="BB53" s="168">
        <f t="shared" si="61"/>
        <v>1.9861964853624725</v>
      </c>
      <c r="BC53" s="168">
        <f t="shared" si="62"/>
        <v>7.5225729837723234</v>
      </c>
      <c r="BD53" s="168">
        <f t="shared" si="63"/>
        <v>43.669075674794094</v>
      </c>
      <c r="BE53" s="168">
        <f t="shared" si="47"/>
        <v>8.1083592921797276</v>
      </c>
      <c r="BF53" s="169">
        <f t="shared" si="64"/>
        <v>0.32442725684308316</v>
      </c>
      <c r="BG53" s="170">
        <f t="shared" si="51"/>
        <v>98104</v>
      </c>
    </row>
    <row r="54" spans="1:59" ht="21" x14ac:dyDescent="0.25">
      <c r="A54" s="166">
        <f t="shared" si="65"/>
        <v>44440</v>
      </c>
      <c r="B54" s="167"/>
      <c r="C54" s="168"/>
      <c r="D54" s="168"/>
      <c r="E54" s="168"/>
      <c r="F54" s="168"/>
      <c r="G54" s="168" t="str">
        <f t="shared" si="37"/>
        <v/>
      </c>
      <c r="H54" s="169" t="str">
        <f t="shared" si="38"/>
        <v/>
      </c>
      <c r="I54" s="170">
        <f>IF(D54&gt;0,IFERROR(GETPIVOTDATA("act_qty",RECPT!$A$83,"yymm","202109","unit","TAL","comm","L"),0),)</f>
        <v>0</v>
      </c>
      <c r="J54" s="171"/>
      <c r="K54" s="166">
        <f t="shared" si="66"/>
        <v>44440</v>
      </c>
      <c r="L54" s="167"/>
      <c r="M54" s="168"/>
      <c r="N54" s="168"/>
      <c r="O54" s="168"/>
      <c r="P54" s="168"/>
      <c r="Q54" s="168" t="str">
        <f t="shared" si="39"/>
        <v/>
      </c>
      <c r="R54" s="169" t="str">
        <f t="shared" si="40"/>
        <v/>
      </c>
      <c r="S54" s="170">
        <f>IF(N54&gt;0,IFERROR(GETPIVOTDATA("act_qty",RECPT!$A$83,"yymm","202109","unit","TAL","comm","F"),0),)</f>
        <v>0</v>
      </c>
      <c r="T54" s="104"/>
      <c r="U54" s="166">
        <f t="shared" si="67"/>
        <v>44440</v>
      </c>
      <c r="V54" s="167"/>
      <c r="W54" s="168"/>
      <c r="X54" s="168"/>
      <c r="Y54" s="168"/>
      <c r="Z54" s="168"/>
      <c r="AA54" s="168" t="str">
        <f t="shared" si="41"/>
        <v/>
      </c>
      <c r="AB54" s="169" t="str">
        <f t="shared" si="42"/>
        <v/>
      </c>
      <c r="AC54" s="170">
        <f>IF(X54&gt;0,IFERROR(GETPIVOTDATA("act_qty",RECPT!$A$83,"yymm","202109","unit","MPR","comm","L"),0),)</f>
        <v>0</v>
      </c>
      <c r="AD54" s="171"/>
      <c r="AE54" s="166">
        <f t="shared" si="68"/>
        <v>44440</v>
      </c>
      <c r="AF54" s="167"/>
      <c r="AG54" s="168"/>
      <c r="AH54" s="168"/>
      <c r="AI54" s="168"/>
      <c r="AJ54" s="168"/>
      <c r="AK54" s="168" t="str">
        <f t="shared" si="43"/>
        <v/>
      </c>
      <c r="AL54" s="169" t="str">
        <f t="shared" si="44"/>
        <v/>
      </c>
      <c r="AM54" s="170">
        <f>IF(AH54&gt;0,IFERROR(GETPIVOTDATA("act_qty",RECPT!$A$83,"yymm","202109","unit","MPR","comm","F"),0),)</f>
        <v>0</v>
      </c>
      <c r="AN54" s="104"/>
      <c r="AO54" s="172">
        <f t="shared" si="49"/>
        <v>44440</v>
      </c>
      <c r="AP54" s="167">
        <f t="shared" si="52"/>
        <v>0</v>
      </c>
      <c r="AQ54" s="168">
        <f t="shared" si="53"/>
        <v>0</v>
      </c>
      <c r="AR54" s="168">
        <f t="shared" si="54"/>
        <v>0</v>
      </c>
      <c r="AS54" s="168">
        <f t="shared" si="55"/>
        <v>0</v>
      </c>
      <c r="AT54" s="168">
        <f t="shared" si="56"/>
        <v>0</v>
      </c>
      <c r="AU54" s="168" t="str">
        <f t="shared" si="45"/>
        <v/>
      </c>
      <c r="AV54" s="169">
        <f t="shared" si="57"/>
        <v>0</v>
      </c>
      <c r="AW54" s="170">
        <f t="shared" si="50"/>
        <v>0</v>
      </c>
      <c r="AX54" s="104"/>
      <c r="AY54" s="172">
        <f t="shared" si="58"/>
        <v>44440</v>
      </c>
      <c r="AZ54" s="167">
        <f t="shared" si="59"/>
        <v>60.51</v>
      </c>
      <c r="BA54" s="168">
        <f t="shared" si="60"/>
        <v>8.2799999999999994</v>
      </c>
      <c r="BB54" s="168">
        <f t="shared" si="61"/>
        <v>1.8</v>
      </c>
      <c r="BC54" s="168">
        <f t="shared" si="62"/>
        <v>12.62</v>
      </c>
      <c r="BD54" s="168">
        <f t="shared" si="63"/>
        <v>44.3</v>
      </c>
      <c r="BE54" s="168">
        <f t="shared" si="47"/>
        <v>10.08</v>
      </c>
      <c r="BF54" s="169">
        <f t="shared" si="64"/>
        <v>0.21739130434782611</v>
      </c>
      <c r="BG54" s="170">
        <f t="shared" si="51"/>
        <v>98047</v>
      </c>
    </row>
    <row r="55" spans="1:59" ht="21" x14ac:dyDescent="0.25">
      <c r="A55" s="166">
        <f t="shared" si="65"/>
        <v>44470</v>
      </c>
      <c r="B55" s="167"/>
      <c r="C55" s="168"/>
      <c r="D55" s="168"/>
      <c r="E55" s="168"/>
      <c r="F55" s="168"/>
      <c r="G55" s="168" t="str">
        <f t="shared" si="37"/>
        <v/>
      </c>
      <c r="H55" s="169" t="str">
        <f t="shared" si="38"/>
        <v/>
      </c>
      <c r="I55" s="170">
        <f>IF(D55&gt;0,IFERROR(GETPIVOTDATA("act_qty",RECPT!$A$83,"yymm","202110","unit","TAL","comm","L"),0),)</f>
        <v>0</v>
      </c>
      <c r="J55" s="119"/>
      <c r="K55" s="166">
        <f t="shared" si="66"/>
        <v>44470</v>
      </c>
      <c r="L55" s="167"/>
      <c r="M55" s="168"/>
      <c r="N55" s="168"/>
      <c r="O55" s="168"/>
      <c r="P55" s="168"/>
      <c r="Q55" s="168" t="str">
        <f t="shared" si="39"/>
        <v/>
      </c>
      <c r="R55" s="169" t="str">
        <f t="shared" si="40"/>
        <v/>
      </c>
      <c r="S55" s="170">
        <f>IF(N55&gt;0,IFERROR(GETPIVOTDATA("act_qty",RECPT!$A$83,"yymm","202110","unit","TAL","comm","F"),0),)</f>
        <v>0</v>
      </c>
      <c r="T55" s="104"/>
      <c r="U55" s="166">
        <f t="shared" si="67"/>
        <v>44470</v>
      </c>
      <c r="V55" s="167"/>
      <c r="W55" s="168"/>
      <c r="X55" s="168"/>
      <c r="Y55" s="168"/>
      <c r="Z55" s="168"/>
      <c r="AA55" s="168" t="str">
        <f t="shared" si="41"/>
        <v/>
      </c>
      <c r="AB55" s="169" t="str">
        <f t="shared" si="42"/>
        <v/>
      </c>
      <c r="AC55" s="170">
        <f>IF(X55&gt;0,IFERROR(GETPIVOTDATA("act_qty",RECPT!$A$83,"yymm","202110","unit","MPR","comm","L"),0),)</f>
        <v>0</v>
      </c>
      <c r="AD55" s="119"/>
      <c r="AE55" s="166">
        <f t="shared" si="68"/>
        <v>44470</v>
      </c>
      <c r="AF55" s="167"/>
      <c r="AG55" s="168"/>
      <c r="AH55" s="168"/>
      <c r="AI55" s="168"/>
      <c r="AJ55" s="168"/>
      <c r="AK55" s="168" t="str">
        <f t="shared" si="43"/>
        <v/>
      </c>
      <c r="AL55" s="169" t="str">
        <f t="shared" si="44"/>
        <v/>
      </c>
      <c r="AM55" s="170">
        <f>IF(AH55&gt;0,IFERROR(GETPIVOTDATA("act_qty",RECPT!$A$83,"yymm","202110","unit","MPR","comm","F"),0),)</f>
        <v>0</v>
      </c>
      <c r="AN55" s="104"/>
      <c r="AO55" s="172">
        <f t="shared" si="49"/>
        <v>44470</v>
      </c>
      <c r="AP55" s="167">
        <f t="shared" si="52"/>
        <v>0</v>
      </c>
      <c r="AQ55" s="168">
        <f t="shared" si="53"/>
        <v>0</v>
      </c>
      <c r="AR55" s="168">
        <f t="shared" si="54"/>
        <v>0</v>
      </c>
      <c r="AS55" s="168">
        <f t="shared" si="55"/>
        <v>0</v>
      </c>
      <c r="AT55" s="168">
        <f t="shared" si="56"/>
        <v>0</v>
      </c>
      <c r="AU55" s="168" t="str">
        <f t="shared" si="45"/>
        <v/>
      </c>
      <c r="AV55" s="169">
        <f t="shared" si="57"/>
        <v>0</v>
      </c>
      <c r="AW55" s="170">
        <f t="shared" si="50"/>
        <v>0</v>
      </c>
      <c r="AX55" s="104"/>
      <c r="AY55" s="172">
        <f t="shared" si="58"/>
        <v>44470</v>
      </c>
      <c r="AZ55" s="167">
        <f t="shared" si="59"/>
        <v>60.275651910209305</v>
      </c>
      <c r="BA55" s="168">
        <f t="shared" si="60"/>
        <v>7.5601912641858862</v>
      </c>
      <c r="BB55" s="168">
        <f t="shared" si="61"/>
        <v>2.4080152245902755</v>
      </c>
      <c r="BC55" s="168">
        <f t="shared" si="62"/>
        <v>6.2813929494643492</v>
      </c>
      <c r="BD55" s="168">
        <f t="shared" si="63"/>
        <v>44.982323258205035</v>
      </c>
      <c r="BE55" s="168">
        <f t="shared" si="47"/>
        <v>9.9682064887761612</v>
      </c>
      <c r="BF55" s="169">
        <f t="shared" si="64"/>
        <v>0.31851247414830858</v>
      </c>
      <c r="BG55" s="170">
        <f t="shared" si="51"/>
        <v>117160.45999999999</v>
      </c>
    </row>
    <row r="56" spans="1:59" ht="21" x14ac:dyDescent="0.25">
      <c r="A56" s="166">
        <f t="shared" si="65"/>
        <v>44501</v>
      </c>
      <c r="B56" s="167"/>
      <c r="C56" s="168"/>
      <c r="D56" s="168"/>
      <c r="E56" s="168"/>
      <c r="F56" s="168"/>
      <c r="G56" s="168" t="str">
        <f t="shared" si="37"/>
        <v/>
      </c>
      <c r="H56" s="169" t="str">
        <f t="shared" si="38"/>
        <v/>
      </c>
      <c r="I56" s="170">
        <f>IF(D56&gt;0,IFERROR(GETPIVOTDATA("act_qty",RECPT!$A$83,"yymm","202111","unit","TAL","comm","L"),0),)</f>
        <v>0</v>
      </c>
      <c r="J56" s="119"/>
      <c r="K56" s="166">
        <f t="shared" si="66"/>
        <v>44501</v>
      </c>
      <c r="L56" s="167"/>
      <c r="M56" s="168"/>
      <c r="N56" s="168"/>
      <c r="O56" s="168"/>
      <c r="P56" s="168"/>
      <c r="Q56" s="168" t="str">
        <f t="shared" si="39"/>
        <v/>
      </c>
      <c r="R56" s="169" t="str">
        <f t="shared" si="40"/>
        <v/>
      </c>
      <c r="S56" s="170">
        <f>IF(N56&gt;0,IFERROR(GETPIVOTDATA("act_qty",RECPT!$A$83,"yymm","202111","unit","TAL","comm","F"),0),)</f>
        <v>0</v>
      </c>
      <c r="T56" s="104"/>
      <c r="U56" s="166">
        <f t="shared" si="67"/>
        <v>44501</v>
      </c>
      <c r="V56" s="167"/>
      <c r="W56" s="168"/>
      <c r="X56" s="168"/>
      <c r="Y56" s="168"/>
      <c r="Z56" s="168"/>
      <c r="AA56" s="168" t="str">
        <f t="shared" si="41"/>
        <v/>
      </c>
      <c r="AB56" s="169" t="str">
        <f t="shared" si="42"/>
        <v/>
      </c>
      <c r="AC56" s="170">
        <f>IF(X56&gt;0,IFERROR(GETPIVOTDATA("act_qty",RECPT!$A$83,"yymm","202111","unit","MPR","comm","L"),0),)</f>
        <v>0</v>
      </c>
      <c r="AD56" s="119"/>
      <c r="AE56" s="166">
        <f t="shared" si="68"/>
        <v>44501</v>
      </c>
      <c r="AF56" s="167"/>
      <c r="AG56" s="168"/>
      <c r="AH56" s="168"/>
      <c r="AI56" s="168"/>
      <c r="AJ56" s="168"/>
      <c r="AK56" s="168" t="str">
        <f t="shared" si="43"/>
        <v/>
      </c>
      <c r="AL56" s="169" t="str">
        <f t="shared" si="44"/>
        <v/>
      </c>
      <c r="AM56" s="170">
        <f>IF(AH56&gt;0,IFERROR(GETPIVOTDATA("act_qty",RECPT!$A$83,"yymm","202111","unit","MPR","comm","F"),0),)</f>
        <v>0</v>
      </c>
      <c r="AN56" s="104"/>
      <c r="AO56" s="172">
        <f t="shared" si="49"/>
        <v>44501</v>
      </c>
      <c r="AP56" s="167">
        <f t="shared" si="52"/>
        <v>0</v>
      </c>
      <c r="AQ56" s="168">
        <f t="shared" si="53"/>
        <v>0</v>
      </c>
      <c r="AR56" s="168">
        <f t="shared" si="54"/>
        <v>0</v>
      </c>
      <c r="AS56" s="168">
        <f t="shared" si="55"/>
        <v>0</v>
      </c>
      <c r="AT56" s="168">
        <f t="shared" si="56"/>
        <v>0</v>
      </c>
      <c r="AU56" s="168" t="str">
        <f t="shared" si="45"/>
        <v/>
      </c>
      <c r="AV56" s="169">
        <f t="shared" si="57"/>
        <v>0</v>
      </c>
      <c r="AW56" s="170">
        <f t="shared" si="50"/>
        <v>0</v>
      </c>
      <c r="AX56" s="104"/>
      <c r="AY56" s="172">
        <f t="shared" si="58"/>
        <v>44501</v>
      </c>
      <c r="AZ56" s="167">
        <f t="shared" si="59"/>
        <v>59.936333257497338</v>
      </c>
      <c r="BA56" s="168">
        <f t="shared" si="60"/>
        <v>7.5975073065071337</v>
      </c>
      <c r="BB56" s="168">
        <f t="shared" si="61"/>
        <v>2.9777116329286213</v>
      </c>
      <c r="BC56" s="168">
        <f t="shared" si="62"/>
        <v>6.0059213468473995</v>
      </c>
      <c r="BD56" s="168">
        <f t="shared" si="63"/>
        <v>50.271363917230168</v>
      </c>
      <c r="BE56" s="168">
        <f t="shared" si="47"/>
        <v>10.575218939435755</v>
      </c>
      <c r="BF56" s="169">
        <f t="shared" si="64"/>
        <v>0.39193271066396512</v>
      </c>
      <c r="BG56" s="170">
        <f t="shared" si="51"/>
        <v>74283.099999999991</v>
      </c>
    </row>
    <row r="57" spans="1:59" ht="21" x14ac:dyDescent="0.25">
      <c r="A57" s="166">
        <f t="shared" si="65"/>
        <v>44531</v>
      </c>
      <c r="B57" s="167"/>
      <c r="C57" s="168"/>
      <c r="D57" s="168"/>
      <c r="E57" s="168"/>
      <c r="F57" s="168"/>
      <c r="G57" s="168" t="str">
        <f t="shared" si="37"/>
        <v/>
      </c>
      <c r="H57" s="169" t="str">
        <f t="shared" si="38"/>
        <v/>
      </c>
      <c r="I57" s="170">
        <f>IF(D57&gt;0,IFERROR(GETPIVOTDATA("act_qty",RECPT!$A$83,"yymm","202112","unit","TAL","comm","L"),0),)</f>
        <v>0</v>
      </c>
      <c r="J57" s="119"/>
      <c r="K57" s="166">
        <f t="shared" si="66"/>
        <v>44531</v>
      </c>
      <c r="L57" s="167"/>
      <c r="M57" s="168"/>
      <c r="N57" s="168"/>
      <c r="O57" s="168"/>
      <c r="P57" s="168"/>
      <c r="Q57" s="168" t="str">
        <f t="shared" si="39"/>
        <v/>
      </c>
      <c r="R57" s="169" t="str">
        <f t="shared" si="40"/>
        <v/>
      </c>
      <c r="S57" s="170">
        <f>IF(N57&gt;0,IFERROR(GETPIVOTDATA("act_qty",RECPT!$A$83,"yymm","202112","unit","TAL","comm","F"),0),)</f>
        <v>0</v>
      </c>
      <c r="T57" s="104"/>
      <c r="U57" s="166">
        <f t="shared" si="67"/>
        <v>44531</v>
      </c>
      <c r="V57" s="167"/>
      <c r="W57" s="168"/>
      <c r="X57" s="168"/>
      <c r="Y57" s="168"/>
      <c r="Z57" s="168"/>
      <c r="AA57" s="168" t="str">
        <f t="shared" si="41"/>
        <v/>
      </c>
      <c r="AB57" s="169" t="str">
        <f t="shared" si="42"/>
        <v/>
      </c>
      <c r="AC57" s="170">
        <f>IF(X57&gt;0,IFERROR(GETPIVOTDATA("act_qty",RECPT!$A$83,"yymm","202112","unit","MPR","comm","L"),0),)</f>
        <v>0</v>
      </c>
      <c r="AD57" s="119"/>
      <c r="AE57" s="166">
        <f t="shared" si="68"/>
        <v>44531</v>
      </c>
      <c r="AF57" s="167"/>
      <c r="AG57" s="168"/>
      <c r="AH57" s="168"/>
      <c r="AI57" s="168"/>
      <c r="AJ57" s="168"/>
      <c r="AK57" s="168" t="str">
        <f t="shared" si="43"/>
        <v/>
      </c>
      <c r="AL57" s="169" t="str">
        <f t="shared" si="44"/>
        <v/>
      </c>
      <c r="AM57" s="170">
        <f>IF(AH57&gt;0,IFERROR(GETPIVOTDATA("act_qty",RECPT!$A$83,"yymm","202112","unit","MPR","comm","F"),0),)</f>
        <v>0</v>
      </c>
      <c r="AN57" s="104"/>
      <c r="AO57" s="172">
        <f t="shared" si="49"/>
        <v>44531</v>
      </c>
      <c r="AP57" s="167">
        <f t="shared" si="52"/>
        <v>0</v>
      </c>
      <c r="AQ57" s="168">
        <f t="shared" si="53"/>
        <v>0</v>
      </c>
      <c r="AR57" s="168">
        <f t="shared" si="54"/>
        <v>0</v>
      </c>
      <c r="AS57" s="168">
        <f t="shared" si="55"/>
        <v>0</v>
      </c>
      <c r="AT57" s="168">
        <f t="shared" si="56"/>
        <v>0</v>
      </c>
      <c r="AU57" s="168" t="str">
        <f t="shared" si="45"/>
        <v/>
      </c>
      <c r="AV57" s="169">
        <f t="shared" si="57"/>
        <v>0</v>
      </c>
      <c r="AW57" s="170">
        <f t="shared" si="50"/>
        <v>0</v>
      </c>
      <c r="AX57" s="104"/>
      <c r="AY57" s="172">
        <f t="shared" si="58"/>
        <v>44531</v>
      </c>
      <c r="AZ57" s="167">
        <f t="shared" si="59"/>
        <v>60.181192396594987</v>
      </c>
      <c r="BA57" s="168">
        <f t="shared" si="60"/>
        <v>8.2666720862463574</v>
      </c>
      <c r="BB57" s="168">
        <f t="shared" si="61"/>
        <v>2.5725734173027091</v>
      </c>
      <c r="BC57" s="168">
        <f t="shared" si="62"/>
        <v>6.5867475358914502</v>
      </c>
      <c r="BD57" s="168">
        <f t="shared" si="63"/>
        <v>53.628022050488504</v>
      </c>
      <c r="BE57" s="168">
        <f t="shared" si="47"/>
        <v>10.839245503549066</v>
      </c>
      <c r="BF57" s="169">
        <f t="shared" si="64"/>
        <v>0.31119819323459291</v>
      </c>
      <c r="BG57" s="170">
        <f t="shared" si="51"/>
        <v>70362.16</v>
      </c>
    </row>
    <row r="58" spans="1:59" ht="21" x14ac:dyDescent="0.25">
      <c r="A58" s="166">
        <f t="shared" si="65"/>
        <v>44562</v>
      </c>
      <c r="B58" s="167"/>
      <c r="C58" s="168"/>
      <c r="D58" s="168"/>
      <c r="E58" s="168"/>
      <c r="F58" s="168"/>
      <c r="G58" s="168" t="str">
        <f t="shared" si="37"/>
        <v/>
      </c>
      <c r="H58" s="169" t="str">
        <f t="shared" si="38"/>
        <v/>
      </c>
      <c r="I58" s="170">
        <f>IF(D58&gt;0,IFERROR(GETPIVOTDATA("act_qty",RECPT!$A$83,"yymm","202201","unit","TAL","comm","L"),0),)</f>
        <v>0</v>
      </c>
      <c r="J58" s="119"/>
      <c r="K58" s="166">
        <f t="shared" si="66"/>
        <v>44562</v>
      </c>
      <c r="L58" s="167"/>
      <c r="M58" s="168"/>
      <c r="N58" s="168"/>
      <c r="O58" s="168"/>
      <c r="P58" s="168"/>
      <c r="Q58" s="168" t="str">
        <f t="shared" si="39"/>
        <v/>
      </c>
      <c r="R58" s="169" t="str">
        <f t="shared" si="40"/>
        <v/>
      </c>
      <c r="S58" s="170">
        <f>IF(N58&gt;0,IFERROR(GETPIVOTDATA("act_qty",RECPT!$A$83,"yymm","202201","unit","TAL","comm","F"),0),)</f>
        <v>0</v>
      </c>
      <c r="T58" s="104"/>
      <c r="U58" s="166">
        <f t="shared" si="67"/>
        <v>44562</v>
      </c>
      <c r="V58" s="167"/>
      <c r="W58" s="168"/>
      <c r="X58" s="168"/>
      <c r="Y58" s="168"/>
      <c r="Z58" s="168"/>
      <c r="AA58" s="168" t="str">
        <f t="shared" si="41"/>
        <v/>
      </c>
      <c r="AB58" s="169" t="str">
        <f t="shared" si="42"/>
        <v/>
      </c>
      <c r="AC58" s="170">
        <f>IF(X58&gt;0,IFERROR(GETPIVOTDATA("act_qty",RECPT!$A$83,"yymm","202201","unit","MPR","comm","L"),0),)</f>
        <v>0</v>
      </c>
      <c r="AD58" s="119"/>
      <c r="AE58" s="166">
        <f t="shared" si="68"/>
        <v>44562</v>
      </c>
      <c r="AF58" s="167"/>
      <c r="AG58" s="168"/>
      <c r="AH58" s="168"/>
      <c r="AI58" s="168"/>
      <c r="AJ58" s="168"/>
      <c r="AK58" s="168" t="str">
        <f t="shared" si="43"/>
        <v/>
      </c>
      <c r="AL58" s="169" t="str">
        <f t="shared" si="44"/>
        <v/>
      </c>
      <c r="AM58" s="170">
        <f>IF(AH58&gt;0,IFERROR(GETPIVOTDATA("act_qty",RECPT!$A$83,"yymm","202201","unit","MPR","comm","F"),0),)</f>
        <v>0</v>
      </c>
      <c r="AN58" s="104"/>
      <c r="AO58" s="172">
        <f t="shared" si="49"/>
        <v>44562</v>
      </c>
      <c r="AP58" s="167">
        <f t="shared" si="52"/>
        <v>0</v>
      </c>
      <c r="AQ58" s="168">
        <f t="shared" si="53"/>
        <v>0</v>
      </c>
      <c r="AR58" s="168">
        <f t="shared" si="54"/>
        <v>0</v>
      </c>
      <c r="AS58" s="168">
        <f t="shared" si="55"/>
        <v>0</v>
      </c>
      <c r="AT58" s="168">
        <f t="shared" si="56"/>
        <v>0</v>
      </c>
      <c r="AU58" s="168" t="str">
        <f t="shared" si="45"/>
        <v/>
      </c>
      <c r="AV58" s="169">
        <f t="shared" si="57"/>
        <v>0</v>
      </c>
      <c r="AW58" s="170">
        <f t="shared" si="50"/>
        <v>0</v>
      </c>
      <c r="AX58" s="104"/>
      <c r="AY58" s="172">
        <f t="shared" si="58"/>
        <v>44562</v>
      </c>
      <c r="AZ58" s="167">
        <f t="shared" si="59"/>
        <v>60.660581541795779</v>
      </c>
      <c r="BA58" s="168">
        <f t="shared" si="60"/>
        <v>7.3493460444169454</v>
      </c>
      <c r="BB58" s="168">
        <f t="shared" si="61"/>
        <v>2.346995023647676</v>
      </c>
      <c r="BC58" s="168">
        <f t="shared" si="62"/>
        <v>7.7920706607092445</v>
      </c>
      <c r="BD58" s="168">
        <f t="shared" si="63"/>
        <v>51.206446900782318</v>
      </c>
      <c r="BE58" s="168">
        <f t="shared" si="47"/>
        <v>9.6963410680646209</v>
      </c>
      <c r="BF58" s="169">
        <f t="shared" si="64"/>
        <v>0.31934746431359157</v>
      </c>
      <c r="BG58" s="170">
        <f t="shared" si="51"/>
        <v>70983.72</v>
      </c>
    </row>
    <row r="59" spans="1:59" ht="21" x14ac:dyDescent="0.25">
      <c r="A59" s="166">
        <f t="shared" si="65"/>
        <v>44593</v>
      </c>
      <c r="B59" s="167"/>
      <c r="C59" s="168"/>
      <c r="D59" s="168"/>
      <c r="E59" s="168"/>
      <c r="F59" s="168"/>
      <c r="G59" s="168" t="str">
        <f t="shared" si="37"/>
        <v/>
      </c>
      <c r="H59" s="169" t="str">
        <f t="shared" si="38"/>
        <v/>
      </c>
      <c r="I59" s="170">
        <f>IF(D59&gt;0,IFERROR(GETPIVOTDATA("act_qty",RECPT!$A$83,"yymm","202202","unit","TAL","comm","L"),0),)</f>
        <v>0</v>
      </c>
      <c r="J59" s="119"/>
      <c r="K59" s="166">
        <f t="shared" si="66"/>
        <v>44593</v>
      </c>
      <c r="L59" s="167"/>
      <c r="M59" s="168"/>
      <c r="N59" s="168"/>
      <c r="O59" s="168"/>
      <c r="P59" s="168"/>
      <c r="Q59" s="168" t="str">
        <f t="shared" si="39"/>
        <v/>
      </c>
      <c r="R59" s="169" t="str">
        <f t="shared" si="40"/>
        <v/>
      </c>
      <c r="S59" s="170">
        <f>IF(N59&gt;0,IFERROR(GETPIVOTDATA("act_qty",RECPT!$A$83,"yymm","202202","unit","TAL","comm","F"),0),)</f>
        <v>0</v>
      </c>
      <c r="T59" s="104"/>
      <c r="U59" s="166">
        <f t="shared" si="67"/>
        <v>44593</v>
      </c>
      <c r="V59" s="167"/>
      <c r="W59" s="168"/>
      <c r="X59" s="168"/>
      <c r="Y59" s="168"/>
      <c r="Z59" s="168"/>
      <c r="AA59" s="168" t="str">
        <f t="shared" si="41"/>
        <v/>
      </c>
      <c r="AB59" s="169" t="str">
        <f t="shared" si="42"/>
        <v/>
      </c>
      <c r="AC59" s="170">
        <f>IF(X59&gt;0,IFERROR(GETPIVOTDATA("act_qty",RECPT!$A$83,"yymm","202202","unit","MPR","comm","L"),0),)</f>
        <v>0</v>
      </c>
      <c r="AD59" s="119"/>
      <c r="AE59" s="166">
        <f t="shared" si="68"/>
        <v>44593</v>
      </c>
      <c r="AF59" s="167"/>
      <c r="AG59" s="168"/>
      <c r="AH59" s="168"/>
      <c r="AI59" s="168"/>
      <c r="AJ59" s="168"/>
      <c r="AK59" s="168" t="str">
        <f t="shared" si="43"/>
        <v/>
      </c>
      <c r="AL59" s="169" t="str">
        <f t="shared" si="44"/>
        <v/>
      </c>
      <c r="AM59" s="170">
        <f>IF(AH59&gt;0,IFERROR(GETPIVOTDATA("act_qty",RECPT!$A$83,"yymm","202202","unit","MPR","comm","F"),0),)</f>
        <v>0</v>
      </c>
      <c r="AN59" s="104"/>
      <c r="AO59" s="172">
        <f t="shared" si="49"/>
        <v>44593</v>
      </c>
      <c r="AP59" s="167">
        <f t="shared" si="52"/>
        <v>0</v>
      </c>
      <c r="AQ59" s="168">
        <f t="shared" si="53"/>
        <v>0</v>
      </c>
      <c r="AR59" s="168">
        <f t="shared" si="54"/>
        <v>0</v>
      </c>
      <c r="AS59" s="168">
        <f t="shared" si="55"/>
        <v>0</v>
      </c>
      <c r="AT59" s="168">
        <f t="shared" si="56"/>
        <v>0</v>
      </c>
      <c r="AU59" s="168" t="str">
        <f t="shared" si="45"/>
        <v/>
      </c>
      <c r="AV59" s="169">
        <f t="shared" si="57"/>
        <v>0</v>
      </c>
      <c r="AW59" s="170">
        <f t="shared" si="50"/>
        <v>0</v>
      </c>
      <c r="AX59" s="104"/>
      <c r="AY59" s="172">
        <f t="shared" si="58"/>
        <v>44593</v>
      </c>
      <c r="AZ59" s="167">
        <f t="shared" si="59"/>
        <v>61.58</v>
      </c>
      <c r="BA59" s="168">
        <f t="shared" si="60"/>
        <v>5.88</v>
      </c>
      <c r="BB59" s="168">
        <f t="shared" si="61"/>
        <v>2.63</v>
      </c>
      <c r="BC59" s="168">
        <f t="shared" si="62"/>
        <v>6.72</v>
      </c>
      <c r="BD59" s="168">
        <f t="shared" si="63"/>
        <v>50.03</v>
      </c>
      <c r="BE59" s="168">
        <f t="shared" si="47"/>
        <v>8.51</v>
      </c>
      <c r="BF59" s="169">
        <f t="shared" si="64"/>
        <v>0.44727891156462585</v>
      </c>
      <c r="BG59" s="170">
        <f t="shared" si="51"/>
        <v>57274.2</v>
      </c>
    </row>
    <row r="60" spans="1:59" ht="21.5" thickBot="1" x14ac:dyDescent="0.3">
      <c r="A60" s="166">
        <f t="shared" si="65"/>
        <v>44621</v>
      </c>
      <c r="B60" s="183"/>
      <c r="C60" s="184"/>
      <c r="D60" s="184"/>
      <c r="E60" s="168"/>
      <c r="F60" s="168"/>
      <c r="G60" s="168" t="str">
        <f t="shared" si="37"/>
        <v/>
      </c>
      <c r="H60" s="169" t="str">
        <f t="shared" si="38"/>
        <v/>
      </c>
      <c r="I60" s="170">
        <f>IF(D60&gt;0,IFERROR(GETPIVOTDATA("act_qty",RECPT!$A$83,"yymm","202203","unit","TAL","comm","L"),0),)</f>
        <v>0</v>
      </c>
      <c r="J60" s="119"/>
      <c r="K60" s="166">
        <f t="shared" si="66"/>
        <v>44621</v>
      </c>
      <c r="L60" s="183"/>
      <c r="M60" s="184"/>
      <c r="N60" s="184"/>
      <c r="O60" s="168"/>
      <c r="P60" s="168"/>
      <c r="Q60" s="168" t="str">
        <f t="shared" si="39"/>
        <v/>
      </c>
      <c r="R60" s="169" t="str">
        <f t="shared" si="40"/>
        <v/>
      </c>
      <c r="S60" s="170">
        <f>IF(N60&gt;0,IFERROR(GETPIVOTDATA("act_qty",RECPT!$A$83,"yymm","202203","unit","TAL","comm","F"),0),)</f>
        <v>0</v>
      </c>
      <c r="T60" s="104"/>
      <c r="U60" s="166">
        <f t="shared" si="67"/>
        <v>44621</v>
      </c>
      <c r="V60" s="183"/>
      <c r="W60" s="184"/>
      <c r="X60" s="184"/>
      <c r="Y60" s="168"/>
      <c r="Z60" s="168"/>
      <c r="AA60" s="168" t="str">
        <f t="shared" si="41"/>
        <v/>
      </c>
      <c r="AB60" s="169" t="str">
        <f t="shared" si="42"/>
        <v/>
      </c>
      <c r="AC60" s="170">
        <f>IF(X60&gt;0,IFERROR(GETPIVOTDATA("act_qty",RECPT!$A$83,"yymm","202203","unit","MPR","comm","L"),0),)</f>
        <v>0</v>
      </c>
      <c r="AD60" s="119"/>
      <c r="AE60" s="166">
        <f t="shared" si="68"/>
        <v>44621</v>
      </c>
      <c r="AF60" s="183"/>
      <c r="AG60" s="184"/>
      <c r="AH60" s="184"/>
      <c r="AI60" s="168"/>
      <c r="AJ60" s="168"/>
      <c r="AK60" s="168" t="str">
        <f t="shared" si="43"/>
        <v/>
      </c>
      <c r="AL60" s="169" t="str">
        <f t="shared" si="44"/>
        <v/>
      </c>
      <c r="AM60" s="170">
        <f>IF(AH60&gt;0,IFERROR(GETPIVOTDATA("act_qty",RECPT!$A$83,"yymm","202203","unit","MPR","comm","F"),0),)</f>
        <v>0</v>
      </c>
      <c r="AN60" s="104"/>
      <c r="AO60" s="185">
        <f t="shared" si="49"/>
        <v>44621</v>
      </c>
      <c r="AP60" s="183">
        <f t="shared" si="52"/>
        <v>0</v>
      </c>
      <c r="AQ60" s="184">
        <f t="shared" si="53"/>
        <v>0</v>
      </c>
      <c r="AR60" s="184">
        <f t="shared" si="54"/>
        <v>0</v>
      </c>
      <c r="AS60" s="184">
        <f t="shared" si="55"/>
        <v>0</v>
      </c>
      <c r="AT60" s="184">
        <f t="shared" si="56"/>
        <v>0</v>
      </c>
      <c r="AU60" s="168" t="str">
        <f t="shared" si="45"/>
        <v/>
      </c>
      <c r="AV60" s="169">
        <f t="shared" si="57"/>
        <v>0</v>
      </c>
      <c r="AW60" s="170">
        <f t="shared" si="50"/>
        <v>0</v>
      </c>
      <c r="AX60" s="104"/>
      <c r="AY60" s="185">
        <f t="shared" si="58"/>
        <v>44621</v>
      </c>
      <c r="AZ60" s="183">
        <f t="shared" si="59"/>
        <v>61.28</v>
      </c>
      <c r="BA60" s="184">
        <f t="shared" si="60"/>
        <v>4.51</v>
      </c>
      <c r="BB60" s="184">
        <f t="shared" si="61"/>
        <v>3.22</v>
      </c>
      <c r="BC60" s="184">
        <f t="shared" si="62"/>
        <v>9.27</v>
      </c>
      <c r="BD60" s="184">
        <f t="shared" si="63"/>
        <v>47.33</v>
      </c>
      <c r="BE60" s="168">
        <f t="shared" si="47"/>
        <v>7.73</v>
      </c>
      <c r="BF60" s="169">
        <f t="shared" si="64"/>
        <v>0.71396895787139703</v>
      </c>
      <c r="BG60" s="170">
        <f t="shared" si="51"/>
        <v>66889.2</v>
      </c>
    </row>
    <row r="61" spans="1:59" ht="21.5" thickBot="1" x14ac:dyDescent="0.3">
      <c r="A61" s="191" t="s">
        <v>42</v>
      </c>
      <c r="B61" s="192"/>
      <c r="C61" s="192"/>
      <c r="D61" s="192"/>
      <c r="E61" s="192"/>
      <c r="F61" s="192"/>
      <c r="G61" s="193" t="str">
        <f t="shared" si="37"/>
        <v/>
      </c>
      <c r="H61" s="194" t="str">
        <f t="shared" si="38"/>
        <v/>
      </c>
      <c r="I61" s="195">
        <f>SUM(I49:I60)</f>
        <v>0</v>
      </c>
      <c r="J61" s="119"/>
      <c r="K61" s="191" t="s">
        <v>42</v>
      </c>
      <c r="L61" s="192"/>
      <c r="M61" s="192"/>
      <c r="N61" s="192"/>
      <c r="O61" s="192"/>
      <c r="P61" s="192"/>
      <c r="Q61" s="193" t="str">
        <f t="shared" si="39"/>
        <v/>
      </c>
      <c r="R61" s="194" t="str">
        <f t="shared" si="40"/>
        <v/>
      </c>
      <c r="S61" s="195">
        <f>SUM(S49:S60)</f>
        <v>0</v>
      </c>
      <c r="T61" s="104"/>
      <c r="U61" s="191" t="s">
        <v>42</v>
      </c>
      <c r="V61" s="192"/>
      <c r="W61" s="192"/>
      <c r="X61" s="192"/>
      <c r="Y61" s="192"/>
      <c r="Z61" s="192"/>
      <c r="AA61" s="193" t="str">
        <f t="shared" si="41"/>
        <v/>
      </c>
      <c r="AB61" s="194" t="str">
        <f t="shared" si="42"/>
        <v/>
      </c>
      <c r="AC61" s="195">
        <f>SUM(AC49:AC60)</f>
        <v>0</v>
      </c>
      <c r="AD61" s="171"/>
      <c r="AE61" s="196" t="s">
        <v>42</v>
      </c>
      <c r="AF61" s="192"/>
      <c r="AG61" s="192"/>
      <c r="AH61" s="192"/>
      <c r="AI61" s="192"/>
      <c r="AJ61" s="192"/>
      <c r="AK61" s="193" t="str">
        <f t="shared" si="43"/>
        <v/>
      </c>
      <c r="AL61" s="194" t="str">
        <f t="shared" si="44"/>
        <v/>
      </c>
      <c r="AM61" s="195">
        <f>SUM(AM49:AM60)</f>
        <v>0</v>
      </c>
      <c r="AN61" s="104"/>
      <c r="AO61" s="196" t="str">
        <f t="shared" si="49"/>
        <v>CUMML</v>
      </c>
      <c r="AP61" s="192" t="e">
        <f>+(B19*$I19+B40*$I40+B61*$I61+V19*$AC19+V40*$AC40+V61*$AC61+AP19*$AW19+AP40*$AW40)/$AW61</f>
        <v>#DIV/0!</v>
      </c>
      <c r="AQ61" s="192" t="e">
        <f>+(C19*$I19+C40*$I40+C61*$I61+W19*$AC19+W40*$AC40+W61*$AC61+AQ19*$AW19+AQ40*$AW40)/$AW61</f>
        <v>#DIV/0!</v>
      </c>
      <c r="AR61" s="192" t="e">
        <f>+(D19*$I19+D40*$I40+D61*$I61+X19*$AC19+X40*$AC40+X61*$AC61+AR19*$AW19+AR40*$AW40)/$AW61</f>
        <v>#DIV/0!</v>
      </c>
      <c r="AS61" s="192" t="e">
        <f>+(E19*$I19+E40*$I40+E61*$I61+Y19*$AC19+Y40*$AC40+Y61*$AC61+AS19*$AW19+AS40*$AW40)/$AW61</f>
        <v>#DIV/0!</v>
      </c>
      <c r="AT61" s="192" t="e">
        <f>+(F19*$I19+F40*$I40+F61*$I61+Z19*$AC19+Z40*$AC40+Z61*$AC61+AT19*$AW19+AT40*$AW40)/$AW61</f>
        <v>#DIV/0!</v>
      </c>
      <c r="AU61" s="193" t="e">
        <f t="shared" si="45"/>
        <v>#DIV/0!</v>
      </c>
      <c r="AV61" s="194" t="e">
        <f>IF(AQ61&gt;0,+AR61/AQ61,"")</f>
        <v>#DIV/0!</v>
      </c>
      <c r="AW61" s="195">
        <f>SUM(AW49:AW60)</f>
        <v>0</v>
      </c>
      <c r="AX61" s="104"/>
      <c r="AY61" s="196" t="s">
        <v>42</v>
      </c>
      <c r="AZ61" s="192">
        <f>+(L19*$S19+L40*$S40+L61*$S61+AF19*$AM19+AF40*$AM40+AF61*$AM61+AZ19*$BG19+AZ40*$BG40)/$BG61</f>
        <v>60.913152667621191</v>
      </c>
      <c r="BA61" s="192">
        <f>+(M19*$S19+M40*$S40+M61*$S61+AG19*$AM19+AG40*$AM40+AG61*$AM61+BA19*$BG19+BA40*$BG40)/$BG61</f>
        <v>6.5239563145928479</v>
      </c>
      <c r="BB61" s="192">
        <f>+(N19*$S19+N40*$S40+N61*$S61+AH19*$AM19+AH40*$AM40+AH61*$AM61+BB19*$BG19+BB40*$BG40)/$BG61</f>
        <v>2.417233281886614</v>
      </c>
      <c r="BC61" s="192">
        <f>+(O19*$S19+O40*$S40+O61*$S61+AI19*$AM19+AI40*$AM40+AI61*$AM61+BC19*$BG19+BC40*$BG40)/$BG61</f>
        <v>7.7604765538637119</v>
      </c>
      <c r="BD61" s="192">
        <f>+(P19*$S19+P40*$S40+P61*$S61+AJ19*$AM19+AJ40*$AM40+AJ61*$AM61+BD19*$BG19+BD40*$BG40)/$BG61</f>
        <v>48.007651394680956</v>
      </c>
      <c r="BE61" s="193">
        <f t="shared" si="47"/>
        <v>8.941189596479461</v>
      </c>
      <c r="BF61" s="194">
        <f>IF(BA61&gt;0,+BB61/BA61,"")</f>
        <v>0.37051647272372495</v>
      </c>
      <c r="BG61" s="195">
        <f>SUM(BG49:BG60)</f>
        <v>1027133.8399999999</v>
      </c>
    </row>
    <row r="62" spans="1:59" ht="12.5" x14ac:dyDescent="0.25">
      <c r="A62" s="5"/>
      <c r="B62" s="5"/>
      <c r="C62" s="5"/>
      <c r="D62" s="5"/>
      <c r="E62" s="5"/>
      <c r="F62" s="5"/>
      <c r="G62" s="5"/>
      <c r="H62" s="5"/>
      <c r="I62" s="21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</row>
    <row r="63" spans="1:59" ht="19.5" x14ac:dyDescent="0.35">
      <c r="A63" s="22"/>
      <c r="B63" s="10"/>
      <c r="C63" s="10"/>
      <c r="D63" s="10"/>
      <c r="E63" s="10"/>
      <c r="F63" s="10"/>
      <c r="G63" s="10"/>
      <c r="H63" s="10"/>
      <c r="I63" s="23"/>
      <c r="J63" s="5"/>
      <c r="K63" s="22"/>
      <c r="L63" s="10"/>
      <c r="M63" s="10"/>
      <c r="N63" s="10"/>
      <c r="O63" s="10"/>
      <c r="P63" s="10"/>
      <c r="Q63" s="10"/>
      <c r="R63" s="10"/>
      <c r="S63" s="23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</row>
    <row r="64" spans="1:59" ht="34.5" customHeight="1" x14ac:dyDescent="0.45">
      <c r="A64" s="588"/>
      <c r="B64" s="588"/>
      <c r="C64" s="588"/>
      <c r="D64" s="588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14"/>
      <c r="R64" s="14"/>
      <c r="S64" s="14"/>
      <c r="T64" s="24"/>
      <c r="U64" s="13"/>
      <c r="V64" s="14"/>
      <c r="W64" s="14"/>
      <c r="X64" s="14"/>
      <c r="Y64" s="14"/>
      <c r="Z64" s="14"/>
      <c r="AA64" s="14"/>
      <c r="AB64" s="24"/>
      <c r="AC64" s="24"/>
      <c r="AD64" s="24"/>
      <c r="AE64" s="24"/>
      <c r="AF64" s="24"/>
      <c r="AG64" s="24"/>
      <c r="AH64" s="24"/>
      <c r="AI64" s="25"/>
      <c r="AJ64" s="11"/>
      <c r="AK64" s="24"/>
      <c r="AL64" s="24"/>
      <c r="AM64" s="24"/>
      <c r="AN64" s="24"/>
      <c r="AO64" s="24"/>
      <c r="AP64" s="10"/>
      <c r="AQ64" s="10"/>
      <c r="AR64" s="10"/>
      <c r="AS64" s="10"/>
      <c r="AT64" s="10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</row>
    <row r="65" spans="1:59" s="371" customFormat="1" ht="29.25" customHeight="1" x14ac:dyDescent="0.5">
      <c r="A65" s="591" t="s">
        <v>49</v>
      </c>
      <c r="B65" s="591"/>
      <c r="C65" s="591" t="s">
        <v>50</v>
      </c>
      <c r="D65" s="591"/>
      <c r="E65" s="591"/>
      <c r="F65" s="591"/>
      <c r="G65" s="24"/>
      <c r="H65" s="29"/>
      <c r="I65" s="29"/>
      <c r="J65" s="24"/>
      <c r="K65" s="592" t="s">
        <v>51</v>
      </c>
      <c r="L65" s="592"/>
      <c r="M65" s="591" t="s">
        <v>52</v>
      </c>
      <c r="N65" s="591"/>
      <c r="O65" s="591"/>
      <c r="P65" s="591"/>
      <c r="Q65" s="29"/>
      <c r="R65" s="364"/>
      <c r="S65" s="364"/>
      <c r="T65" s="365"/>
      <c r="U65" s="366"/>
      <c r="V65" s="367"/>
      <c r="W65" s="367"/>
      <c r="X65" s="366"/>
      <c r="Y65" s="368"/>
      <c r="Z65" s="369"/>
      <c r="AA65" s="364"/>
      <c r="AB65" s="365"/>
      <c r="AC65" s="365"/>
      <c r="AD65" s="365"/>
      <c r="AE65" s="366"/>
      <c r="AF65" s="367"/>
      <c r="AG65" s="367"/>
      <c r="AH65" s="364"/>
      <c r="AI65" s="369"/>
      <c r="AJ65" s="369"/>
      <c r="AK65" s="365"/>
      <c r="AL65" s="365"/>
      <c r="AM65" s="365"/>
      <c r="AN65" s="365"/>
      <c r="AO65" s="365"/>
      <c r="AP65" s="365"/>
      <c r="AQ65" s="365"/>
      <c r="AR65" s="365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</row>
    <row r="66" spans="1:59" ht="29" thickBot="1" x14ac:dyDescent="0.7">
      <c r="A66" s="28"/>
      <c r="B66" s="28"/>
      <c r="C66" s="28"/>
      <c r="D66" s="28"/>
      <c r="E66" s="28"/>
      <c r="F66" s="28"/>
      <c r="G66" s="24"/>
      <c r="H66" s="11"/>
      <c r="I66" s="31"/>
      <c r="J66" s="24"/>
      <c r="K66" s="32">
        <f t="shared" ref="K66:K67" si="69">AE42</f>
        <v>0</v>
      </c>
      <c r="L66" s="32">
        <f>AF42</f>
        <v>0</v>
      </c>
      <c r="M66" s="32">
        <f>AG42</f>
        <v>0</v>
      </c>
      <c r="N66" s="32">
        <f>AH42</f>
        <v>0</v>
      </c>
      <c r="O66" s="32">
        <f>AI42</f>
        <v>0</v>
      </c>
      <c r="P66" s="32">
        <f>AJ42</f>
        <v>0</v>
      </c>
      <c r="Q66" s="11"/>
      <c r="R66" s="11"/>
      <c r="S66" s="11"/>
      <c r="T66" s="24"/>
      <c r="U66" s="11"/>
      <c r="V66" s="11"/>
      <c r="W66" s="11"/>
      <c r="X66" s="11"/>
      <c r="Y66" s="11"/>
      <c r="Z66" s="11"/>
      <c r="AA66" s="29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</row>
    <row r="67" spans="1:59" ht="21.5" thickBot="1" x14ac:dyDescent="0.5">
      <c r="A67" s="448"/>
      <c r="B67" s="449" t="s">
        <v>53</v>
      </c>
      <c r="C67" s="450" t="s">
        <v>54</v>
      </c>
      <c r="D67" s="450" t="s">
        <v>55</v>
      </c>
      <c r="E67" s="450" t="s">
        <v>37</v>
      </c>
      <c r="F67" s="451" t="s">
        <v>38</v>
      </c>
      <c r="G67" s="452" t="s">
        <v>41</v>
      </c>
      <c r="H67" s="453"/>
      <c r="I67" s="453"/>
      <c r="J67" s="454"/>
      <c r="K67" s="455">
        <f t="shared" si="69"/>
        <v>0</v>
      </c>
      <c r="L67" s="449" t="s">
        <v>53</v>
      </c>
      <c r="M67" s="450" t="s">
        <v>54</v>
      </c>
      <c r="N67" s="450" t="s">
        <v>55</v>
      </c>
      <c r="O67" s="450" t="s">
        <v>37</v>
      </c>
      <c r="P67" s="451" t="s">
        <v>38</v>
      </c>
      <c r="Q67" s="452" t="s">
        <v>41</v>
      </c>
      <c r="R67" s="24"/>
      <c r="S67" s="24"/>
      <c r="T67" s="24"/>
      <c r="U67" s="38"/>
      <c r="V67" s="39"/>
      <c r="W67" s="39"/>
      <c r="X67" s="39"/>
      <c r="Y67" s="39"/>
      <c r="Z67" s="39"/>
      <c r="AA67" s="29"/>
      <c r="AB67" s="39"/>
      <c r="AC67" s="24"/>
      <c r="AD67" s="24"/>
      <c r="AE67" s="38"/>
      <c r="AF67" s="39"/>
      <c r="AG67" s="39"/>
      <c r="AH67" s="39"/>
      <c r="AI67" s="39"/>
      <c r="AJ67" s="39"/>
      <c r="AK67" s="39"/>
      <c r="AL67" s="24"/>
      <c r="AM67" s="24"/>
      <c r="AN67" s="24"/>
      <c r="AO67" s="24"/>
      <c r="AP67" s="24"/>
      <c r="AQ67" s="24"/>
      <c r="AR67" s="24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</row>
    <row r="68" spans="1:59" ht="21" thickBot="1" x14ac:dyDescent="0.5">
      <c r="A68" s="456" t="str">
        <f t="shared" ref="A68:A69" si="70">A5</f>
        <v>Act 20-21</v>
      </c>
      <c r="B68" s="457">
        <v>49.81</v>
      </c>
      <c r="C68" s="458">
        <v>2.23</v>
      </c>
      <c r="D68" s="458">
        <v>3.85</v>
      </c>
      <c r="E68" s="458">
        <v>8.24</v>
      </c>
      <c r="F68" s="459">
        <v>16</v>
      </c>
      <c r="G68" s="460"/>
      <c r="H68" s="453"/>
      <c r="I68" s="453"/>
      <c r="J68" s="454"/>
      <c r="K68" s="456" t="str">
        <f>A68</f>
        <v>Act 20-21</v>
      </c>
      <c r="L68" s="457"/>
      <c r="M68" s="458"/>
      <c r="N68" s="458"/>
      <c r="O68" s="458"/>
      <c r="P68" s="459"/>
      <c r="Q68" s="460"/>
      <c r="R68" s="24"/>
      <c r="S68" s="24"/>
      <c r="T68" s="24"/>
      <c r="U68" s="44"/>
      <c r="V68" s="44"/>
      <c r="W68" s="44"/>
      <c r="X68" s="44"/>
      <c r="Y68" s="44"/>
      <c r="Z68" s="44"/>
      <c r="AA68" s="29"/>
      <c r="AB68" s="45"/>
      <c r="AC68" s="24"/>
      <c r="AD68" s="24"/>
      <c r="AE68" s="44"/>
      <c r="AF68" s="46"/>
      <c r="AG68" s="46"/>
      <c r="AH68" s="46"/>
      <c r="AI68" s="46"/>
      <c r="AJ68" s="46"/>
      <c r="AK68" s="45"/>
      <c r="AL68" s="24"/>
      <c r="AM68" s="24"/>
      <c r="AN68" s="24"/>
      <c r="AO68" s="24"/>
      <c r="AP68" s="24"/>
      <c r="AQ68" s="24"/>
      <c r="AR68" s="24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</row>
    <row r="69" spans="1:59" ht="21" thickBot="1" x14ac:dyDescent="0.5">
      <c r="A69" s="461" t="str">
        <f t="shared" si="70"/>
        <v>APP 21-22</v>
      </c>
      <c r="B69" s="449">
        <v>50</v>
      </c>
      <c r="C69" s="450">
        <v>2.25</v>
      </c>
      <c r="D69" s="450">
        <v>3.5</v>
      </c>
      <c r="E69" s="450">
        <v>5</v>
      </c>
      <c r="F69" s="451">
        <v>5</v>
      </c>
      <c r="G69" s="462"/>
      <c r="H69" s="453"/>
      <c r="I69" s="453"/>
      <c r="J69" s="454"/>
      <c r="K69" s="461" t="str">
        <f t="shared" ref="K69:K82" si="71">A69</f>
        <v>APP 21-22</v>
      </c>
      <c r="L69" s="449">
        <v>30</v>
      </c>
      <c r="M69" s="450">
        <v>18</v>
      </c>
      <c r="N69" s="450">
        <v>5</v>
      </c>
      <c r="O69" s="450">
        <v>5</v>
      </c>
      <c r="P69" s="451">
        <v>10</v>
      </c>
      <c r="Q69" s="462"/>
      <c r="R69" s="24"/>
      <c r="S69" s="24"/>
      <c r="T69" s="24"/>
      <c r="U69" s="48"/>
      <c r="V69" s="49"/>
      <c r="W69" s="49"/>
      <c r="X69" s="49"/>
      <c r="Y69" s="49"/>
      <c r="Z69" s="49"/>
      <c r="AA69" s="29"/>
      <c r="AB69" s="8"/>
      <c r="AC69" s="24"/>
      <c r="AD69" s="24"/>
      <c r="AE69" s="50"/>
      <c r="AF69" s="51"/>
      <c r="AG69" s="51"/>
      <c r="AH69" s="51"/>
      <c r="AI69" s="51"/>
      <c r="AJ69" s="51"/>
      <c r="AK69" s="8"/>
      <c r="AL69" s="24"/>
      <c r="AM69" s="24"/>
      <c r="AN69" s="24"/>
      <c r="AO69" s="24"/>
      <c r="AP69" s="24"/>
      <c r="AQ69" s="24"/>
      <c r="AR69" s="24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</row>
    <row r="70" spans="1:59" ht="21" x14ac:dyDescent="0.45">
      <c r="A70" s="463">
        <f>A7</f>
        <v>44287</v>
      </c>
      <c r="B70" s="464">
        <v>49.01</v>
      </c>
      <c r="C70" s="465">
        <v>2.5</v>
      </c>
      <c r="D70" s="465">
        <v>4.16</v>
      </c>
      <c r="E70" s="465">
        <v>8.9</v>
      </c>
      <c r="F70" s="466">
        <v>16.170000000000002</v>
      </c>
      <c r="G70" s="467">
        <f>IF(B70&gt;0,IFERROR(GETPIVOTDATA("act_qty",RECPT!$A$83,"yymm","202104","unit","KTR","comm","LS"),0),)</f>
        <v>20272</v>
      </c>
      <c r="H70" s="453"/>
      <c r="I70" s="453"/>
      <c r="J70" s="454"/>
      <c r="K70" s="463">
        <f t="shared" si="71"/>
        <v>44287</v>
      </c>
      <c r="L70" s="464"/>
      <c r="M70" s="465"/>
      <c r="N70" s="465"/>
      <c r="O70" s="465"/>
      <c r="P70" s="466"/>
      <c r="Q70" s="467">
        <f>IF(L70&gt;0,IFERROR(GETPIVOTDATA("act_qty",RECPT!$A$83,"yymm","202104","unit","TDM","comm","BD"),0),)</f>
        <v>0</v>
      </c>
      <c r="R70" s="24"/>
      <c r="S70" s="24"/>
      <c r="T70" s="24"/>
      <c r="U70" s="9"/>
      <c r="V70" s="15"/>
      <c r="W70" s="15"/>
      <c r="X70" s="15"/>
      <c r="Y70" s="15"/>
      <c r="Z70" s="15"/>
      <c r="AA70" s="29"/>
      <c r="AB70" s="23"/>
      <c r="AC70" s="24"/>
      <c r="AD70" s="24"/>
      <c r="AE70" s="9"/>
      <c r="AF70" s="10"/>
      <c r="AG70" s="10"/>
      <c r="AH70" s="10"/>
      <c r="AI70" s="10"/>
      <c r="AJ70" s="10"/>
      <c r="AK70" s="23"/>
      <c r="AL70" s="24"/>
      <c r="AM70" s="24"/>
      <c r="AN70" s="24"/>
      <c r="AO70" s="24"/>
      <c r="AP70" s="24"/>
      <c r="AQ70" s="24"/>
      <c r="AR70" s="24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</row>
    <row r="71" spans="1:59" ht="21" x14ac:dyDescent="0.45">
      <c r="A71" s="448">
        <f t="shared" ref="A71:A82" si="72">A8</f>
        <v>44317</v>
      </c>
      <c r="B71" s="464"/>
      <c r="C71" s="468"/>
      <c r="D71" s="468"/>
      <c r="E71" s="468"/>
      <c r="F71" s="469"/>
      <c r="G71" s="470">
        <f>IF(B71&gt;0,IFERROR(GETPIVOTDATA("act_qty",RECPT!$A$83,"yymm","202105","unit","KTR","comm","LS"),0),)</f>
        <v>0</v>
      </c>
      <c r="H71" s="453"/>
      <c r="I71" s="453"/>
      <c r="J71" s="454"/>
      <c r="K71" s="448">
        <f t="shared" si="71"/>
        <v>44317</v>
      </c>
      <c r="L71" s="464"/>
      <c r="M71" s="468"/>
      <c r="N71" s="468"/>
      <c r="O71" s="468"/>
      <c r="P71" s="469"/>
      <c r="Q71" s="470">
        <f>IF(L71&gt;0,IFERROR(GETPIVOTDATA("act_qty",RECPT!$A$83,"yymm","202105","unit","TDM","comm","BD"),0),)</f>
        <v>0</v>
      </c>
      <c r="R71" s="24"/>
      <c r="S71" s="24"/>
      <c r="T71" s="24"/>
      <c r="U71" s="9"/>
      <c r="V71" s="15"/>
      <c r="W71" s="15"/>
      <c r="X71" s="15"/>
      <c r="Y71" s="15"/>
      <c r="Z71" s="15"/>
      <c r="AA71" s="29"/>
      <c r="AB71" s="10"/>
      <c r="AC71" s="24"/>
      <c r="AD71" s="24"/>
      <c r="AE71" s="9"/>
      <c r="AF71" s="10"/>
      <c r="AG71" s="10"/>
      <c r="AH71" s="10"/>
      <c r="AI71" s="10"/>
      <c r="AJ71" s="10"/>
      <c r="AK71" s="23"/>
      <c r="AL71" s="24"/>
      <c r="AM71" s="24"/>
      <c r="AN71" s="24"/>
      <c r="AO71" s="24"/>
      <c r="AP71" s="24"/>
      <c r="AQ71" s="24"/>
      <c r="AR71" s="24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</row>
    <row r="72" spans="1:59" ht="21" x14ac:dyDescent="0.45">
      <c r="A72" s="448">
        <f t="shared" si="72"/>
        <v>44348</v>
      </c>
      <c r="B72" s="464"/>
      <c r="C72" s="468"/>
      <c r="D72" s="468"/>
      <c r="E72" s="468"/>
      <c r="F72" s="469"/>
      <c r="G72" s="470">
        <f>IF(B72&gt;0,IFERROR(GETPIVOTDATA("act_qty",RECPT!$A$83,"yymm","202106","unit","KTR","comm","LS"),0),)</f>
        <v>0</v>
      </c>
      <c r="H72" s="453"/>
      <c r="I72" s="453"/>
      <c r="J72" s="454"/>
      <c r="K72" s="448">
        <f t="shared" si="71"/>
        <v>44348</v>
      </c>
      <c r="L72" s="464"/>
      <c r="M72" s="468"/>
      <c r="N72" s="468"/>
      <c r="O72" s="468"/>
      <c r="P72" s="469"/>
      <c r="Q72" s="470">
        <f>IF(L72&gt;0,IFERROR(GETPIVOTDATA("act_qty",RECPT!$A$83,"yymm","202106","unit","TDM","comm","BD"),0),)</f>
        <v>0</v>
      </c>
      <c r="R72" s="24"/>
      <c r="S72" s="24"/>
      <c r="T72" s="24"/>
      <c r="U72" s="9"/>
      <c r="V72" s="15"/>
      <c r="W72" s="15"/>
      <c r="X72" s="15"/>
      <c r="Y72" s="15"/>
      <c r="Z72" s="15"/>
      <c r="AA72" s="29"/>
      <c r="AB72" s="10"/>
      <c r="AC72" s="24"/>
      <c r="AD72" s="24"/>
      <c r="AE72" s="9"/>
      <c r="AF72" s="10"/>
      <c r="AG72" s="10"/>
      <c r="AH72" s="10"/>
      <c r="AI72" s="10"/>
      <c r="AJ72" s="10"/>
      <c r="AK72" s="23"/>
      <c r="AL72" s="24"/>
      <c r="AM72" s="24"/>
      <c r="AN72" s="24"/>
      <c r="AO72" s="24"/>
      <c r="AP72" s="24"/>
      <c r="AQ72" s="24"/>
      <c r="AR72" s="24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</row>
    <row r="73" spans="1:59" ht="21" x14ac:dyDescent="0.45">
      <c r="A73" s="448">
        <f t="shared" si="72"/>
        <v>44378</v>
      </c>
      <c r="B73" s="464"/>
      <c r="C73" s="468"/>
      <c r="D73" s="468"/>
      <c r="E73" s="468"/>
      <c r="F73" s="469"/>
      <c r="G73" s="470">
        <f>IF(B73&gt;0,IFERROR(GETPIVOTDATA("act_qty",RECPT!$A$83,"yymm","202107","unit","KTR","comm","LS"),0),)</f>
        <v>0</v>
      </c>
      <c r="H73" s="453"/>
      <c r="I73" s="453"/>
      <c r="J73" s="454"/>
      <c r="K73" s="448">
        <f t="shared" si="71"/>
        <v>44378</v>
      </c>
      <c r="L73" s="464"/>
      <c r="M73" s="468"/>
      <c r="N73" s="468"/>
      <c r="O73" s="468"/>
      <c r="P73" s="469"/>
      <c r="Q73" s="470">
        <f>IF(L73&gt;0,IFERROR(GETPIVOTDATA("act_qty",RECPT!$A$83,"yymm","202107","unit","TDM","comm","BD"),0),)</f>
        <v>0</v>
      </c>
      <c r="R73" s="24"/>
      <c r="S73" s="24"/>
      <c r="T73" s="24"/>
      <c r="U73" s="9"/>
      <c r="V73" s="15"/>
      <c r="W73" s="15"/>
      <c r="X73" s="15"/>
      <c r="Y73" s="15"/>
      <c r="Z73" s="15"/>
      <c r="AA73" s="29"/>
      <c r="AB73" s="10"/>
      <c r="AC73" s="24"/>
      <c r="AD73" s="24"/>
      <c r="AE73" s="9"/>
      <c r="AF73" s="10"/>
      <c r="AG73" s="10"/>
      <c r="AH73" s="10"/>
      <c r="AI73" s="10"/>
      <c r="AJ73" s="10"/>
      <c r="AK73" s="23"/>
      <c r="AL73" s="24"/>
      <c r="AM73" s="24"/>
      <c r="AN73" s="24"/>
      <c r="AO73" s="24"/>
      <c r="AP73" s="24"/>
      <c r="AQ73" s="24"/>
      <c r="AR73" s="24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</row>
    <row r="74" spans="1:59" ht="21" x14ac:dyDescent="0.45">
      <c r="A74" s="448">
        <f t="shared" si="72"/>
        <v>44409</v>
      </c>
      <c r="B74" s="464"/>
      <c r="C74" s="468"/>
      <c r="D74" s="468"/>
      <c r="E74" s="468"/>
      <c r="F74" s="469"/>
      <c r="G74" s="470">
        <f>IF(B74&gt;0,IFERROR(GETPIVOTDATA("act_qty",RECPT!$A$83,"yymm","202108","unit","KTR","comm","LS"),0),)</f>
        <v>0</v>
      </c>
      <c r="H74" s="453"/>
      <c r="I74" s="453"/>
      <c r="J74" s="454"/>
      <c r="K74" s="448">
        <f t="shared" si="71"/>
        <v>44409</v>
      </c>
      <c r="L74" s="464"/>
      <c r="M74" s="468"/>
      <c r="N74" s="468"/>
      <c r="O74" s="468"/>
      <c r="P74" s="469"/>
      <c r="Q74" s="470">
        <f>IF(L74&gt;0,IFERROR(GETPIVOTDATA("act_qty",RECPT!$A$83,"yymm","202108","unit","TDM","comm","BD"),0),)</f>
        <v>0</v>
      </c>
      <c r="R74" s="24"/>
      <c r="S74" s="24"/>
      <c r="T74" s="24"/>
      <c r="U74" s="9"/>
      <c r="V74" s="15"/>
      <c r="W74" s="15"/>
      <c r="X74" s="15"/>
      <c r="Y74" s="15"/>
      <c r="Z74" s="15"/>
      <c r="AA74" s="29"/>
      <c r="AB74" s="10"/>
      <c r="AC74" s="24"/>
      <c r="AD74" s="24"/>
      <c r="AE74" s="9"/>
      <c r="AF74" s="10"/>
      <c r="AG74" s="10"/>
      <c r="AH74" s="10"/>
      <c r="AI74" s="10"/>
      <c r="AJ74" s="10"/>
      <c r="AK74" s="23"/>
      <c r="AL74" s="24"/>
      <c r="AM74" s="24"/>
      <c r="AN74" s="24"/>
      <c r="AO74" s="24"/>
      <c r="AP74" s="24"/>
      <c r="AQ74" s="24"/>
      <c r="AR74" s="24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</row>
    <row r="75" spans="1:59" ht="21" x14ac:dyDescent="0.45">
      <c r="A75" s="448">
        <f t="shared" si="72"/>
        <v>44440</v>
      </c>
      <c r="B75" s="464"/>
      <c r="C75" s="468"/>
      <c r="D75" s="468"/>
      <c r="E75" s="468"/>
      <c r="F75" s="469"/>
      <c r="G75" s="470">
        <f>IF(B75&gt;0,IFERROR(GETPIVOTDATA("act_qty",RECPT!$A$83,"yymm","202109","unit","KTR","comm","LS"),0),)</f>
        <v>0</v>
      </c>
      <c r="H75" s="453"/>
      <c r="I75" s="453"/>
      <c r="J75" s="454"/>
      <c r="K75" s="448">
        <f t="shared" si="71"/>
        <v>44440</v>
      </c>
      <c r="L75" s="464"/>
      <c r="M75" s="468"/>
      <c r="N75" s="468"/>
      <c r="O75" s="468"/>
      <c r="P75" s="469"/>
      <c r="Q75" s="470">
        <f>IF(L75&gt;0,IFERROR(GETPIVOTDATA("act_qty",RECPT!$A$83,"yymm","202109","unit","TDM","comm","BD"),0),)</f>
        <v>0</v>
      </c>
      <c r="R75" s="24"/>
      <c r="S75" s="24"/>
      <c r="T75" s="24"/>
      <c r="U75" s="9"/>
      <c r="V75" s="15"/>
      <c r="W75" s="15"/>
      <c r="X75" s="15"/>
      <c r="Y75" s="15"/>
      <c r="Z75" s="15"/>
      <c r="AA75" s="29"/>
      <c r="AB75" s="10"/>
      <c r="AC75" s="24"/>
      <c r="AD75" s="24"/>
      <c r="AE75" s="9"/>
      <c r="AF75" s="10"/>
      <c r="AG75" s="10"/>
      <c r="AH75" s="10"/>
      <c r="AI75" s="10"/>
      <c r="AJ75" s="10"/>
      <c r="AK75" s="23"/>
      <c r="AL75" s="24"/>
      <c r="AM75" s="24"/>
      <c r="AN75" s="24"/>
      <c r="AO75" s="24"/>
      <c r="AP75" s="24"/>
      <c r="AQ75" s="24"/>
      <c r="AR75" s="24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</row>
    <row r="76" spans="1:59" ht="21" x14ac:dyDescent="0.45">
      <c r="A76" s="448">
        <f t="shared" si="72"/>
        <v>44470</v>
      </c>
      <c r="B76" s="464"/>
      <c r="C76" s="468"/>
      <c r="D76" s="468"/>
      <c r="E76" s="468"/>
      <c r="F76" s="469"/>
      <c r="G76" s="470">
        <f>IF(B76&gt;0,IFERROR(GETPIVOTDATA("act_qty",RECPT!$A$83,"yymm","202110","unit","KTR","comm","LS"),0),)</f>
        <v>0</v>
      </c>
      <c r="H76" s="453"/>
      <c r="I76" s="453"/>
      <c r="J76" s="454"/>
      <c r="K76" s="448">
        <f t="shared" si="71"/>
        <v>44470</v>
      </c>
      <c r="L76" s="464"/>
      <c r="M76" s="468"/>
      <c r="N76" s="468"/>
      <c r="O76" s="468"/>
      <c r="P76" s="469"/>
      <c r="Q76" s="470">
        <f>IF(L76&gt;0,IFERROR(GETPIVOTDATA("act_qty",RECPT!$A$83,"yymm","202110","unit","TDM","comm","BD"),0),)</f>
        <v>0</v>
      </c>
      <c r="R76" s="24"/>
      <c r="S76" s="24"/>
      <c r="T76" s="24"/>
      <c r="U76" s="9"/>
      <c r="V76" s="15"/>
      <c r="W76" s="15"/>
      <c r="X76" s="15"/>
      <c r="Y76" s="15"/>
      <c r="Z76" s="15"/>
      <c r="AA76" s="29"/>
      <c r="AB76" s="10"/>
      <c r="AC76" s="24"/>
      <c r="AD76" s="24"/>
      <c r="AE76" s="9"/>
      <c r="AF76" s="10"/>
      <c r="AG76" s="10"/>
      <c r="AH76" s="10"/>
      <c r="AI76" s="10"/>
      <c r="AJ76" s="10"/>
      <c r="AK76" s="23"/>
      <c r="AL76" s="24"/>
      <c r="AM76" s="24"/>
      <c r="AN76" s="24"/>
      <c r="AO76" s="24"/>
      <c r="AP76" s="24"/>
      <c r="AQ76" s="24"/>
      <c r="AR76" s="24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</row>
    <row r="77" spans="1:59" ht="21" x14ac:dyDescent="0.45">
      <c r="A77" s="448">
        <f t="shared" si="72"/>
        <v>44501</v>
      </c>
      <c r="B77" s="464"/>
      <c r="C77" s="468"/>
      <c r="D77" s="468"/>
      <c r="E77" s="468"/>
      <c r="F77" s="471"/>
      <c r="G77" s="470">
        <f>IF(B77&gt;0,IFERROR(GETPIVOTDATA("act_qty",RECPT!$A$83,"yymm","202111","unit","KTR","comm","LS"),0),)</f>
        <v>0</v>
      </c>
      <c r="H77" s="453"/>
      <c r="I77" s="453"/>
      <c r="J77" s="454"/>
      <c r="K77" s="448">
        <f t="shared" si="71"/>
        <v>44501</v>
      </c>
      <c r="L77" s="464"/>
      <c r="M77" s="468"/>
      <c r="N77" s="468"/>
      <c r="O77" s="468"/>
      <c r="P77" s="471"/>
      <c r="Q77" s="470">
        <f>IF(L77&gt;0,IFERROR(GETPIVOTDATA("act_qty",RECPT!$A$83,"yymm","202111","unit","TDM","comm","BD"),0),)</f>
        <v>0</v>
      </c>
      <c r="R77" s="24"/>
      <c r="S77" s="24"/>
      <c r="T77" s="24"/>
      <c r="U77" s="9"/>
      <c r="V77" s="15"/>
      <c r="W77" s="15"/>
      <c r="X77" s="15"/>
      <c r="Y77" s="15"/>
      <c r="Z77" s="15"/>
      <c r="AA77" s="29"/>
      <c r="AB77" s="10"/>
      <c r="AC77" s="24"/>
      <c r="AD77" s="24"/>
      <c r="AE77" s="9"/>
      <c r="AF77" s="10"/>
      <c r="AG77" s="10"/>
      <c r="AH77" s="10"/>
      <c r="AI77" s="10"/>
      <c r="AJ77" s="10"/>
      <c r="AK77" s="23"/>
      <c r="AL77" s="24"/>
      <c r="AM77" s="24"/>
      <c r="AN77" s="24"/>
      <c r="AO77" s="24"/>
      <c r="AP77" s="24"/>
      <c r="AQ77" s="24"/>
      <c r="AR77" s="24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</row>
    <row r="78" spans="1:59" ht="21" x14ac:dyDescent="0.45">
      <c r="A78" s="448">
        <f t="shared" si="72"/>
        <v>44531</v>
      </c>
      <c r="B78" s="464"/>
      <c r="C78" s="468"/>
      <c r="D78" s="468"/>
      <c r="E78" s="468"/>
      <c r="F78" s="471"/>
      <c r="G78" s="470">
        <f>IF(B78&gt;0,IFERROR(GETPIVOTDATA("act_qty",RECPT!$A$83,"yymm","202112","unit","KTR","comm","LS"),0),)</f>
        <v>0</v>
      </c>
      <c r="H78" s="453"/>
      <c r="I78" s="453"/>
      <c r="J78" s="454"/>
      <c r="K78" s="448">
        <f t="shared" si="71"/>
        <v>44531</v>
      </c>
      <c r="L78" s="464"/>
      <c r="M78" s="468"/>
      <c r="N78" s="468"/>
      <c r="O78" s="468"/>
      <c r="P78" s="471"/>
      <c r="Q78" s="470">
        <f>IF(L78&gt;0,IFERROR(GETPIVOTDATA("act_qty",RECPT!$A$83,"yymm","202112","unit","TDM","comm","BD"),0),)</f>
        <v>0</v>
      </c>
      <c r="R78" s="24"/>
      <c r="S78" s="24"/>
      <c r="T78" s="24"/>
      <c r="U78" s="9"/>
      <c r="V78" s="15"/>
      <c r="W78" s="15"/>
      <c r="X78" s="15"/>
      <c r="Y78" s="15"/>
      <c r="Z78" s="15"/>
      <c r="AA78" s="29"/>
      <c r="AB78" s="10"/>
      <c r="AC78" s="24"/>
      <c r="AD78" s="24"/>
      <c r="AE78" s="9"/>
      <c r="AF78" s="10"/>
      <c r="AG78" s="10"/>
      <c r="AH78" s="10"/>
      <c r="AI78" s="10"/>
      <c r="AJ78" s="10"/>
      <c r="AK78" s="23"/>
      <c r="AL78" s="24"/>
      <c r="AM78" s="24"/>
      <c r="AN78" s="24"/>
      <c r="AO78" s="24"/>
      <c r="AP78" s="24"/>
      <c r="AQ78" s="24"/>
      <c r="AR78" s="24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</row>
    <row r="79" spans="1:59" ht="21" x14ac:dyDescent="0.45">
      <c r="A79" s="448">
        <f t="shared" si="72"/>
        <v>44562</v>
      </c>
      <c r="B79" s="464"/>
      <c r="C79" s="468"/>
      <c r="D79" s="468"/>
      <c r="E79" s="468"/>
      <c r="F79" s="471"/>
      <c r="G79" s="470">
        <f>IF(B79&gt;0,IFERROR(GETPIVOTDATA("act_qty",RECPT!$A$83,"yymm","202201","unit","KTR","comm","LS"),0),)</f>
        <v>0</v>
      </c>
      <c r="H79" s="453"/>
      <c r="I79" s="453"/>
      <c r="J79" s="454"/>
      <c r="K79" s="448">
        <f t="shared" si="71"/>
        <v>44562</v>
      </c>
      <c r="L79" s="464"/>
      <c r="M79" s="468"/>
      <c r="N79" s="468"/>
      <c r="O79" s="468"/>
      <c r="P79" s="471"/>
      <c r="Q79" s="470">
        <f>IF(L79&gt;0,IFERROR(GETPIVOTDATA("act_qty",RECPT!$A$83,"yymm","202201","unit","TDM","comm","BD"),0),)</f>
        <v>0</v>
      </c>
      <c r="R79" s="24"/>
      <c r="S79" s="24"/>
      <c r="T79" s="24"/>
      <c r="U79" s="9"/>
      <c r="V79" s="15"/>
      <c r="W79" s="15"/>
      <c r="X79" s="15"/>
      <c r="Y79" s="15"/>
      <c r="Z79" s="15"/>
      <c r="AA79" s="29"/>
      <c r="AB79" s="10"/>
      <c r="AC79" s="24"/>
      <c r="AD79" s="24"/>
      <c r="AE79" s="9"/>
      <c r="AF79" s="10"/>
      <c r="AG79" s="10"/>
      <c r="AH79" s="10"/>
      <c r="AI79" s="10"/>
      <c r="AJ79" s="10"/>
      <c r="AK79" s="23"/>
      <c r="AL79" s="24"/>
      <c r="AM79" s="24"/>
      <c r="AN79" s="24"/>
      <c r="AO79" s="24"/>
      <c r="AP79" s="24"/>
      <c r="AQ79" s="24"/>
      <c r="AR79" s="24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</row>
    <row r="80" spans="1:59" ht="21" x14ac:dyDescent="0.45">
      <c r="A80" s="448">
        <f t="shared" si="72"/>
        <v>44593</v>
      </c>
      <c r="B80" s="464"/>
      <c r="C80" s="468"/>
      <c r="D80" s="468"/>
      <c r="E80" s="468"/>
      <c r="F80" s="471"/>
      <c r="G80" s="470">
        <f>IF(B80&gt;0,IFERROR(GETPIVOTDATA("act_qty",RECPT!$A$83,"yymm","202202","unit","KTR","comm","LS"),0),)</f>
        <v>0</v>
      </c>
      <c r="H80" s="453"/>
      <c r="I80" s="453"/>
      <c r="J80" s="454"/>
      <c r="K80" s="448">
        <f t="shared" si="71"/>
        <v>44593</v>
      </c>
      <c r="L80" s="464"/>
      <c r="M80" s="468"/>
      <c r="N80" s="468"/>
      <c r="O80" s="468"/>
      <c r="P80" s="471"/>
      <c r="Q80" s="470">
        <f>IF(L80&gt;0,IFERROR(GETPIVOTDATA("act_qty",RECPT!$A$83,"yymm","202202","unit","TDM","comm","BD"),0),)</f>
        <v>0</v>
      </c>
      <c r="R80" s="24"/>
      <c r="S80" s="24"/>
      <c r="T80" s="24"/>
      <c r="U80" s="9"/>
      <c r="V80" s="15"/>
      <c r="W80" s="15"/>
      <c r="X80" s="15"/>
      <c r="Y80" s="15"/>
      <c r="Z80" s="15"/>
      <c r="AA80" s="29"/>
      <c r="AB80" s="10"/>
      <c r="AC80" s="24"/>
      <c r="AD80" s="24"/>
      <c r="AE80" s="9"/>
      <c r="AF80" s="10"/>
      <c r="AG80" s="10"/>
      <c r="AH80" s="10"/>
      <c r="AI80" s="10"/>
      <c r="AJ80" s="10"/>
      <c r="AK80" s="23"/>
      <c r="AL80" s="24"/>
      <c r="AM80" s="24"/>
      <c r="AN80" s="24"/>
      <c r="AO80" s="24"/>
      <c r="AP80" s="24"/>
      <c r="AQ80" s="24"/>
      <c r="AR80" s="24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</row>
    <row r="81" spans="1:59" ht="21.5" thickBot="1" x14ac:dyDescent="0.5">
      <c r="A81" s="456">
        <f t="shared" si="72"/>
        <v>44621</v>
      </c>
      <c r="B81" s="464"/>
      <c r="C81" s="472"/>
      <c r="D81" s="472"/>
      <c r="E81" s="472"/>
      <c r="F81" s="473"/>
      <c r="G81" s="474">
        <f>IF(B81&gt;0,IFERROR(GETPIVOTDATA("act_qty",RECPT!$A$83,"yymm","202203","unit","KTR","comm","LS"),0),)</f>
        <v>0</v>
      </c>
      <c r="H81" s="453"/>
      <c r="I81" s="453"/>
      <c r="J81" s="454"/>
      <c r="K81" s="456">
        <f t="shared" si="71"/>
        <v>44621</v>
      </c>
      <c r="L81" s="464"/>
      <c r="M81" s="472"/>
      <c r="N81" s="472"/>
      <c r="O81" s="472"/>
      <c r="P81" s="473"/>
      <c r="Q81" s="474">
        <f>IF(L81&gt;0,IFERROR(GETPIVOTDATA("act_qty",RECPT!$A$83,"yymm","202203","unit","TDM","comm","BD"),0),)</f>
        <v>0</v>
      </c>
      <c r="R81" s="24"/>
      <c r="S81" s="24"/>
      <c r="T81" s="24"/>
      <c r="U81" s="9"/>
      <c r="V81" s="15"/>
      <c r="W81" s="15"/>
      <c r="X81" s="15"/>
      <c r="Y81" s="15"/>
      <c r="Z81" s="15"/>
      <c r="AA81" s="29"/>
      <c r="AB81" s="10"/>
      <c r="AC81" s="24"/>
      <c r="AD81" s="24"/>
      <c r="AE81" s="9"/>
      <c r="AF81" s="10"/>
      <c r="AG81" s="10"/>
      <c r="AH81" s="10"/>
      <c r="AI81" s="10"/>
      <c r="AJ81" s="10"/>
      <c r="AK81" s="23"/>
      <c r="AL81" s="24"/>
      <c r="AM81" s="24"/>
      <c r="AN81" s="24"/>
      <c r="AO81" s="24"/>
      <c r="AP81" s="24"/>
      <c r="AQ81" s="24"/>
      <c r="AR81" s="24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1:59" ht="21" thickBot="1" x14ac:dyDescent="0.5">
      <c r="A82" s="461" t="str">
        <f t="shared" si="72"/>
        <v>CUMML</v>
      </c>
      <c r="B82" s="449">
        <v>49.01</v>
      </c>
      <c r="C82" s="450">
        <v>2.5</v>
      </c>
      <c r="D82" s="450">
        <v>4.16</v>
      </c>
      <c r="E82" s="450">
        <v>8.9</v>
      </c>
      <c r="F82" s="451">
        <v>16.170000000000002</v>
      </c>
      <c r="G82" s="475">
        <f>SUM(G70:G81)</f>
        <v>20272</v>
      </c>
      <c r="H82" s="453"/>
      <c r="I82" s="453"/>
      <c r="J82" s="454"/>
      <c r="K82" s="461" t="str">
        <f t="shared" si="71"/>
        <v>CUMML</v>
      </c>
      <c r="L82" s="449"/>
      <c r="M82" s="450"/>
      <c r="N82" s="450"/>
      <c r="O82" s="450"/>
      <c r="P82" s="451"/>
      <c r="Q82" s="475">
        <f>SUM(Q70:Q81)</f>
        <v>0</v>
      </c>
      <c r="R82" s="24"/>
      <c r="S82" s="24"/>
      <c r="T82" s="24"/>
      <c r="U82" s="65"/>
      <c r="V82" s="10"/>
      <c r="W82" s="10"/>
      <c r="X82" s="10"/>
      <c r="Y82" s="10"/>
      <c r="Z82" s="10"/>
      <c r="AA82" s="24"/>
      <c r="AB82" s="23"/>
      <c r="AC82" s="24"/>
      <c r="AD82" s="24"/>
      <c r="AE82" s="9"/>
      <c r="AF82" s="10"/>
      <c r="AG82" s="10"/>
      <c r="AH82" s="10"/>
      <c r="AI82" s="10"/>
      <c r="AJ82" s="10"/>
      <c r="AK82" s="23"/>
      <c r="AL82" s="24"/>
      <c r="AM82" s="24"/>
      <c r="AN82" s="24"/>
      <c r="AO82" s="24"/>
      <c r="AP82" s="24"/>
      <c r="AQ82" s="24"/>
      <c r="AR82" s="24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</row>
    <row r="83" spans="1:59" ht="18" customHeight="1" x14ac:dyDescent="0.35">
      <c r="A83" s="24"/>
      <c r="B83" s="24"/>
      <c r="C83" s="24"/>
      <c r="D83" s="24"/>
      <c r="E83" s="24"/>
      <c r="F83" s="24"/>
      <c r="G83" s="37"/>
      <c r="H83" s="37"/>
      <c r="I83" s="37"/>
      <c r="J83" s="24"/>
      <c r="K83" s="24"/>
      <c r="L83" s="24"/>
      <c r="M83" s="24"/>
      <c r="N83" s="24"/>
      <c r="O83" s="24"/>
      <c r="P83" s="24"/>
      <c r="Q83" s="11"/>
      <c r="R83" s="24"/>
      <c r="S83" s="24"/>
      <c r="T83" s="24"/>
      <c r="U83" s="24"/>
      <c r="V83" s="24"/>
      <c r="W83" s="24"/>
      <c r="X83" s="24"/>
      <c r="Y83" s="24"/>
      <c r="Z83" s="24"/>
      <c r="AA83" s="29"/>
      <c r="AB83" s="24"/>
      <c r="AC83" s="5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</row>
    <row r="84" spans="1:59" ht="19.5" x14ac:dyDescent="0.35">
      <c r="A84" s="9"/>
      <c r="B84" s="10"/>
      <c r="C84" s="10"/>
      <c r="D84" s="10"/>
      <c r="E84" s="10"/>
      <c r="F84" s="10"/>
      <c r="G84" s="24"/>
      <c r="H84" s="24"/>
      <c r="I84" s="37"/>
      <c r="J84" s="24"/>
      <c r="K84" s="9"/>
      <c r="L84" s="10"/>
      <c r="M84" s="10"/>
      <c r="N84" s="10"/>
      <c r="O84" s="10"/>
      <c r="P84" s="10"/>
      <c r="Q84" s="11"/>
      <c r="R84" s="24"/>
      <c r="S84" s="24"/>
      <c r="T84" s="24"/>
      <c r="U84" s="9"/>
      <c r="V84" s="10"/>
      <c r="W84" s="10"/>
      <c r="X84" s="10"/>
      <c r="Y84" s="10"/>
      <c r="Z84" s="10"/>
      <c r="AA84" s="29"/>
      <c r="AB84" s="24"/>
      <c r="AC84" s="5"/>
      <c r="AD84" s="24"/>
      <c r="AE84" s="9"/>
      <c r="AF84" s="10"/>
      <c r="AG84" s="10"/>
      <c r="AH84" s="10"/>
      <c r="AI84" s="66"/>
      <c r="AJ84" s="66"/>
      <c r="AK84" s="24"/>
      <c r="AL84" s="24"/>
      <c r="AM84" s="24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1:59" ht="21.75" customHeight="1" x14ac:dyDescent="0.35">
      <c r="A85" s="67"/>
      <c r="B85" s="68"/>
      <c r="C85" s="68"/>
      <c r="D85" s="68"/>
      <c r="E85" s="68"/>
      <c r="F85" s="68"/>
      <c r="G85" s="24"/>
      <c r="H85" s="24"/>
      <c r="I85" s="37"/>
      <c r="J85" s="24"/>
      <c r="K85" s="67"/>
      <c r="L85" s="68"/>
      <c r="M85" s="68"/>
      <c r="N85" s="68"/>
      <c r="O85" s="68"/>
      <c r="P85" s="68"/>
      <c r="Q85" s="11"/>
      <c r="R85" s="24"/>
      <c r="S85" s="24"/>
      <c r="T85" s="24"/>
      <c r="U85" s="67"/>
      <c r="V85" s="68"/>
      <c r="W85" s="68"/>
      <c r="X85" s="68"/>
      <c r="Y85" s="68"/>
      <c r="Z85" s="68"/>
      <c r="AA85" s="29"/>
      <c r="AB85" s="24"/>
      <c r="AC85" s="5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</row>
    <row r="86" spans="1:59" ht="17.5" x14ac:dyDescent="0.35">
      <c r="A86" s="24"/>
      <c r="B86" s="24"/>
      <c r="C86" s="24"/>
      <c r="D86" s="24"/>
      <c r="E86" s="24"/>
      <c r="F86" s="24"/>
      <c r="G86" s="24"/>
      <c r="H86" s="24"/>
      <c r="I86" s="37"/>
      <c r="J86" s="24"/>
      <c r="K86" s="24"/>
      <c r="L86" s="24"/>
      <c r="M86" s="24"/>
      <c r="N86" s="24"/>
      <c r="O86" s="24"/>
      <c r="P86" s="24"/>
      <c r="Q86" s="11"/>
      <c r="R86" s="24"/>
      <c r="S86" s="24"/>
      <c r="T86" s="24"/>
      <c r="U86" s="24"/>
      <c r="V86" s="24"/>
      <c r="W86" s="24"/>
      <c r="X86" s="24"/>
      <c r="Y86" s="24"/>
      <c r="Z86" s="24"/>
      <c r="AA86" s="29"/>
      <c r="AB86" s="24"/>
      <c r="AC86" s="5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</row>
    <row r="87" spans="1:59" ht="17.5" x14ac:dyDescent="0.35">
      <c r="A87" s="24"/>
      <c r="B87" s="24"/>
      <c r="C87" s="24"/>
      <c r="D87" s="24"/>
      <c r="E87" s="24"/>
      <c r="F87" s="24"/>
      <c r="G87" s="24"/>
      <c r="H87" s="24"/>
      <c r="I87" s="37"/>
      <c r="J87" s="24"/>
      <c r="K87" s="24"/>
      <c r="L87" s="24"/>
      <c r="M87" s="24"/>
      <c r="N87" s="24"/>
      <c r="O87" s="24"/>
      <c r="P87" s="24"/>
      <c r="Q87" s="11"/>
      <c r="R87" s="24"/>
      <c r="S87" s="24"/>
      <c r="T87" s="24"/>
      <c r="U87" s="24"/>
      <c r="V87" s="24"/>
      <c r="W87" s="24"/>
      <c r="X87" s="24"/>
      <c r="Y87" s="24"/>
      <c r="Z87" s="24"/>
      <c r="AA87" s="29"/>
      <c r="AB87" s="24"/>
      <c r="AC87" s="5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</row>
    <row r="88" spans="1:59" ht="19.5" x14ac:dyDescent="0.35">
      <c r="A88" s="595"/>
      <c r="B88" s="595"/>
      <c r="C88" s="595"/>
      <c r="D88" s="595"/>
      <c r="E88" s="595"/>
      <c r="F88" s="595"/>
      <c r="G88" s="24"/>
      <c r="H88" s="14"/>
      <c r="I88" s="14"/>
      <c r="J88" s="22"/>
      <c r="K88" s="595"/>
      <c r="L88" s="595"/>
      <c r="M88" s="595"/>
      <c r="N88" s="595"/>
      <c r="O88" s="595"/>
      <c r="P88" s="595"/>
      <c r="Q88" s="11"/>
      <c r="R88" s="24"/>
      <c r="S88" s="24"/>
      <c r="T88" s="24"/>
      <c r="U88" s="24"/>
      <c r="V88" s="24"/>
      <c r="W88" s="24"/>
      <c r="X88" s="24"/>
      <c r="Y88" s="24"/>
      <c r="Z88" s="24"/>
      <c r="AA88" s="29"/>
      <c r="AB88" s="24"/>
      <c r="AC88" s="5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</row>
    <row r="89" spans="1:59" ht="19.5" x14ac:dyDescent="0.35">
      <c r="A89" s="22"/>
      <c r="B89" s="30"/>
      <c r="C89" s="30"/>
      <c r="D89" s="22"/>
      <c r="E89" s="25"/>
      <c r="F89" s="11"/>
      <c r="G89" s="24"/>
      <c r="H89" s="24"/>
      <c r="I89" s="37"/>
      <c r="J89" s="24"/>
      <c r="K89" s="22"/>
      <c r="L89" s="30"/>
      <c r="M89" s="30"/>
      <c r="N89" s="22"/>
      <c r="O89" s="25"/>
      <c r="P89" s="11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5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</row>
    <row r="90" spans="1:59" ht="21" customHeight="1" x14ac:dyDescent="0.35">
      <c r="A90" s="11"/>
      <c r="B90" s="11"/>
      <c r="C90" s="11"/>
      <c r="D90" s="11"/>
      <c r="E90" s="11"/>
      <c r="F90" s="11"/>
      <c r="G90" s="24"/>
      <c r="H90" s="24"/>
      <c r="I90" s="37"/>
      <c r="J90" s="24"/>
      <c r="K90" s="594"/>
      <c r="L90" s="594"/>
      <c r="M90" s="594"/>
      <c r="N90" s="594"/>
      <c r="O90" s="594"/>
      <c r="P90" s="59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5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</row>
    <row r="91" spans="1:59" ht="20.5" x14ac:dyDescent="0.4">
      <c r="A91" s="38"/>
      <c r="B91" s="39"/>
      <c r="C91" s="39"/>
      <c r="D91" s="39"/>
      <c r="E91" s="39"/>
      <c r="F91" s="39"/>
      <c r="G91" s="24"/>
      <c r="H91" s="24"/>
      <c r="I91" s="37"/>
      <c r="J91" s="24"/>
      <c r="K91" s="38"/>
      <c r="L91" s="39"/>
      <c r="M91" s="39"/>
      <c r="N91" s="39"/>
      <c r="O91" s="39"/>
      <c r="P91" s="39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5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</row>
    <row r="92" spans="1:59" ht="20.5" x14ac:dyDescent="0.4">
      <c r="A92" s="69"/>
      <c r="B92" s="70"/>
      <c r="C92" s="70"/>
      <c r="D92" s="70"/>
      <c r="E92" s="70"/>
      <c r="F92" s="70"/>
      <c r="G92" s="24"/>
      <c r="H92" s="24"/>
      <c r="I92" s="37"/>
      <c r="J92" s="24"/>
      <c r="K92" s="69"/>
      <c r="L92" s="71"/>
      <c r="M92" s="71"/>
      <c r="N92" s="71"/>
      <c r="O92" s="71"/>
      <c r="P92" s="71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5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</row>
    <row r="93" spans="1:59" ht="19.5" x14ac:dyDescent="0.35">
      <c r="A93" s="48"/>
      <c r="B93" s="72"/>
      <c r="C93" s="72"/>
      <c r="D93" s="72"/>
      <c r="E93" s="72"/>
      <c r="F93" s="72"/>
      <c r="G93" s="24"/>
      <c r="H93" s="24"/>
      <c r="I93" s="37"/>
      <c r="J93" s="24"/>
      <c r="K93" s="48"/>
      <c r="L93" s="72"/>
      <c r="M93" s="72"/>
      <c r="N93" s="72"/>
      <c r="O93" s="72"/>
      <c r="P93" s="72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5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</row>
    <row r="94" spans="1:59" ht="20.5" x14ac:dyDescent="0.4">
      <c r="A94" s="56"/>
      <c r="B94" s="15"/>
      <c r="C94" s="15"/>
      <c r="D94" s="15"/>
      <c r="E94" s="15"/>
      <c r="F94" s="15"/>
      <c r="G94" s="24"/>
      <c r="H94" s="24"/>
      <c r="I94" s="37"/>
      <c r="J94" s="24"/>
      <c r="K94" s="56"/>
      <c r="L94" s="15"/>
      <c r="M94" s="15"/>
      <c r="N94" s="15"/>
      <c r="O94" s="15"/>
      <c r="P94" s="15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5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</row>
    <row r="95" spans="1:59" ht="20.5" x14ac:dyDescent="0.4">
      <c r="A95" s="56"/>
      <c r="B95" s="15"/>
      <c r="C95" s="15"/>
      <c r="D95" s="15"/>
      <c r="E95" s="15"/>
      <c r="F95" s="15"/>
      <c r="G95" s="24"/>
      <c r="H95" s="24"/>
      <c r="I95" s="37"/>
      <c r="J95" s="24"/>
      <c r="K95" s="56"/>
      <c r="L95" s="15"/>
      <c r="M95" s="15"/>
      <c r="N95" s="15"/>
      <c r="O95" s="15"/>
      <c r="P95" s="15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5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</row>
    <row r="96" spans="1:59" ht="20.5" x14ac:dyDescent="0.4">
      <c r="A96" s="56"/>
      <c r="B96" s="15"/>
      <c r="C96" s="15"/>
      <c r="D96" s="15"/>
      <c r="E96" s="15"/>
      <c r="F96" s="15"/>
      <c r="G96" s="24"/>
      <c r="H96" s="24"/>
      <c r="I96" s="37"/>
      <c r="J96" s="24"/>
      <c r="K96" s="56"/>
      <c r="L96" s="15"/>
      <c r="M96" s="15"/>
      <c r="N96" s="15"/>
      <c r="O96" s="15"/>
      <c r="P96" s="15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5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</row>
    <row r="97" spans="1:59" ht="20.5" x14ac:dyDescent="0.4">
      <c r="A97" s="56"/>
      <c r="B97" s="15"/>
      <c r="C97" s="15"/>
      <c r="D97" s="15"/>
      <c r="E97" s="15"/>
      <c r="F97" s="15"/>
      <c r="G97" s="24"/>
      <c r="H97" s="24"/>
      <c r="I97" s="37"/>
      <c r="J97" s="24"/>
      <c r="K97" s="56"/>
      <c r="L97" s="15"/>
      <c r="M97" s="15"/>
      <c r="N97" s="15"/>
      <c r="O97" s="15"/>
      <c r="P97" s="15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5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</row>
    <row r="98" spans="1:59" ht="20.5" x14ac:dyDescent="0.4">
      <c r="A98" s="56"/>
      <c r="B98" s="15"/>
      <c r="C98" s="15"/>
      <c r="D98" s="15"/>
      <c r="E98" s="15"/>
      <c r="F98" s="15"/>
      <c r="G98" s="24"/>
      <c r="H98" s="24"/>
      <c r="I98" s="37"/>
      <c r="J98" s="24"/>
      <c r="K98" s="56"/>
      <c r="L98" s="15"/>
      <c r="M98" s="15"/>
      <c r="N98" s="15"/>
      <c r="O98" s="15"/>
      <c r="P98" s="15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5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</row>
    <row r="99" spans="1:59" ht="20.5" x14ac:dyDescent="0.4">
      <c r="A99" s="56"/>
      <c r="B99" s="15"/>
      <c r="C99" s="15"/>
      <c r="D99" s="15"/>
      <c r="E99" s="15"/>
      <c r="F99" s="15"/>
      <c r="G99" s="24"/>
      <c r="H99" s="24"/>
      <c r="I99" s="37"/>
      <c r="J99" s="24"/>
      <c r="K99" s="56"/>
      <c r="L99" s="15"/>
      <c r="M99" s="15"/>
      <c r="N99" s="15"/>
      <c r="O99" s="15"/>
      <c r="P99" s="15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5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</row>
    <row r="100" spans="1:59" ht="18.75" customHeight="1" x14ac:dyDescent="0.4">
      <c r="A100" s="56"/>
      <c r="B100" s="15"/>
      <c r="C100" s="15"/>
      <c r="D100" s="15"/>
      <c r="E100" s="15"/>
      <c r="F100" s="15"/>
      <c r="G100" s="24"/>
      <c r="H100" s="24"/>
      <c r="I100" s="37"/>
      <c r="J100" s="24"/>
      <c r="K100" s="56"/>
      <c r="L100" s="15"/>
      <c r="M100" s="15"/>
      <c r="N100" s="15"/>
      <c r="O100" s="15"/>
      <c r="P100" s="15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5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</row>
    <row r="101" spans="1:59" ht="20.5" x14ac:dyDescent="0.4">
      <c r="A101" s="56"/>
      <c r="B101" s="15"/>
      <c r="C101" s="15"/>
      <c r="D101" s="15"/>
      <c r="E101" s="15"/>
      <c r="F101" s="15"/>
      <c r="G101" s="24"/>
      <c r="H101" s="24"/>
      <c r="I101" s="37"/>
      <c r="J101" s="24"/>
      <c r="K101" s="56"/>
      <c r="L101" s="15"/>
      <c r="M101" s="15"/>
      <c r="N101" s="15"/>
      <c r="O101" s="15"/>
      <c r="P101" s="15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5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</row>
    <row r="102" spans="1:59" ht="20.5" x14ac:dyDescent="0.4">
      <c r="A102" s="56"/>
      <c r="B102" s="15"/>
      <c r="C102" s="15"/>
      <c r="D102" s="15"/>
      <c r="E102" s="15"/>
      <c r="F102" s="15"/>
      <c r="G102" s="24"/>
      <c r="H102" s="24"/>
      <c r="I102" s="37"/>
      <c r="J102" s="24"/>
      <c r="K102" s="56"/>
      <c r="L102" s="15"/>
      <c r="M102" s="15"/>
      <c r="N102" s="15"/>
      <c r="O102" s="15"/>
      <c r="P102" s="15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5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</row>
    <row r="103" spans="1:59" ht="20.5" x14ac:dyDescent="0.4">
      <c r="A103" s="56"/>
      <c r="B103" s="15"/>
      <c r="C103" s="15"/>
      <c r="D103" s="15"/>
      <c r="E103" s="15"/>
      <c r="F103" s="15"/>
      <c r="G103" s="24"/>
      <c r="H103" s="24"/>
      <c r="I103" s="37"/>
      <c r="J103" s="24"/>
      <c r="K103" s="56"/>
      <c r="L103" s="15"/>
      <c r="M103" s="15"/>
      <c r="N103" s="15"/>
      <c r="O103" s="15"/>
      <c r="P103" s="15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5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</row>
    <row r="104" spans="1:59" ht="20.5" x14ac:dyDescent="0.4">
      <c r="A104" s="56"/>
      <c r="B104" s="15"/>
      <c r="C104" s="15"/>
      <c r="D104" s="15"/>
      <c r="E104" s="15"/>
      <c r="F104" s="15"/>
      <c r="G104" s="24"/>
      <c r="H104" s="24"/>
      <c r="I104" s="37"/>
      <c r="J104" s="24"/>
      <c r="K104" s="56"/>
      <c r="L104" s="15"/>
      <c r="M104" s="15"/>
      <c r="N104" s="15"/>
      <c r="O104" s="15"/>
      <c r="P104" s="15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5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</row>
    <row r="105" spans="1:59" ht="20.5" x14ac:dyDescent="0.4">
      <c r="A105" s="56"/>
      <c r="B105" s="15"/>
      <c r="C105" s="15"/>
      <c r="D105" s="15"/>
      <c r="E105" s="15"/>
      <c r="F105" s="15"/>
      <c r="G105" s="24"/>
      <c r="H105" s="24"/>
      <c r="I105" s="37"/>
      <c r="J105" s="24"/>
      <c r="K105" s="56"/>
      <c r="L105" s="15"/>
      <c r="M105" s="15"/>
      <c r="N105" s="15"/>
      <c r="O105" s="15"/>
      <c r="P105" s="15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5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</row>
    <row r="106" spans="1:59" ht="19.5" x14ac:dyDescent="0.35">
      <c r="A106" s="65"/>
      <c r="B106" s="10"/>
      <c r="C106" s="10"/>
      <c r="D106" s="10"/>
      <c r="E106" s="10"/>
      <c r="F106" s="10"/>
      <c r="G106" s="24"/>
      <c r="H106" s="24"/>
      <c r="I106" s="37"/>
      <c r="J106" s="24"/>
      <c r="K106" s="65"/>
      <c r="L106" s="10"/>
      <c r="M106" s="10"/>
      <c r="N106" s="10"/>
      <c r="O106" s="10"/>
      <c r="P106" s="10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5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</row>
    <row r="107" spans="1:59" ht="12.5" x14ac:dyDescent="0.25">
      <c r="A107" s="24"/>
      <c r="B107" s="24"/>
      <c r="C107" s="24"/>
      <c r="D107" s="24"/>
      <c r="E107" s="24"/>
      <c r="F107" s="24"/>
      <c r="G107" s="24"/>
      <c r="H107" s="24"/>
      <c r="I107" s="37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5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</row>
    <row r="108" spans="1:59" ht="19.5" x14ac:dyDescent="0.35">
      <c r="A108" s="9"/>
      <c r="B108" s="10"/>
      <c r="C108" s="10"/>
      <c r="D108" s="10"/>
      <c r="E108" s="10"/>
      <c r="F108" s="10"/>
      <c r="G108" s="24"/>
      <c r="H108" s="24"/>
      <c r="I108" s="37"/>
      <c r="J108" s="24"/>
      <c r="K108" s="9"/>
      <c r="L108" s="10"/>
      <c r="M108" s="10"/>
      <c r="N108" s="10"/>
      <c r="O108" s="10"/>
      <c r="P108" s="10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5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</row>
    <row r="109" spans="1:59" ht="19.5" x14ac:dyDescent="0.35">
      <c r="A109" s="67"/>
      <c r="B109" s="68"/>
      <c r="C109" s="68"/>
      <c r="D109" s="68"/>
      <c r="E109" s="68"/>
      <c r="F109" s="68"/>
      <c r="G109" s="24"/>
      <c r="H109" s="24"/>
      <c r="I109" s="37"/>
      <c r="J109" s="24"/>
      <c r="K109" s="67"/>
      <c r="L109" s="68"/>
      <c r="M109" s="68"/>
      <c r="N109" s="68"/>
      <c r="O109" s="68"/>
      <c r="P109" s="68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5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</row>
    <row r="110" spans="1:59" ht="12.5" x14ac:dyDescent="0.25">
      <c r="A110" s="24"/>
      <c r="B110" s="24"/>
      <c r="C110" s="24"/>
      <c r="D110" s="24"/>
      <c r="E110" s="24"/>
      <c r="F110" s="24"/>
      <c r="G110" s="24"/>
      <c r="H110" s="24"/>
      <c r="I110" s="37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5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</row>
    <row r="111" spans="1:59" ht="12.5" x14ac:dyDescent="0.25">
      <c r="A111" s="24"/>
      <c r="B111" s="24"/>
      <c r="C111" s="24"/>
      <c r="D111" s="24"/>
      <c r="E111" s="24"/>
      <c r="F111" s="24"/>
      <c r="G111" s="24"/>
      <c r="H111" s="24"/>
      <c r="I111" s="37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5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</row>
    <row r="112" spans="1:59" ht="12.5" x14ac:dyDescent="0.25">
      <c r="A112" s="24"/>
      <c r="B112" s="24"/>
      <c r="C112" s="24"/>
      <c r="D112" s="24"/>
      <c r="E112" s="24"/>
      <c r="F112" s="24"/>
      <c r="G112" s="24"/>
      <c r="H112" s="24"/>
      <c r="I112" s="37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5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</row>
    <row r="113" spans="1:59" ht="12.5" x14ac:dyDescent="0.25">
      <c r="A113" s="24"/>
      <c r="B113" s="24"/>
      <c r="C113" s="24"/>
      <c r="D113" s="24"/>
      <c r="E113" s="24"/>
      <c r="F113" s="24"/>
      <c r="G113" s="24"/>
      <c r="H113" s="24"/>
      <c r="I113" s="37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5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</row>
    <row r="114" spans="1:59" ht="12.5" x14ac:dyDescent="0.25">
      <c r="A114" s="24"/>
      <c r="B114" s="24"/>
      <c r="C114" s="24"/>
      <c r="D114" s="24"/>
      <c r="E114" s="24"/>
      <c r="F114" s="24"/>
      <c r="G114" s="24"/>
      <c r="H114" s="24"/>
      <c r="I114" s="37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5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</row>
    <row r="115" spans="1:59" ht="12.5" x14ac:dyDescent="0.25">
      <c r="A115" s="24"/>
      <c r="B115" s="24"/>
      <c r="C115" s="24"/>
      <c r="D115" s="24"/>
      <c r="E115" s="24"/>
      <c r="F115" s="24"/>
      <c r="G115" s="24"/>
      <c r="H115" s="24"/>
      <c r="I115" s="37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5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</row>
    <row r="116" spans="1:59" ht="12.5" x14ac:dyDescent="0.25">
      <c r="A116" s="24"/>
      <c r="B116" s="24"/>
      <c r="C116" s="24"/>
      <c r="D116" s="24"/>
      <c r="E116" s="24"/>
      <c r="F116" s="24"/>
      <c r="G116" s="24"/>
      <c r="H116" s="24"/>
      <c r="I116" s="37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5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</row>
    <row r="117" spans="1:59" ht="16" x14ac:dyDescent="0.35">
      <c r="A117" s="24"/>
      <c r="B117" s="24"/>
      <c r="C117" s="24"/>
      <c r="D117" s="24"/>
      <c r="E117" s="24"/>
      <c r="F117" s="24"/>
      <c r="G117" s="24"/>
      <c r="H117" s="24"/>
      <c r="I117" s="37"/>
      <c r="J117" s="24"/>
      <c r="K117" s="73"/>
      <c r="L117" s="73"/>
      <c r="M117" s="73"/>
      <c r="N117" s="73"/>
      <c r="O117" s="73"/>
      <c r="P117" s="7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5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</row>
    <row r="118" spans="1:59" ht="15.5" x14ac:dyDescent="0.35">
      <c r="A118" s="18"/>
      <c r="B118" s="18"/>
      <c r="C118" s="18"/>
      <c r="D118" s="18"/>
      <c r="E118" s="18"/>
      <c r="F118" s="18"/>
      <c r="G118" s="18"/>
      <c r="H118" s="18"/>
      <c r="I118" s="75"/>
      <c r="J118" s="18"/>
      <c r="K118" s="76"/>
      <c r="L118" s="76"/>
      <c r="M118" s="76"/>
      <c r="N118" s="76"/>
      <c r="O118" s="76"/>
      <c r="P118" s="76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</row>
    <row r="119" spans="1:59" ht="15.5" x14ac:dyDescent="0.35">
      <c r="A119" s="18"/>
      <c r="B119" s="18"/>
      <c r="C119" s="18"/>
      <c r="D119" s="18"/>
      <c r="E119" s="18"/>
      <c r="F119" s="18"/>
      <c r="G119" s="18"/>
      <c r="H119" s="18"/>
      <c r="I119" s="75"/>
      <c r="J119" s="18"/>
      <c r="K119" s="76"/>
      <c r="L119" s="76"/>
      <c r="M119" s="76"/>
      <c r="N119" s="76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</row>
    <row r="120" spans="1:59" ht="15.5" x14ac:dyDescent="0.35">
      <c r="A120" s="18"/>
      <c r="B120" s="18"/>
      <c r="C120" s="18"/>
      <c r="D120" s="18"/>
      <c r="E120" s="18"/>
      <c r="F120" s="18"/>
      <c r="G120" s="18"/>
      <c r="H120" s="18"/>
      <c r="I120" s="75"/>
      <c r="J120" s="18"/>
      <c r="K120" s="77"/>
      <c r="L120" s="78"/>
      <c r="M120" s="79"/>
      <c r="N120" s="80"/>
      <c r="O120" s="79"/>
      <c r="P120" s="79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</row>
    <row r="121" spans="1:59" ht="15.5" x14ac:dyDescent="0.35">
      <c r="A121" s="18"/>
      <c r="B121" s="18"/>
      <c r="C121" s="18"/>
      <c r="D121" s="18"/>
      <c r="E121" s="18"/>
      <c r="F121" s="18"/>
      <c r="G121" s="18"/>
      <c r="H121" s="18"/>
      <c r="I121" s="75"/>
      <c r="J121" s="18"/>
      <c r="K121" s="77"/>
      <c r="L121" s="78"/>
      <c r="M121" s="79"/>
      <c r="N121" s="80"/>
      <c r="O121" s="79"/>
      <c r="P121" s="79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</row>
    <row r="122" spans="1:59" ht="15.5" x14ac:dyDescent="0.35">
      <c r="A122" s="18"/>
      <c r="B122" s="18"/>
      <c r="C122" s="18"/>
      <c r="D122" s="18"/>
      <c r="E122" s="18"/>
      <c r="F122" s="18"/>
      <c r="G122" s="18"/>
      <c r="H122" s="18"/>
      <c r="I122" s="75"/>
      <c r="J122" s="18"/>
      <c r="K122" s="77"/>
      <c r="L122" s="78"/>
      <c r="M122" s="79"/>
      <c r="N122" s="80"/>
      <c r="O122" s="79"/>
      <c r="P122" s="79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</row>
    <row r="123" spans="1:59" ht="15.5" x14ac:dyDescent="0.35">
      <c r="A123" s="18"/>
      <c r="B123" s="18"/>
      <c r="C123" s="18"/>
      <c r="D123" s="18"/>
      <c r="E123" s="18"/>
      <c r="F123" s="18"/>
      <c r="G123" s="18"/>
      <c r="H123" s="18"/>
      <c r="I123" s="75"/>
      <c r="J123" s="18"/>
      <c r="K123" s="77"/>
      <c r="L123" s="78"/>
      <c r="M123" s="79"/>
      <c r="N123" s="80"/>
      <c r="O123" s="79"/>
      <c r="P123" s="79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</row>
    <row r="124" spans="1:59" ht="15.5" x14ac:dyDescent="0.35">
      <c r="A124" s="18"/>
      <c r="B124" s="18"/>
      <c r="C124" s="18"/>
      <c r="D124" s="18"/>
      <c r="E124" s="18"/>
      <c r="F124" s="18"/>
      <c r="G124" s="18"/>
      <c r="H124" s="18"/>
      <c r="I124" s="75"/>
      <c r="J124" s="18"/>
      <c r="K124" s="77"/>
      <c r="L124" s="78"/>
      <c r="M124" s="79"/>
      <c r="N124" s="80"/>
      <c r="O124" s="79"/>
      <c r="P124" s="79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</row>
    <row r="125" spans="1:59" x14ac:dyDescent="0.3">
      <c r="A125" s="18"/>
      <c r="B125" s="18"/>
      <c r="C125" s="18"/>
      <c r="D125" s="18"/>
      <c r="E125" s="18"/>
      <c r="F125" s="18"/>
      <c r="G125" s="18"/>
      <c r="H125" s="18"/>
      <c r="I125" s="75"/>
      <c r="J125" s="18"/>
      <c r="K125" s="81"/>
      <c r="L125" s="82"/>
      <c r="M125" s="82"/>
      <c r="N125" s="82"/>
      <c r="O125" s="82"/>
      <c r="P125" s="82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</row>
    <row r="126" spans="1:59" x14ac:dyDescent="0.3">
      <c r="A126" s="18"/>
      <c r="B126" s="18"/>
      <c r="C126" s="18"/>
      <c r="D126" s="18"/>
      <c r="E126" s="18"/>
      <c r="F126" s="18"/>
      <c r="G126" s="18"/>
      <c r="H126" s="18"/>
      <c r="I126" s="75"/>
      <c r="J126" s="18"/>
      <c r="K126" s="81"/>
      <c r="L126" s="83"/>
      <c r="M126" s="83"/>
      <c r="N126" s="83"/>
      <c r="O126" s="83"/>
      <c r="P126" s="83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</row>
    <row r="127" spans="1:59" x14ac:dyDescent="0.3">
      <c r="A127" s="18"/>
      <c r="B127" s="18"/>
      <c r="C127" s="18"/>
      <c r="D127" s="18"/>
      <c r="E127" s="18"/>
      <c r="F127" s="18"/>
      <c r="G127" s="18"/>
      <c r="H127" s="18"/>
      <c r="I127" s="75"/>
      <c r="J127" s="18"/>
      <c r="K127" s="81"/>
      <c r="L127" s="84"/>
      <c r="M127" s="81"/>
      <c r="N127" s="81"/>
      <c r="O127" s="81"/>
      <c r="P127" s="81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</row>
    <row r="128" spans="1:59" x14ac:dyDescent="0.3">
      <c r="A128" s="18"/>
      <c r="B128" s="18"/>
      <c r="C128" s="18"/>
      <c r="D128" s="18"/>
      <c r="E128" s="18"/>
      <c r="F128" s="18"/>
      <c r="G128" s="18"/>
      <c r="H128" s="18"/>
      <c r="I128" s="75"/>
      <c r="J128" s="18"/>
      <c r="K128" s="81"/>
      <c r="L128" s="84"/>
      <c r="M128" s="81"/>
      <c r="N128" s="81"/>
      <c r="O128" s="81"/>
      <c r="P128" s="81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</row>
    <row r="129" spans="1:39" x14ac:dyDescent="0.3">
      <c r="A129" s="18"/>
      <c r="B129" s="18"/>
      <c r="C129" s="18"/>
      <c r="D129" s="18"/>
      <c r="E129" s="18"/>
      <c r="F129" s="18"/>
      <c r="G129" s="18"/>
      <c r="H129" s="18"/>
      <c r="I129" s="75"/>
      <c r="J129" s="18"/>
      <c r="K129" s="81"/>
      <c r="L129" s="83"/>
      <c r="M129" s="83"/>
      <c r="N129" s="83"/>
      <c r="O129" s="83"/>
      <c r="P129" s="83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</row>
    <row r="130" spans="1:39" x14ac:dyDescent="0.3">
      <c r="A130" s="18"/>
      <c r="B130" s="18"/>
      <c r="C130" s="18"/>
      <c r="D130" s="18"/>
      <c r="E130" s="18"/>
      <c r="F130" s="18"/>
      <c r="G130" s="18"/>
      <c r="H130" s="18"/>
      <c r="I130" s="75"/>
      <c r="J130" s="18"/>
      <c r="K130" s="18"/>
      <c r="L130" s="85"/>
      <c r="M130" s="85"/>
      <c r="N130" s="85"/>
      <c r="O130" s="85"/>
      <c r="P130" s="85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</row>
    <row r="131" spans="1:39" x14ac:dyDescent="0.3">
      <c r="A131" s="18"/>
      <c r="B131" s="18"/>
      <c r="C131" s="18"/>
      <c r="D131" s="18"/>
      <c r="E131" s="18"/>
      <c r="F131" s="18"/>
      <c r="G131" s="18"/>
      <c r="H131" s="18"/>
      <c r="I131" s="75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</row>
    <row r="132" spans="1:39" x14ac:dyDescent="0.3">
      <c r="A132" s="18"/>
      <c r="B132" s="18"/>
      <c r="C132" s="18"/>
      <c r="D132" s="18"/>
      <c r="E132" s="18"/>
      <c r="F132" s="18"/>
      <c r="G132" s="18"/>
      <c r="H132" s="18"/>
      <c r="I132" s="75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</row>
    <row r="133" spans="1:39" x14ac:dyDescent="0.3">
      <c r="A133" s="18"/>
      <c r="B133" s="18"/>
      <c r="C133" s="18"/>
      <c r="D133" s="18"/>
      <c r="E133" s="18"/>
      <c r="F133" s="18"/>
      <c r="G133" s="18"/>
      <c r="H133" s="18"/>
      <c r="I133" s="75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</row>
    <row r="134" spans="1:39" x14ac:dyDescent="0.3">
      <c r="A134" s="18"/>
      <c r="B134" s="18"/>
      <c r="C134" s="18"/>
      <c r="D134" s="18"/>
      <c r="E134" s="18"/>
      <c r="F134" s="18"/>
      <c r="G134" s="18"/>
      <c r="H134" s="18"/>
      <c r="I134" s="75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</row>
    <row r="135" spans="1:39" x14ac:dyDescent="0.3">
      <c r="A135" s="18"/>
      <c r="B135" s="18"/>
      <c r="C135" s="18"/>
      <c r="D135" s="18"/>
      <c r="E135" s="18"/>
      <c r="F135" s="18"/>
      <c r="G135" s="18"/>
      <c r="H135" s="18"/>
      <c r="I135" s="75"/>
      <c r="J135" s="18"/>
      <c r="K135" s="81"/>
      <c r="L135" s="84"/>
      <c r="M135" s="81"/>
      <c r="N135" s="81"/>
      <c r="O135" s="81"/>
      <c r="P135" s="81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</row>
    <row r="136" spans="1:39" x14ac:dyDescent="0.3">
      <c r="A136" s="18"/>
      <c r="B136" s="18"/>
      <c r="C136" s="18"/>
      <c r="D136" s="18"/>
      <c r="E136" s="18"/>
      <c r="F136" s="18"/>
      <c r="G136" s="18"/>
      <c r="H136" s="18"/>
      <c r="I136" s="75"/>
      <c r="J136" s="18"/>
      <c r="K136" s="81"/>
      <c r="L136" s="84"/>
      <c r="M136" s="81"/>
      <c r="N136" s="81"/>
      <c r="O136" s="81"/>
      <c r="P136" s="81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</row>
    <row r="137" spans="1:39" x14ac:dyDescent="0.3">
      <c r="A137" s="18"/>
      <c r="B137" s="18"/>
      <c r="C137" s="18"/>
      <c r="D137" s="18"/>
      <c r="E137" s="18"/>
      <c r="F137" s="18"/>
      <c r="G137" s="18"/>
      <c r="H137" s="18"/>
      <c r="I137" s="75"/>
      <c r="J137" s="18"/>
      <c r="K137" s="81"/>
      <c r="L137" s="84"/>
      <c r="M137" s="81"/>
      <c r="N137" s="81"/>
      <c r="O137" s="81"/>
      <c r="P137" s="81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</row>
    <row r="138" spans="1:39" x14ac:dyDescent="0.3">
      <c r="A138" s="18"/>
      <c r="B138" s="18"/>
      <c r="C138" s="18"/>
      <c r="D138" s="18"/>
      <c r="E138" s="18"/>
      <c r="F138" s="18"/>
      <c r="G138" s="18"/>
      <c r="H138" s="18"/>
      <c r="I138" s="75"/>
      <c r="J138" s="18"/>
      <c r="K138" s="81"/>
      <c r="L138" s="84"/>
      <c r="M138" s="81"/>
      <c r="N138" s="81"/>
      <c r="O138" s="81"/>
      <c r="P138" s="81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</row>
    <row r="139" spans="1:39" x14ac:dyDescent="0.3">
      <c r="A139" s="18"/>
      <c r="B139" s="18"/>
      <c r="C139" s="18"/>
      <c r="D139" s="18"/>
      <c r="E139" s="18"/>
      <c r="F139" s="18"/>
      <c r="G139" s="18"/>
      <c r="H139" s="18"/>
      <c r="I139" s="75"/>
      <c r="J139" s="18"/>
      <c r="K139" s="81"/>
      <c r="L139" s="84"/>
      <c r="M139" s="81"/>
      <c r="N139" s="81"/>
      <c r="O139" s="81"/>
      <c r="P139" s="81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</row>
    <row r="140" spans="1:39" x14ac:dyDescent="0.3">
      <c r="A140" s="18"/>
      <c r="B140" s="18"/>
      <c r="C140" s="18"/>
      <c r="D140" s="18"/>
      <c r="E140" s="18"/>
      <c r="F140" s="18"/>
      <c r="G140" s="18"/>
      <c r="H140" s="18"/>
      <c r="I140" s="75"/>
      <c r="J140" s="18"/>
      <c r="K140" s="81"/>
      <c r="L140" s="84"/>
      <c r="M140" s="81"/>
      <c r="N140" s="81"/>
      <c r="O140" s="81"/>
      <c r="P140" s="81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</row>
    <row r="141" spans="1:39" x14ac:dyDescent="0.3">
      <c r="A141" s="18"/>
      <c r="B141" s="18"/>
      <c r="C141" s="18"/>
      <c r="D141" s="18"/>
      <c r="E141" s="18"/>
      <c r="F141" s="18"/>
      <c r="G141" s="18"/>
      <c r="H141" s="18"/>
      <c r="I141" s="75"/>
      <c r="J141" s="18"/>
      <c r="K141" s="81"/>
      <c r="L141" s="84"/>
      <c r="M141" s="81"/>
      <c r="N141" s="81"/>
      <c r="O141" s="81"/>
      <c r="P141" s="81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</row>
    <row r="142" spans="1:39" x14ac:dyDescent="0.3">
      <c r="A142" s="18"/>
      <c r="B142" s="18"/>
      <c r="C142" s="18"/>
      <c r="D142" s="18"/>
      <c r="E142" s="18"/>
      <c r="F142" s="18"/>
      <c r="G142" s="18"/>
      <c r="H142" s="18"/>
      <c r="I142" s="75"/>
      <c r="J142" s="18"/>
      <c r="K142" s="81"/>
      <c r="L142" s="84"/>
      <c r="M142" s="81"/>
      <c r="N142" s="81"/>
      <c r="O142" s="81"/>
      <c r="P142" s="81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</row>
    <row r="143" spans="1:39" x14ac:dyDescent="0.3">
      <c r="A143" s="18"/>
      <c r="B143" s="18"/>
      <c r="C143" s="18"/>
      <c r="D143" s="18"/>
      <c r="E143" s="18"/>
      <c r="F143" s="18"/>
      <c r="G143" s="18"/>
      <c r="H143" s="18"/>
      <c r="I143" s="75"/>
      <c r="J143" s="18"/>
      <c r="K143" s="81"/>
      <c r="L143" s="84"/>
      <c r="M143" s="81"/>
      <c r="N143" s="81"/>
      <c r="O143" s="81"/>
      <c r="P143" s="81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</row>
    <row r="144" spans="1:39" ht="15.5" x14ac:dyDescent="0.35">
      <c r="A144" s="18"/>
      <c r="B144" s="18"/>
      <c r="C144" s="18"/>
      <c r="D144" s="18"/>
      <c r="E144" s="18"/>
      <c r="F144" s="18"/>
      <c r="G144" s="18"/>
      <c r="H144" s="18"/>
      <c r="I144" s="75"/>
      <c r="J144" s="18"/>
      <c r="K144" s="86"/>
      <c r="L144" s="86"/>
      <c r="M144" s="87"/>
      <c r="N144" s="87"/>
      <c r="O144" s="87"/>
      <c r="P144" s="87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</row>
    <row r="145" spans="1:39" ht="15.5" x14ac:dyDescent="0.35">
      <c r="A145" s="18"/>
      <c r="B145" s="18"/>
      <c r="C145" s="18"/>
      <c r="D145" s="18"/>
      <c r="E145" s="18"/>
      <c r="F145" s="18"/>
      <c r="G145" s="18"/>
      <c r="H145" s="18"/>
      <c r="I145" s="75"/>
      <c r="J145" s="18"/>
      <c r="K145" s="86"/>
      <c r="L145" s="86"/>
      <c r="M145" s="87"/>
      <c r="N145" s="87"/>
      <c r="O145" s="87"/>
      <c r="P145" s="87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</row>
    <row r="146" spans="1:39" x14ac:dyDescent="0.3">
      <c r="A146" s="18"/>
      <c r="B146" s="18"/>
      <c r="C146" s="18"/>
      <c r="D146" s="18"/>
      <c r="E146" s="18"/>
      <c r="F146" s="18"/>
      <c r="G146" s="18"/>
      <c r="H146" s="18"/>
      <c r="I146" s="75"/>
      <c r="J146" s="18"/>
      <c r="K146" s="18"/>
      <c r="L146" s="85"/>
      <c r="M146" s="85"/>
      <c r="N146" s="85"/>
      <c r="O146" s="85"/>
      <c r="P146" s="85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</row>
    <row r="147" spans="1:39" x14ac:dyDescent="0.3">
      <c r="A147" s="18"/>
      <c r="B147" s="18"/>
      <c r="C147" s="18"/>
      <c r="D147" s="18"/>
      <c r="E147" s="18"/>
      <c r="F147" s="18"/>
      <c r="G147" s="18"/>
      <c r="H147" s="18"/>
      <c r="I147" s="75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</row>
    <row r="148" spans="1:39" x14ac:dyDescent="0.3">
      <c r="A148" s="18"/>
      <c r="B148" s="18"/>
      <c r="C148" s="18"/>
      <c r="D148" s="18"/>
      <c r="E148" s="18"/>
      <c r="F148" s="18"/>
      <c r="G148" s="18"/>
      <c r="H148" s="18"/>
      <c r="I148" s="75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</row>
    <row r="149" spans="1:39" ht="15.5" x14ac:dyDescent="0.35">
      <c r="A149" s="18"/>
      <c r="B149" s="18"/>
      <c r="C149" s="18"/>
      <c r="D149" s="18"/>
      <c r="E149" s="18"/>
      <c r="F149" s="18"/>
      <c r="G149" s="18"/>
      <c r="H149" s="18"/>
      <c r="I149" s="75"/>
      <c r="J149" s="18"/>
      <c r="K149" s="88"/>
      <c r="L149" s="88"/>
      <c r="M149" s="89"/>
      <c r="N149" s="89"/>
      <c r="O149" s="89"/>
      <c r="P149" s="89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</row>
    <row r="150" spans="1:39" ht="15.5" x14ac:dyDescent="0.35">
      <c r="A150" s="18"/>
      <c r="B150" s="18"/>
      <c r="C150" s="18"/>
      <c r="D150" s="18"/>
      <c r="E150" s="18"/>
      <c r="F150" s="18"/>
      <c r="G150" s="18"/>
      <c r="H150" s="18"/>
      <c r="I150" s="75"/>
      <c r="J150" s="18"/>
      <c r="K150" s="88"/>
      <c r="L150" s="88"/>
      <c r="M150" s="89"/>
      <c r="N150" s="89"/>
      <c r="O150" s="89"/>
      <c r="P150" s="89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</row>
    <row r="151" spans="1:39" ht="15.5" x14ac:dyDescent="0.35">
      <c r="A151" s="18"/>
      <c r="B151" s="18"/>
      <c r="C151" s="18"/>
      <c r="D151" s="18"/>
      <c r="E151" s="18"/>
      <c r="F151" s="18"/>
      <c r="G151" s="18"/>
      <c r="H151" s="18"/>
      <c r="I151" s="75"/>
      <c r="J151" s="18"/>
      <c r="K151" s="88"/>
      <c r="L151" s="88"/>
      <c r="M151" s="89"/>
      <c r="N151" s="89"/>
      <c r="O151" s="89"/>
      <c r="P151" s="89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</row>
    <row r="152" spans="1:39" ht="15.5" x14ac:dyDescent="0.35">
      <c r="A152" s="18"/>
      <c r="B152" s="18"/>
      <c r="C152" s="18"/>
      <c r="D152" s="18"/>
      <c r="E152" s="18"/>
      <c r="F152" s="18"/>
      <c r="G152" s="18"/>
      <c r="H152" s="18"/>
      <c r="I152" s="75"/>
      <c r="J152" s="18"/>
      <c r="K152" s="88"/>
      <c r="L152" s="88"/>
      <c r="M152" s="89"/>
      <c r="N152" s="89"/>
      <c r="O152" s="89"/>
      <c r="P152" s="89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</row>
    <row r="153" spans="1:39" ht="15.5" x14ac:dyDescent="0.35">
      <c r="A153" s="18"/>
      <c r="B153" s="18"/>
      <c r="C153" s="18"/>
      <c r="D153" s="18"/>
      <c r="E153" s="18"/>
      <c r="F153" s="18"/>
      <c r="G153" s="18"/>
      <c r="H153" s="18"/>
      <c r="I153" s="75"/>
      <c r="J153" s="18"/>
      <c r="K153" s="88"/>
      <c r="L153" s="88"/>
      <c r="M153" s="89"/>
      <c r="N153" s="89"/>
      <c r="O153" s="89"/>
      <c r="P153" s="89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</row>
    <row r="154" spans="1:39" ht="15.5" x14ac:dyDescent="0.35">
      <c r="A154" s="18"/>
      <c r="B154" s="18"/>
      <c r="C154" s="18"/>
      <c r="D154" s="18"/>
      <c r="E154" s="18"/>
      <c r="F154" s="18"/>
      <c r="G154" s="18"/>
      <c r="H154" s="18"/>
      <c r="I154" s="75"/>
      <c r="J154" s="18"/>
      <c r="K154" s="88"/>
      <c r="L154" s="88"/>
      <c r="M154" s="89"/>
      <c r="N154" s="89"/>
      <c r="O154" s="89"/>
      <c r="P154" s="89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</row>
    <row r="155" spans="1:39" ht="15.5" x14ac:dyDescent="0.35">
      <c r="A155" s="18"/>
      <c r="B155" s="18"/>
      <c r="C155" s="18"/>
      <c r="D155" s="18"/>
      <c r="E155" s="18"/>
      <c r="F155" s="18"/>
      <c r="G155" s="18"/>
      <c r="H155" s="18"/>
      <c r="I155" s="75"/>
      <c r="J155" s="18"/>
      <c r="K155" s="88"/>
      <c r="L155" s="88"/>
      <c r="M155" s="89"/>
      <c r="N155" s="89"/>
      <c r="O155" s="89"/>
      <c r="P155" s="89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</row>
    <row r="156" spans="1:39" ht="15.5" x14ac:dyDescent="0.35">
      <c r="A156" s="18"/>
      <c r="B156" s="18"/>
      <c r="C156" s="18"/>
      <c r="D156" s="18"/>
      <c r="E156" s="18"/>
      <c r="F156" s="18"/>
      <c r="G156" s="18"/>
      <c r="H156" s="18"/>
      <c r="I156" s="75"/>
      <c r="J156" s="18"/>
      <c r="K156" s="88"/>
      <c r="L156" s="88"/>
      <c r="M156" s="89"/>
      <c r="N156" s="89"/>
      <c r="O156" s="89"/>
      <c r="P156" s="89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</row>
    <row r="157" spans="1:39" ht="15.5" x14ac:dyDescent="0.35">
      <c r="A157" s="18"/>
      <c r="B157" s="18"/>
      <c r="C157" s="18"/>
      <c r="D157" s="18"/>
      <c r="E157" s="18"/>
      <c r="F157" s="18"/>
      <c r="G157" s="18"/>
      <c r="H157" s="18"/>
      <c r="I157" s="75"/>
      <c r="J157" s="18"/>
      <c r="K157" s="88"/>
      <c r="L157" s="88"/>
      <c r="M157" s="89"/>
      <c r="N157" s="89"/>
      <c r="O157" s="89"/>
      <c r="P157" s="89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</row>
    <row r="158" spans="1:39" x14ac:dyDescent="0.3">
      <c r="A158" s="18"/>
      <c r="B158" s="18"/>
      <c r="C158" s="18"/>
      <c r="D158" s="18"/>
      <c r="E158" s="18"/>
      <c r="F158" s="18"/>
      <c r="G158" s="18"/>
      <c r="H158" s="18"/>
      <c r="I158" s="75"/>
      <c r="J158" s="18"/>
      <c r="K158" s="18"/>
      <c r="L158" s="85"/>
      <c r="M158" s="85"/>
      <c r="N158" s="85"/>
      <c r="O158" s="85"/>
      <c r="P158" s="85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</row>
    <row r="159" spans="1:39" x14ac:dyDescent="0.3">
      <c r="A159" s="18"/>
      <c r="B159" s="18"/>
      <c r="C159" s="18"/>
      <c r="D159" s="18"/>
      <c r="E159" s="18"/>
      <c r="F159" s="18"/>
      <c r="G159" s="18"/>
      <c r="H159" s="18"/>
      <c r="I159" s="75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</row>
    <row r="160" spans="1:39" x14ac:dyDescent="0.3">
      <c r="A160" s="18"/>
      <c r="B160" s="18"/>
      <c r="C160" s="18"/>
      <c r="D160" s="18"/>
      <c r="E160" s="18"/>
      <c r="F160" s="18"/>
      <c r="G160" s="18"/>
      <c r="H160" s="18"/>
      <c r="I160" s="75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</row>
    <row r="161" spans="1:39" x14ac:dyDescent="0.3">
      <c r="A161" s="18"/>
      <c r="B161" s="18"/>
      <c r="C161" s="18"/>
      <c r="D161" s="18"/>
      <c r="E161" s="18"/>
      <c r="F161" s="18"/>
      <c r="G161" s="18"/>
      <c r="H161" s="18"/>
      <c r="I161" s="75"/>
      <c r="J161" s="18"/>
      <c r="K161" s="90"/>
      <c r="L161" s="90"/>
      <c r="M161" s="90"/>
      <c r="N161" s="90"/>
      <c r="O161" s="90"/>
      <c r="P161" s="90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</row>
    <row r="162" spans="1:39" x14ac:dyDescent="0.3">
      <c r="A162" s="18"/>
      <c r="B162" s="18"/>
      <c r="C162" s="18"/>
      <c r="D162" s="18"/>
      <c r="E162" s="18"/>
      <c r="F162" s="18"/>
      <c r="G162" s="18"/>
      <c r="H162" s="18"/>
      <c r="I162" s="75"/>
      <c r="J162" s="18"/>
      <c r="K162" s="90"/>
      <c r="L162" s="90"/>
      <c r="M162" s="90"/>
      <c r="N162" s="90"/>
      <c r="O162" s="81"/>
      <c r="P162" s="81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</row>
    <row r="163" spans="1:39" x14ac:dyDescent="0.3">
      <c r="A163" s="18"/>
      <c r="B163" s="18"/>
      <c r="C163" s="18"/>
      <c r="D163" s="18"/>
      <c r="E163" s="18"/>
      <c r="F163" s="18"/>
      <c r="G163" s="18"/>
      <c r="H163" s="18"/>
      <c r="I163" s="75"/>
      <c r="J163" s="18"/>
      <c r="K163" s="81"/>
      <c r="L163" s="82"/>
      <c r="M163" s="81"/>
      <c r="N163" s="81"/>
      <c r="O163" s="81"/>
      <c r="P163" s="81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</row>
    <row r="164" spans="1:39" x14ac:dyDescent="0.3">
      <c r="A164" s="18"/>
      <c r="B164" s="18"/>
      <c r="C164" s="18"/>
      <c r="D164" s="18"/>
      <c r="E164" s="18"/>
      <c r="F164" s="18"/>
      <c r="G164" s="18"/>
      <c r="H164" s="18"/>
      <c r="I164" s="75"/>
      <c r="J164" s="18"/>
      <c r="K164" s="81"/>
      <c r="L164" s="82"/>
      <c r="M164" s="81"/>
      <c r="N164" s="81"/>
      <c r="O164" s="81"/>
      <c r="P164" s="81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</row>
    <row r="165" spans="1:39" x14ac:dyDescent="0.3">
      <c r="A165" s="18"/>
      <c r="B165" s="18"/>
      <c r="C165" s="18"/>
      <c r="D165" s="18"/>
      <c r="E165" s="18"/>
      <c r="F165" s="18"/>
      <c r="G165" s="18"/>
      <c r="H165" s="18"/>
      <c r="I165" s="75"/>
      <c r="J165" s="18"/>
      <c r="K165" s="81"/>
      <c r="L165" s="82"/>
      <c r="M165" s="81"/>
      <c r="N165" s="81"/>
      <c r="O165" s="81"/>
      <c r="P165" s="81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</row>
    <row r="166" spans="1:39" x14ac:dyDescent="0.3">
      <c r="A166" s="18"/>
      <c r="B166" s="18"/>
      <c r="C166" s="18"/>
      <c r="D166" s="18"/>
      <c r="E166" s="18"/>
      <c r="F166" s="18"/>
      <c r="G166" s="18"/>
      <c r="H166" s="18"/>
      <c r="I166" s="75"/>
      <c r="J166" s="18"/>
      <c r="K166" s="81"/>
      <c r="L166" s="82"/>
      <c r="M166" s="81"/>
      <c r="N166" s="81"/>
      <c r="O166" s="81"/>
      <c r="P166" s="81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</row>
    <row r="167" spans="1:39" x14ac:dyDescent="0.3">
      <c r="A167" s="18"/>
      <c r="B167" s="18"/>
      <c r="C167" s="18"/>
      <c r="D167" s="18"/>
      <c r="E167" s="18"/>
      <c r="F167" s="18"/>
      <c r="G167" s="18"/>
      <c r="H167" s="18"/>
      <c r="I167" s="75"/>
      <c r="J167" s="18"/>
      <c r="K167" s="81"/>
      <c r="L167" s="82"/>
      <c r="M167" s="81"/>
      <c r="N167" s="81"/>
      <c r="O167" s="81"/>
      <c r="P167" s="81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</row>
    <row r="168" spans="1:39" x14ac:dyDescent="0.3">
      <c r="A168" s="18"/>
      <c r="B168" s="18"/>
      <c r="C168" s="18"/>
      <c r="D168" s="18"/>
      <c r="E168" s="18"/>
      <c r="F168" s="18"/>
      <c r="G168" s="18"/>
      <c r="H168" s="18"/>
      <c r="I168" s="75"/>
      <c r="J168" s="18"/>
      <c r="K168" s="81"/>
      <c r="L168" s="82"/>
      <c r="M168" s="81"/>
      <c r="N168" s="81"/>
      <c r="O168" s="81"/>
      <c r="P168" s="81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</row>
    <row r="169" spans="1:39" x14ac:dyDescent="0.3">
      <c r="A169" s="18"/>
      <c r="B169" s="18"/>
      <c r="C169" s="18"/>
      <c r="D169" s="18"/>
      <c r="E169" s="18"/>
      <c r="F169" s="18"/>
      <c r="G169" s="18"/>
      <c r="H169" s="18"/>
      <c r="I169" s="75"/>
      <c r="J169" s="18"/>
      <c r="K169" s="81"/>
      <c r="L169" s="82"/>
      <c r="M169" s="81"/>
      <c r="N169" s="81"/>
      <c r="O169" s="81"/>
      <c r="P169" s="81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</row>
    <row r="170" spans="1:39" x14ac:dyDescent="0.3">
      <c r="A170" s="18"/>
      <c r="B170" s="18"/>
      <c r="C170" s="18"/>
      <c r="D170" s="18"/>
      <c r="E170" s="18"/>
      <c r="F170" s="18"/>
      <c r="G170" s="18"/>
      <c r="H170" s="18"/>
      <c r="I170" s="75"/>
      <c r="J170" s="18"/>
      <c r="K170" s="81"/>
      <c r="L170" s="82"/>
      <c r="M170" s="81"/>
      <c r="N170" s="81"/>
      <c r="O170" s="81"/>
      <c r="P170" s="81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</row>
    <row r="171" spans="1:39" x14ac:dyDescent="0.3">
      <c r="A171" s="18"/>
      <c r="B171" s="18"/>
      <c r="C171" s="18"/>
      <c r="D171" s="18"/>
      <c r="E171" s="18"/>
      <c r="F171" s="18"/>
      <c r="G171" s="18"/>
      <c r="H171" s="18"/>
      <c r="I171" s="75"/>
      <c r="J171" s="18"/>
      <c r="K171" s="18"/>
      <c r="L171" s="91"/>
      <c r="M171" s="91"/>
      <c r="N171" s="91"/>
      <c r="O171" s="91"/>
      <c r="P171" s="91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</row>
    <row r="172" spans="1:39" x14ac:dyDescent="0.3">
      <c r="A172" s="18"/>
      <c r="B172" s="18"/>
      <c r="C172" s="18"/>
      <c r="D172" s="18"/>
      <c r="E172" s="18"/>
      <c r="F172" s="18"/>
      <c r="G172" s="18"/>
      <c r="H172" s="18"/>
      <c r="I172" s="75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</row>
    <row r="173" spans="1:39" x14ac:dyDescent="0.3">
      <c r="A173" s="18"/>
      <c r="B173" s="18"/>
      <c r="C173" s="18"/>
      <c r="D173" s="18"/>
      <c r="E173" s="18"/>
      <c r="F173" s="18"/>
      <c r="G173" s="18"/>
      <c r="H173" s="18"/>
      <c r="I173" s="75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</row>
    <row r="174" spans="1:39" x14ac:dyDescent="0.3">
      <c r="A174" s="18"/>
      <c r="B174" s="18"/>
      <c r="C174" s="18"/>
      <c r="D174" s="18"/>
      <c r="E174" s="18"/>
      <c r="F174" s="18"/>
      <c r="G174" s="18"/>
      <c r="H174" s="18"/>
      <c r="I174" s="75"/>
      <c r="J174" s="81"/>
      <c r="K174" s="82"/>
      <c r="L174" s="81"/>
      <c r="M174" s="81"/>
      <c r="N174" s="81"/>
      <c r="O174" s="81"/>
      <c r="P174" s="81"/>
      <c r="Q174" s="82"/>
      <c r="R174" s="81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</row>
    <row r="175" spans="1:39" x14ac:dyDescent="0.3">
      <c r="A175" s="18"/>
      <c r="B175" s="18"/>
      <c r="C175" s="18"/>
      <c r="D175" s="18"/>
      <c r="E175" s="18"/>
      <c r="F175" s="18"/>
      <c r="G175" s="18"/>
      <c r="H175" s="18"/>
      <c r="I175" s="75"/>
      <c r="J175" s="90"/>
      <c r="K175" s="81"/>
      <c r="L175" s="82"/>
      <c r="M175" s="81"/>
      <c r="N175" s="81"/>
      <c r="O175" s="81"/>
      <c r="P175" s="81"/>
      <c r="Q175" s="81"/>
      <c r="R175" s="82"/>
      <c r="S175" s="81"/>
      <c r="T175" s="18"/>
      <c r="U175" s="18"/>
      <c r="V175" s="18"/>
      <c r="W175" s="18"/>
      <c r="X175" s="18"/>
      <c r="Y175" s="18"/>
      <c r="Z175" s="18"/>
      <c r="AA175" s="18"/>
      <c r="AB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</row>
    <row r="176" spans="1:39" x14ac:dyDescent="0.3">
      <c r="A176" s="18"/>
      <c r="B176" s="18"/>
      <c r="C176" s="18"/>
      <c r="D176" s="18"/>
      <c r="E176" s="18"/>
      <c r="F176" s="18"/>
      <c r="G176" s="18"/>
      <c r="H176" s="18"/>
      <c r="I176" s="75"/>
      <c r="J176" s="81"/>
      <c r="K176" s="81"/>
      <c r="L176" s="82"/>
      <c r="M176" s="81"/>
      <c r="N176" s="81"/>
      <c r="O176" s="81"/>
      <c r="P176" s="81"/>
      <c r="Q176" s="81"/>
      <c r="R176" s="82"/>
      <c r="S176" s="81"/>
      <c r="T176" s="18"/>
      <c r="U176" s="18"/>
      <c r="V176" s="18"/>
      <c r="W176" s="18"/>
      <c r="X176" s="18"/>
      <c r="Y176" s="18"/>
      <c r="Z176" s="18"/>
      <c r="AA176" s="18"/>
      <c r="AB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</row>
    <row r="177" spans="1:39" x14ac:dyDescent="0.3">
      <c r="A177" s="18"/>
      <c r="B177" s="18"/>
      <c r="C177" s="18"/>
      <c r="D177" s="18"/>
      <c r="E177" s="18"/>
      <c r="F177" s="18"/>
      <c r="G177" s="18"/>
      <c r="H177" s="18"/>
      <c r="I177" s="75"/>
      <c r="J177" s="81"/>
      <c r="K177" s="81"/>
      <c r="L177" s="82"/>
      <c r="M177" s="81"/>
      <c r="N177" s="81"/>
      <c r="O177" s="81"/>
      <c r="P177" s="81"/>
      <c r="Q177" s="81"/>
      <c r="R177" s="82"/>
      <c r="S177" s="81"/>
      <c r="T177" s="18"/>
      <c r="U177" s="18"/>
      <c r="V177" s="18"/>
      <c r="W177" s="18"/>
      <c r="X177" s="18"/>
      <c r="Y177" s="18"/>
      <c r="Z177" s="18"/>
      <c r="AA177" s="18"/>
      <c r="AB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</row>
    <row r="178" spans="1:39" x14ac:dyDescent="0.3">
      <c r="A178" s="18"/>
      <c r="B178" s="18"/>
      <c r="C178" s="18"/>
      <c r="D178" s="18"/>
      <c r="E178" s="18"/>
      <c r="F178" s="18"/>
      <c r="G178" s="18"/>
      <c r="H178" s="18"/>
      <c r="I178" s="75"/>
      <c r="J178" s="81"/>
      <c r="K178" s="81"/>
      <c r="L178" s="82"/>
      <c r="M178" s="81"/>
      <c r="N178" s="81"/>
      <c r="O178" s="81"/>
      <c r="P178" s="81"/>
      <c r="Q178" s="81"/>
      <c r="R178" s="82"/>
      <c r="S178" s="81"/>
      <c r="T178" s="18"/>
      <c r="U178" s="18"/>
      <c r="V178" s="18"/>
      <c r="W178" s="18"/>
      <c r="X178" s="18"/>
      <c r="Y178" s="18"/>
      <c r="Z178" s="18"/>
      <c r="AA178" s="18"/>
      <c r="AB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</row>
    <row r="179" spans="1:39" x14ac:dyDescent="0.3">
      <c r="A179" s="18"/>
      <c r="B179" s="18"/>
      <c r="C179" s="18"/>
      <c r="D179" s="18"/>
      <c r="E179" s="18"/>
      <c r="F179" s="18"/>
      <c r="G179" s="18"/>
      <c r="H179" s="18"/>
      <c r="I179" s="75"/>
      <c r="J179" s="81"/>
      <c r="K179" s="81"/>
      <c r="L179" s="82"/>
      <c r="M179" s="81"/>
      <c r="N179" s="81"/>
      <c r="O179" s="81"/>
      <c r="P179" s="81"/>
      <c r="Q179" s="81"/>
      <c r="R179" s="82"/>
      <c r="S179" s="81"/>
      <c r="T179" s="18"/>
      <c r="U179" s="18"/>
      <c r="V179" s="18"/>
      <c r="W179" s="18"/>
      <c r="X179" s="18"/>
      <c r="Y179" s="18"/>
      <c r="Z179" s="18"/>
      <c r="AA179" s="18"/>
      <c r="AB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</row>
    <row r="180" spans="1:39" x14ac:dyDescent="0.3">
      <c r="A180" s="18"/>
      <c r="B180" s="18"/>
      <c r="C180" s="18"/>
      <c r="D180" s="18"/>
      <c r="E180" s="18"/>
      <c r="F180" s="18"/>
      <c r="G180" s="18"/>
      <c r="H180" s="18"/>
      <c r="I180" s="75"/>
      <c r="J180" s="81"/>
      <c r="K180" s="81"/>
      <c r="L180" s="82"/>
      <c r="M180" s="81"/>
      <c r="N180" s="81"/>
      <c r="O180" s="81"/>
      <c r="P180" s="81"/>
      <c r="Q180" s="81"/>
      <c r="R180" s="82"/>
      <c r="S180" s="81"/>
      <c r="T180" s="18"/>
      <c r="U180" s="18"/>
      <c r="V180" s="18"/>
      <c r="W180" s="18"/>
      <c r="X180" s="18"/>
      <c r="Y180" s="18"/>
      <c r="Z180" s="18"/>
      <c r="AA180" s="18"/>
      <c r="AB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</row>
    <row r="181" spans="1:39" x14ac:dyDescent="0.3">
      <c r="A181" s="18"/>
      <c r="B181" s="18"/>
      <c r="C181" s="18"/>
      <c r="D181" s="18"/>
      <c r="E181" s="18"/>
      <c r="F181" s="18"/>
      <c r="G181" s="18"/>
      <c r="H181" s="18"/>
      <c r="I181" s="75"/>
      <c r="J181" s="81"/>
      <c r="K181" s="81"/>
      <c r="L181" s="82"/>
      <c r="M181" s="81"/>
      <c r="N181" s="81"/>
      <c r="O181" s="81"/>
      <c r="P181" s="81"/>
      <c r="Q181" s="81"/>
      <c r="R181" s="82"/>
      <c r="S181" s="81"/>
      <c r="T181" s="18"/>
      <c r="U181" s="18"/>
      <c r="V181" s="18"/>
      <c r="W181" s="18"/>
      <c r="X181" s="18"/>
      <c r="Y181" s="18"/>
      <c r="Z181" s="18"/>
      <c r="AA181" s="18"/>
      <c r="AB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</row>
    <row r="182" spans="1:39" x14ac:dyDescent="0.3">
      <c r="A182" s="18"/>
      <c r="B182" s="18"/>
      <c r="C182" s="18"/>
      <c r="D182" s="18"/>
      <c r="E182" s="18"/>
      <c r="F182" s="18"/>
      <c r="G182" s="18"/>
      <c r="H182" s="18"/>
      <c r="I182" s="75"/>
      <c r="J182" s="18"/>
      <c r="K182" s="81"/>
      <c r="L182" s="82"/>
      <c r="M182" s="81"/>
      <c r="N182" s="81"/>
      <c r="O182" s="81"/>
      <c r="P182" s="81"/>
      <c r="Q182" s="81"/>
      <c r="R182" s="82"/>
      <c r="S182" s="81"/>
      <c r="T182" s="18"/>
      <c r="U182" s="18"/>
      <c r="V182" s="18"/>
      <c r="W182" s="18"/>
      <c r="X182" s="18"/>
      <c r="Y182" s="18"/>
      <c r="Z182" s="18"/>
      <c r="AA182" s="18"/>
      <c r="AB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</row>
    <row r="183" spans="1:39" x14ac:dyDescent="0.3">
      <c r="A183" s="18"/>
      <c r="B183" s="18"/>
      <c r="C183" s="18"/>
      <c r="D183" s="18"/>
      <c r="E183" s="18"/>
      <c r="F183" s="18"/>
      <c r="G183" s="18"/>
      <c r="H183" s="18"/>
      <c r="I183" s="75"/>
      <c r="J183" s="18"/>
      <c r="K183" s="81"/>
      <c r="L183" s="82"/>
      <c r="M183" s="81"/>
      <c r="N183" s="81"/>
      <c r="O183" s="81"/>
      <c r="P183" s="81"/>
      <c r="Q183" s="81"/>
      <c r="R183" s="82"/>
      <c r="S183" s="81"/>
      <c r="T183" s="18"/>
      <c r="U183" s="18"/>
      <c r="V183" s="18"/>
      <c r="W183" s="18"/>
      <c r="X183" s="18"/>
      <c r="Y183" s="18"/>
      <c r="Z183" s="18"/>
      <c r="AA183" s="18"/>
      <c r="AB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</row>
    <row r="184" spans="1:39" x14ac:dyDescent="0.3">
      <c r="A184" s="18"/>
      <c r="B184" s="18"/>
      <c r="C184" s="18"/>
      <c r="D184" s="18"/>
      <c r="E184" s="18"/>
      <c r="F184" s="18"/>
      <c r="G184" s="18"/>
      <c r="H184" s="18"/>
      <c r="I184" s="75"/>
      <c r="J184" s="18"/>
      <c r="K184" s="81"/>
      <c r="L184" s="82"/>
      <c r="M184" s="81"/>
      <c r="N184" s="81"/>
      <c r="O184" s="81"/>
      <c r="P184" s="81"/>
      <c r="Q184" s="81"/>
      <c r="R184" s="82"/>
      <c r="S184" s="81"/>
      <c r="T184" s="18"/>
      <c r="U184" s="18"/>
      <c r="V184" s="18"/>
      <c r="W184" s="18"/>
      <c r="X184" s="18"/>
      <c r="Y184" s="18"/>
      <c r="Z184" s="18"/>
      <c r="AA184" s="18"/>
      <c r="AB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</row>
    <row r="185" spans="1:39" x14ac:dyDescent="0.3">
      <c r="A185" s="18"/>
      <c r="B185" s="18"/>
      <c r="C185" s="18"/>
      <c r="D185" s="18"/>
      <c r="E185" s="18"/>
      <c r="F185" s="18"/>
      <c r="G185" s="18"/>
      <c r="H185" s="18"/>
      <c r="I185" s="75"/>
      <c r="J185" s="18"/>
      <c r="K185" s="81"/>
      <c r="L185" s="82"/>
      <c r="M185" s="81"/>
      <c r="N185" s="81"/>
      <c r="O185" s="81"/>
      <c r="P185" s="81"/>
      <c r="Q185" s="81"/>
      <c r="R185" s="82"/>
      <c r="S185" s="81"/>
      <c r="T185" s="18"/>
      <c r="U185" s="18"/>
      <c r="V185" s="18"/>
      <c r="W185" s="18"/>
      <c r="X185" s="18"/>
      <c r="Y185" s="18"/>
      <c r="Z185" s="18"/>
      <c r="AA185" s="18"/>
      <c r="AB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</row>
    <row r="186" spans="1:39" x14ac:dyDescent="0.3">
      <c r="A186" s="18"/>
      <c r="B186" s="18"/>
      <c r="C186" s="18"/>
      <c r="D186" s="18"/>
      <c r="E186" s="18"/>
      <c r="F186" s="18"/>
      <c r="G186" s="18"/>
      <c r="H186" s="18"/>
      <c r="I186" s="75"/>
      <c r="J186" s="18"/>
      <c r="K186" s="18"/>
      <c r="L186" s="18"/>
      <c r="M186" s="91"/>
      <c r="N186" s="91"/>
      <c r="O186" s="91"/>
      <c r="P186" s="91"/>
      <c r="Q186" s="91"/>
      <c r="R186" s="91"/>
      <c r="S186" s="91"/>
      <c r="T186" s="18"/>
      <c r="U186" s="18"/>
      <c r="V186" s="18"/>
      <c r="W186" s="18"/>
      <c r="X186" s="18"/>
      <c r="Y186" s="18"/>
      <c r="Z186" s="18"/>
      <c r="AA186" s="18"/>
      <c r="AB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</row>
    <row r="187" spans="1:39" x14ac:dyDescent="0.3">
      <c r="A187" s="18"/>
      <c r="B187" s="18"/>
      <c r="C187" s="18"/>
      <c r="D187" s="18"/>
      <c r="E187" s="18"/>
      <c r="F187" s="18"/>
      <c r="G187" s="18"/>
      <c r="H187" s="18"/>
      <c r="I187" s="75"/>
      <c r="J187" s="18"/>
      <c r="K187" s="90"/>
      <c r="L187" s="90"/>
      <c r="M187" s="90"/>
      <c r="N187" s="90"/>
      <c r="O187" s="90"/>
      <c r="P187" s="90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</row>
    <row r="188" spans="1:39" x14ac:dyDescent="0.3">
      <c r="A188" s="18"/>
      <c r="B188" s="18"/>
      <c r="C188" s="18"/>
      <c r="D188" s="18"/>
      <c r="E188" s="18"/>
      <c r="F188" s="18"/>
      <c r="G188" s="18"/>
      <c r="H188" s="18"/>
      <c r="I188" s="75"/>
      <c r="J188" s="18"/>
      <c r="K188" s="90"/>
      <c r="L188" s="90"/>
      <c r="M188" s="90"/>
      <c r="N188" s="90"/>
      <c r="O188" s="81"/>
      <c r="P188" s="81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</row>
    <row r="189" spans="1:39" x14ac:dyDescent="0.3">
      <c r="A189" s="18"/>
      <c r="B189" s="18"/>
      <c r="C189" s="18"/>
      <c r="D189" s="18"/>
      <c r="E189" s="18"/>
      <c r="F189" s="18"/>
      <c r="G189" s="18"/>
      <c r="H189" s="18"/>
      <c r="I189" s="75"/>
      <c r="J189" s="18"/>
      <c r="K189" s="81"/>
      <c r="L189" s="82"/>
      <c r="M189" s="81"/>
      <c r="N189" s="81"/>
      <c r="O189" s="81"/>
      <c r="P189" s="81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</row>
    <row r="190" spans="1:39" x14ac:dyDescent="0.3">
      <c r="A190" s="18"/>
      <c r="B190" s="18"/>
      <c r="C190" s="18"/>
      <c r="D190" s="18"/>
      <c r="E190" s="18"/>
      <c r="F190" s="18"/>
      <c r="G190" s="18"/>
      <c r="H190" s="18"/>
      <c r="I190" s="75"/>
      <c r="J190" s="18"/>
      <c r="K190" s="81"/>
      <c r="L190" s="82"/>
      <c r="M190" s="81"/>
      <c r="N190" s="81"/>
      <c r="O190" s="81"/>
      <c r="P190" s="81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</row>
    <row r="191" spans="1:39" x14ac:dyDescent="0.3">
      <c r="A191" s="18"/>
      <c r="B191" s="18"/>
      <c r="C191" s="18"/>
      <c r="D191" s="18"/>
      <c r="E191" s="18"/>
      <c r="F191" s="18"/>
      <c r="G191" s="18"/>
      <c r="H191" s="18"/>
      <c r="I191" s="75"/>
      <c r="J191" s="18"/>
      <c r="K191" s="81"/>
      <c r="L191" s="82"/>
      <c r="M191" s="81"/>
      <c r="N191" s="81"/>
      <c r="O191" s="81"/>
      <c r="P191" s="81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</row>
    <row r="192" spans="1:39" x14ac:dyDescent="0.3">
      <c r="A192" s="18"/>
      <c r="B192" s="18"/>
      <c r="C192" s="18"/>
      <c r="D192" s="18"/>
      <c r="E192" s="18"/>
      <c r="F192" s="18"/>
      <c r="G192" s="18"/>
      <c r="H192" s="18"/>
      <c r="I192" s="75"/>
      <c r="J192" s="18"/>
      <c r="K192" s="81"/>
      <c r="L192" s="82"/>
      <c r="M192" s="81"/>
      <c r="N192" s="81"/>
      <c r="O192" s="81"/>
      <c r="P192" s="81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</row>
    <row r="193" spans="1:39" x14ac:dyDescent="0.3">
      <c r="A193" s="18"/>
      <c r="B193" s="18"/>
      <c r="C193" s="18"/>
      <c r="D193" s="18"/>
      <c r="E193" s="18"/>
      <c r="F193" s="18"/>
      <c r="G193" s="18"/>
      <c r="H193" s="18"/>
      <c r="I193" s="75"/>
      <c r="J193" s="18"/>
      <c r="K193" s="81"/>
      <c r="L193" s="82"/>
      <c r="M193" s="81"/>
      <c r="N193" s="81"/>
      <c r="O193" s="81"/>
      <c r="P193" s="81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</row>
    <row r="194" spans="1:39" x14ac:dyDescent="0.3">
      <c r="A194" s="18"/>
      <c r="B194" s="18"/>
      <c r="C194" s="18"/>
      <c r="D194" s="18"/>
      <c r="E194" s="18"/>
      <c r="F194" s="18"/>
      <c r="G194" s="18"/>
      <c r="H194" s="18"/>
      <c r="I194" s="75"/>
      <c r="J194" s="18"/>
      <c r="K194" s="81"/>
      <c r="L194" s="82"/>
      <c r="M194" s="81"/>
      <c r="N194" s="81"/>
      <c r="O194" s="81"/>
      <c r="P194" s="81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</row>
    <row r="195" spans="1:39" x14ac:dyDescent="0.3">
      <c r="A195" s="18"/>
      <c r="B195" s="18"/>
      <c r="C195" s="18"/>
      <c r="D195" s="18"/>
      <c r="E195" s="18"/>
      <c r="F195" s="18"/>
      <c r="G195" s="18"/>
      <c r="H195" s="18"/>
      <c r="I195" s="75"/>
      <c r="J195" s="18"/>
      <c r="K195" s="81"/>
      <c r="L195" s="82"/>
      <c r="M195" s="81"/>
      <c r="N195" s="81"/>
      <c r="O195" s="81"/>
      <c r="P195" s="81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</row>
    <row r="196" spans="1:39" x14ac:dyDescent="0.3">
      <c r="A196" s="18"/>
      <c r="B196" s="18"/>
      <c r="C196" s="18"/>
      <c r="D196" s="18"/>
      <c r="E196" s="18"/>
      <c r="F196" s="18"/>
      <c r="G196" s="18"/>
      <c r="H196" s="18"/>
      <c r="I196" s="75"/>
      <c r="J196" s="18"/>
      <c r="K196" s="81"/>
      <c r="L196" s="82"/>
      <c r="M196" s="81"/>
      <c r="N196" s="81"/>
      <c r="O196" s="81"/>
      <c r="P196" s="81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</row>
    <row r="197" spans="1:39" x14ac:dyDescent="0.3">
      <c r="A197" s="18"/>
      <c r="B197" s="18"/>
      <c r="C197" s="18"/>
      <c r="D197" s="18"/>
      <c r="E197" s="18"/>
      <c r="F197" s="18"/>
      <c r="G197" s="18"/>
      <c r="H197" s="18"/>
      <c r="I197" s="75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</row>
    <row r="198" spans="1:39" x14ac:dyDescent="0.3">
      <c r="A198" s="18"/>
      <c r="B198" s="18"/>
      <c r="C198" s="18"/>
      <c r="D198" s="18"/>
      <c r="E198" s="18"/>
      <c r="F198" s="18"/>
      <c r="G198" s="18"/>
      <c r="H198" s="18"/>
      <c r="I198" s="75"/>
      <c r="J198" s="18"/>
      <c r="K198" s="18"/>
      <c r="L198" s="91"/>
      <c r="M198" s="91"/>
      <c r="N198" s="91"/>
      <c r="O198" s="91"/>
      <c r="P198" s="91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</row>
    <row r="199" spans="1:39" x14ac:dyDescent="0.3">
      <c r="A199" s="18"/>
      <c r="B199" s="18"/>
      <c r="C199" s="18"/>
      <c r="D199" s="18"/>
      <c r="E199" s="18"/>
      <c r="F199" s="18"/>
      <c r="G199" s="18"/>
      <c r="H199" s="18"/>
      <c r="I199" s="75"/>
      <c r="J199" s="18"/>
      <c r="K199" s="18"/>
      <c r="L199" s="91"/>
      <c r="M199" s="91"/>
      <c r="N199" s="91"/>
      <c r="O199" s="91"/>
      <c r="P199" s="91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</row>
    <row r="200" spans="1:39" x14ac:dyDescent="0.3">
      <c r="A200" s="18"/>
      <c r="B200" s="18"/>
      <c r="C200" s="18"/>
      <c r="D200" s="18"/>
      <c r="E200" s="18"/>
      <c r="F200" s="18"/>
      <c r="G200" s="18"/>
      <c r="H200" s="18"/>
      <c r="I200" s="75"/>
      <c r="J200" s="18"/>
      <c r="K200" s="90"/>
      <c r="L200" s="90"/>
      <c r="M200" s="90"/>
      <c r="N200" s="90"/>
      <c r="O200" s="81"/>
      <c r="P200" s="81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</row>
    <row r="201" spans="1:39" x14ac:dyDescent="0.3">
      <c r="A201" s="18"/>
      <c r="B201" s="18"/>
      <c r="C201" s="18"/>
      <c r="D201" s="18"/>
      <c r="E201" s="18"/>
      <c r="F201" s="18"/>
      <c r="G201" s="18"/>
      <c r="H201" s="18"/>
      <c r="I201" s="75"/>
      <c r="J201" s="18"/>
      <c r="K201" s="81"/>
      <c r="L201" s="82"/>
      <c r="M201" s="81"/>
      <c r="N201" s="81"/>
      <c r="O201" s="81"/>
      <c r="P201" s="81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</row>
    <row r="202" spans="1:39" x14ac:dyDescent="0.3">
      <c r="A202" s="18"/>
      <c r="B202" s="18"/>
      <c r="C202" s="18"/>
      <c r="D202" s="18"/>
      <c r="E202" s="18"/>
      <c r="F202" s="18"/>
      <c r="G202" s="18"/>
      <c r="H202" s="18"/>
      <c r="I202" s="75"/>
      <c r="J202" s="18"/>
      <c r="K202" s="81"/>
      <c r="L202" s="82"/>
      <c r="M202" s="81"/>
      <c r="N202" s="81"/>
      <c r="O202" s="81"/>
      <c r="P202" s="81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</row>
    <row r="203" spans="1:39" x14ac:dyDescent="0.3">
      <c r="A203" s="18"/>
      <c r="B203" s="18"/>
      <c r="C203" s="18"/>
      <c r="D203" s="18"/>
      <c r="E203" s="18"/>
      <c r="F203" s="18"/>
      <c r="G203" s="18"/>
      <c r="H203" s="18"/>
      <c r="I203" s="75"/>
      <c r="J203" s="18"/>
      <c r="K203" s="81"/>
      <c r="L203" s="82"/>
      <c r="M203" s="81"/>
      <c r="N203" s="81"/>
      <c r="O203" s="81"/>
      <c r="P203" s="81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</row>
    <row r="204" spans="1:39" x14ac:dyDescent="0.3">
      <c r="A204" s="18"/>
      <c r="B204" s="18"/>
      <c r="C204" s="18"/>
      <c r="D204" s="18"/>
      <c r="E204" s="18"/>
      <c r="F204" s="18"/>
      <c r="G204" s="18"/>
      <c r="H204" s="18"/>
      <c r="I204" s="75"/>
      <c r="J204" s="18"/>
      <c r="K204" s="81"/>
      <c r="L204" s="82"/>
      <c r="M204" s="81"/>
      <c r="N204" s="81"/>
      <c r="O204" s="81"/>
      <c r="P204" s="81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</row>
    <row r="205" spans="1:39" x14ac:dyDescent="0.3">
      <c r="A205" s="18"/>
      <c r="B205" s="18"/>
      <c r="C205" s="18"/>
      <c r="D205" s="18"/>
      <c r="E205" s="18"/>
      <c r="F205" s="18"/>
      <c r="G205" s="18"/>
      <c r="H205" s="18"/>
      <c r="I205" s="75"/>
      <c r="J205" s="18"/>
      <c r="K205" s="81"/>
      <c r="L205" s="82"/>
      <c r="M205" s="81"/>
      <c r="N205" s="81"/>
      <c r="O205" s="81"/>
      <c r="P205" s="81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</row>
    <row r="206" spans="1:39" x14ac:dyDescent="0.3">
      <c r="A206" s="18"/>
      <c r="B206" s="18"/>
      <c r="C206" s="18"/>
      <c r="D206" s="18"/>
      <c r="E206" s="18"/>
      <c r="F206" s="18"/>
      <c r="G206" s="18"/>
      <c r="H206" s="18"/>
      <c r="I206" s="75"/>
      <c r="J206" s="18"/>
      <c r="K206" s="81"/>
      <c r="L206" s="82"/>
      <c r="M206" s="81"/>
      <c r="N206" s="81"/>
      <c r="O206" s="81"/>
      <c r="P206" s="81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</row>
    <row r="207" spans="1:39" x14ac:dyDescent="0.3">
      <c r="A207" s="18"/>
      <c r="B207" s="18"/>
      <c r="C207" s="18"/>
      <c r="D207" s="18"/>
      <c r="E207" s="18"/>
      <c r="F207" s="18"/>
      <c r="G207" s="18"/>
      <c r="H207" s="18"/>
      <c r="I207" s="75"/>
      <c r="J207" s="18"/>
      <c r="K207" s="81"/>
      <c r="L207" s="82"/>
      <c r="M207" s="81"/>
      <c r="N207" s="81"/>
      <c r="O207" s="81"/>
      <c r="P207" s="81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</row>
    <row r="208" spans="1:39" x14ac:dyDescent="0.3">
      <c r="A208" s="18"/>
      <c r="B208" s="18"/>
      <c r="C208" s="18"/>
      <c r="D208" s="18"/>
      <c r="E208" s="18"/>
      <c r="F208" s="18"/>
      <c r="G208" s="18"/>
      <c r="H208" s="18"/>
      <c r="I208" s="75"/>
      <c r="J208" s="18"/>
      <c r="K208" s="81"/>
      <c r="L208" s="82"/>
      <c r="M208" s="81"/>
      <c r="N208" s="81"/>
      <c r="O208" s="81"/>
      <c r="P208" s="81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</row>
    <row r="209" spans="1:39" x14ac:dyDescent="0.3">
      <c r="A209" s="18"/>
      <c r="B209" s="18"/>
      <c r="C209" s="18"/>
      <c r="D209" s="18"/>
      <c r="E209" s="18"/>
      <c r="F209" s="18"/>
      <c r="G209" s="18"/>
      <c r="H209" s="18"/>
      <c r="I209" s="75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</row>
    <row r="210" spans="1:39" x14ac:dyDescent="0.3">
      <c r="A210" s="18"/>
      <c r="B210" s="18"/>
      <c r="C210" s="18"/>
      <c r="D210" s="18"/>
      <c r="E210" s="18"/>
      <c r="F210" s="18"/>
      <c r="G210" s="18"/>
      <c r="H210" s="18"/>
      <c r="I210" s="75"/>
      <c r="J210" s="18"/>
      <c r="K210" s="18"/>
      <c r="L210" s="91"/>
      <c r="M210" s="91"/>
      <c r="N210" s="91"/>
      <c r="O210" s="91"/>
      <c r="P210" s="91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</row>
    <row r="211" spans="1:39" x14ac:dyDescent="0.3">
      <c r="A211" s="18"/>
      <c r="B211" s="18"/>
      <c r="C211" s="18"/>
      <c r="D211" s="18"/>
      <c r="E211" s="18"/>
      <c r="F211" s="18"/>
      <c r="G211" s="18"/>
      <c r="H211" s="18"/>
      <c r="I211" s="75"/>
      <c r="J211" s="18"/>
      <c r="K211" s="18"/>
      <c r="L211" s="91"/>
      <c r="M211" s="91"/>
      <c r="N211" s="91"/>
      <c r="O211" s="91"/>
      <c r="P211" s="91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</row>
    <row r="212" spans="1:39" x14ac:dyDescent="0.3">
      <c r="A212" s="18"/>
      <c r="B212" s="18"/>
      <c r="C212" s="18"/>
      <c r="D212" s="18"/>
      <c r="E212" s="18"/>
      <c r="F212" s="18"/>
      <c r="G212" s="18"/>
      <c r="H212" s="18"/>
      <c r="I212" s="75"/>
      <c r="J212" s="18"/>
      <c r="K212" s="92"/>
      <c r="L212" s="92"/>
      <c r="M212" s="92"/>
      <c r="N212" s="92"/>
      <c r="O212" s="92"/>
      <c r="P212" s="92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</row>
    <row r="213" spans="1:39" ht="15.5" x14ac:dyDescent="0.35">
      <c r="A213" s="18"/>
      <c r="B213" s="18"/>
      <c r="C213" s="18"/>
      <c r="D213" s="18"/>
      <c r="E213" s="18"/>
      <c r="F213" s="18"/>
      <c r="G213" s="18"/>
      <c r="H213" s="18"/>
      <c r="I213" s="75"/>
      <c r="J213" s="18"/>
      <c r="K213" s="92"/>
      <c r="L213" s="93"/>
      <c r="M213" s="93"/>
      <c r="N213" s="93"/>
      <c r="O213" s="94"/>
      <c r="P213" s="8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</row>
    <row r="214" spans="1:39" ht="15.5" x14ac:dyDescent="0.35">
      <c r="A214" s="18"/>
      <c r="B214" s="18"/>
      <c r="C214" s="18"/>
      <c r="D214" s="18"/>
      <c r="E214" s="18"/>
      <c r="F214" s="18"/>
      <c r="G214" s="18"/>
      <c r="H214" s="18"/>
      <c r="I214" s="75"/>
      <c r="J214" s="18"/>
      <c r="K214" s="95"/>
      <c r="L214" s="95"/>
      <c r="M214" s="95"/>
      <c r="N214" s="95"/>
      <c r="O214" s="95"/>
      <c r="P214" s="95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</row>
    <row r="215" spans="1:39" ht="15.5" x14ac:dyDescent="0.35">
      <c r="A215" s="18"/>
      <c r="B215" s="18"/>
      <c r="C215" s="18"/>
      <c r="D215" s="18"/>
      <c r="E215" s="18"/>
      <c r="F215" s="18"/>
      <c r="G215" s="18"/>
      <c r="H215" s="18"/>
      <c r="I215" s="75"/>
      <c r="J215" s="18"/>
      <c r="K215" s="95"/>
      <c r="L215" s="95"/>
      <c r="M215" s="95"/>
      <c r="N215" s="95"/>
      <c r="O215" s="95"/>
      <c r="P215" s="95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</row>
    <row r="216" spans="1:39" ht="15.5" x14ac:dyDescent="0.35">
      <c r="A216" s="18"/>
      <c r="B216" s="18"/>
      <c r="C216" s="18"/>
      <c r="D216" s="18"/>
      <c r="E216" s="18"/>
      <c r="F216" s="18"/>
      <c r="G216" s="18"/>
      <c r="H216" s="18"/>
      <c r="I216" s="75"/>
      <c r="J216" s="18"/>
      <c r="K216" s="95"/>
      <c r="L216" s="95"/>
      <c r="M216" s="95"/>
      <c r="N216" s="95"/>
      <c r="O216" s="95"/>
      <c r="P216" s="95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</row>
    <row r="217" spans="1:39" ht="15.5" x14ac:dyDescent="0.35">
      <c r="A217" s="18"/>
      <c r="B217" s="18"/>
      <c r="C217" s="18"/>
      <c r="D217" s="18"/>
      <c r="E217" s="18"/>
      <c r="F217" s="18"/>
      <c r="G217" s="18"/>
      <c r="H217" s="18"/>
      <c r="I217" s="75"/>
      <c r="J217" s="18"/>
      <c r="K217" s="95"/>
      <c r="L217" s="95"/>
      <c r="M217" s="95"/>
      <c r="N217" s="95"/>
      <c r="O217" s="95"/>
      <c r="P217" s="95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</row>
    <row r="218" spans="1:39" ht="15.5" x14ac:dyDescent="0.35">
      <c r="A218" s="18"/>
      <c r="B218" s="18"/>
      <c r="C218" s="18"/>
      <c r="D218" s="18"/>
      <c r="E218" s="18"/>
      <c r="F218" s="18"/>
      <c r="G218" s="18"/>
      <c r="H218" s="18"/>
      <c r="I218" s="75"/>
      <c r="J218" s="18"/>
      <c r="K218" s="95"/>
      <c r="L218" s="95"/>
      <c r="M218" s="95"/>
      <c r="N218" s="95"/>
      <c r="O218" s="95"/>
      <c r="P218" s="95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</row>
    <row r="219" spans="1:39" ht="15.5" x14ac:dyDescent="0.35">
      <c r="A219" s="18"/>
      <c r="B219" s="18"/>
      <c r="C219" s="18"/>
      <c r="D219" s="18"/>
      <c r="E219" s="18"/>
      <c r="F219" s="18"/>
      <c r="G219" s="18"/>
      <c r="H219" s="18"/>
      <c r="I219" s="75"/>
      <c r="J219" s="18"/>
      <c r="K219" s="95"/>
      <c r="L219" s="95"/>
      <c r="M219" s="95"/>
      <c r="N219" s="95"/>
      <c r="O219" s="95"/>
      <c r="P219" s="95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</row>
    <row r="220" spans="1:39" ht="15.5" x14ac:dyDescent="0.35">
      <c r="A220" s="18"/>
      <c r="B220" s="18"/>
      <c r="C220" s="18"/>
      <c r="D220" s="18"/>
      <c r="E220" s="18"/>
      <c r="F220" s="18"/>
      <c r="G220" s="18"/>
      <c r="H220" s="18"/>
      <c r="I220" s="75"/>
      <c r="J220" s="18"/>
      <c r="K220" s="95"/>
      <c r="L220" s="95"/>
      <c r="M220" s="95"/>
      <c r="N220" s="95"/>
      <c r="O220" s="95"/>
      <c r="P220" s="95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</row>
    <row r="221" spans="1:39" ht="15.5" x14ac:dyDescent="0.35">
      <c r="A221" s="18"/>
      <c r="B221" s="18"/>
      <c r="C221" s="18"/>
      <c r="D221" s="18"/>
      <c r="E221" s="18"/>
      <c r="F221" s="18"/>
      <c r="G221" s="18"/>
      <c r="H221" s="18"/>
      <c r="I221" s="75"/>
      <c r="J221" s="18"/>
      <c r="K221" s="95"/>
      <c r="L221" s="95"/>
      <c r="M221" s="95"/>
      <c r="N221" s="95"/>
      <c r="O221" s="95"/>
      <c r="P221" s="95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</row>
    <row r="222" spans="1:39" x14ac:dyDescent="0.3">
      <c r="A222" s="18"/>
      <c r="B222" s="18"/>
      <c r="C222" s="18"/>
      <c r="D222" s="18"/>
      <c r="E222" s="18"/>
      <c r="F222" s="18"/>
      <c r="G222" s="18"/>
      <c r="H222" s="18"/>
      <c r="I222" s="75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</row>
    <row r="223" spans="1:39" x14ac:dyDescent="0.3">
      <c r="A223" s="18"/>
      <c r="B223" s="18"/>
      <c r="C223" s="18"/>
      <c r="D223" s="18"/>
      <c r="E223" s="18"/>
      <c r="F223" s="18"/>
      <c r="G223" s="18"/>
      <c r="H223" s="18"/>
      <c r="I223" s="75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</row>
    <row r="224" spans="1:39" x14ac:dyDescent="0.3">
      <c r="A224" s="18"/>
      <c r="B224" s="18"/>
      <c r="C224" s="18"/>
      <c r="D224" s="18"/>
      <c r="E224" s="18"/>
      <c r="F224" s="18"/>
      <c r="G224" s="18"/>
      <c r="H224" s="18"/>
      <c r="I224" s="75"/>
      <c r="J224" s="18"/>
      <c r="K224" s="90"/>
      <c r="L224" s="90"/>
      <c r="M224" s="90"/>
      <c r="N224" s="90"/>
      <c r="O224" s="90"/>
      <c r="P224" s="90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</row>
    <row r="225" spans="1:39" x14ac:dyDescent="0.3">
      <c r="A225" s="18"/>
      <c r="B225" s="18"/>
      <c r="C225" s="18"/>
      <c r="D225" s="18"/>
      <c r="E225" s="18"/>
      <c r="F225" s="18"/>
      <c r="G225" s="18"/>
      <c r="H225" s="18"/>
      <c r="I225" s="75"/>
      <c r="J225" s="18"/>
      <c r="K225" s="90"/>
      <c r="L225" s="90"/>
      <c r="M225" s="90"/>
      <c r="N225" s="90"/>
      <c r="O225" s="81"/>
      <c r="P225" s="81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</row>
    <row r="226" spans="1:39" x14ac:dyDescent="0.3">
      <c r="A226" s="18"/>
      <c r="B226" s="18"/>
      <c r="C226" s="18"/>
      <c r="D226" s="18"/>
      <c r="E226" s="18"/>
      <c r="F226" s="18"/>
      <c r="G226" s="18"/>
      <c r="H226" s="18"/>
      <c r="I226" s="75"/>
      <c r="J226" s="18"/>
      <c r="K226" s="81"/>
      <c r="L226" s="82"/>
      <c r="M226" s="81"/>
      <c r="N226" s="81"/>
      <c r="O226" s="81"/>
      <c r="P226" s="81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</row>
    <row r="227" spans="1:39" x14ac:dyDescent="0.3">
      <c r="A227" s="18"/>
      <c r="B227" s="18"/>
      <c r="C227" s="18"/>
      <c r="D227" s="18"/>
      <c r="E227" s="18"/>
      <c r="F227" s="18"/>
      <c r="G227" s="18"/>
      <c r="H227" s="18"/>
      <c r="I227" s="75"/>
      <c r="J227" s="18"/>
      <c r="K227" s="81"/>
      <c r="L227" s="82"/>
      <c r="M227" s="81"/>
      <c r="N227" s="81"/>
      <c r="O227" s="81"/>
      <c r="P227" s="81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</row>
    <row r="228" spans="1:39" x14ac:dyDescent="0.3">
      <c r="A228" s="18"/>
      <c r="B228" s="18"/>
      <c r="C228" s="18"/>
      <c r="D228" s="18"/>
      <c r="E228" s="18"/>
      <c r="F228" s="18"/>
      <c r="G228" s="18"/>
      <c r="H228" s="18"/>
      <c r="I228" s="75"/>
      <c r="J228" s="18"/>
      <c r="K228" s="81"/>
      <c r="L228" s="82"/>
      <c r="M228" s="81"/>
      <c r="N228" s="81"/>
      <c r="O228" s="81"/>
      <c r="P228" s="81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</row>
    <row r="229" spans="1:39" x14ac:dyDescent="0.3">
      <c r="A229" s="18"/>
      <c r="B229" s="18"/>
      <c r="C229" s="18"/>
      <c r="D229" s="18"/>
      <c r="E229" s="18"/>
      <c r="F229" s="18"/>
      <c r="G229" s="18"/>
      <c r="H229" s="18"/>
      <c r="I229" s="75"/>
      <c r="J229" s="18"/>
      <c r="K229" s="81"/>
      <c r="L229" s="82"/>
      <c r="M229" s="81"/>
      <c r="N229" s="81"/>
      <c r="O229" s="81"/>
      <c r="P229" s="81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</row>
    <row r="230" spans="1:39" x14ac:dyDescent="0.3">
      <c r="A230" s="18"/>
      <c r="B230" s="18"/>
      <c r="C230" s="18"/>
      <c r="D230" s="18"/>
      <c r="E230" s="18"/>
      <c r="F230" s="18"/>
      <c r="G230" s="18"/>
      <c r="H230" s="18"/>
      <c r="I230" s="75"/>
      <c r="J230" s="18"/>
      <c r="K230" s="81"/>
      <c r="L230" s="82"/>
      <c r="M230" s="81"/>
      <c r="N230" s="81"/>
      <c r="O230" s="81"/>
      <c r="P230" s="81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</row>
    <row r="231" spans="1:39" x14ac:dyDescent="0.3">
      <c r="A231" s="18"/>
      <c r="B231" s="18"/>
      <c r="C231" s="18"/>
      <c r="D231" s="18"/>
      <c r="E231" s="18"/>
      <c r="F231" s="18"/>
      <c r="G231" s="18"/>
      <c r="H231" s="18"/>
      <c r="I231" s="75"/>
      <c r="J231" s="18"/>
      <c r="K231" s="81"/>
      <c r="L231" s="82"/>
      <c r="M231" s="81"/>
      <c r="N231" s="81"/>
      <c r="O231" s="81"/>
      <c r="P231" s="81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</row>
    <row r="232" spans="1:39" x14ac:dyDescent="0.3">
      <c r="A232" s="18"/>
      <c r="B232" s="18"/>
      <c r="C232" s="18"/>
      <c r="D232" s="18"/>
      <c r="E232" s="18"/>
      <c r="F232" s="18"/>
      <c r="G232" s="18"/>
      <c r="H232" s="18"/>
      <c r="I232" s="75"/>
      <c r="J232" s="18"/>
      <c r="K232" s="81"/>
      <c r="L232" s="82"/>
      <c r="M232" s="81"/>
      <c r="N232" s="81"/>
      <c r="O232" s="81"/>
      <c r="P232" s="81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</row>
    <row r="233" spans="1:39" x14ac:dyDescent="0.3">
      <c r="A233" s="18"/>
      <c r="B233" s="18"/>
      <c r="C233" s="18"/>
      <c r="D233" s="18"/>
      <c r="E233" s="18"/>
      <c r="F233" s="18"/>
      <c r="G233" s="18"/>
      <c r="H233" s="18"/>
      <c r="I233" s="75"/>
      <c r="J233" s="18"/>
      <c r="K233" s="81"/>
      <c r="L233" s="82"/>
      <c r="M233" s="81"/>
      <c r="N233" s="81"/>
      <c r="O233" s="81"/>
      <c r="P233" s="81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</row>
    <row r="234" spans="1:39" x14ac:dyDescent="0.3">
      <c r="A234" s="18"/>
      <c r="B234" s="18"/>
      <c r="C234" s="18"/>
      <c r="D234" s="18"/>
      <c r="E234" s="18"/>
      <c r="F234" s="18"/>
      <c r="G234" s="18"/>
      <c r="H234" s="18"/>
      <c r="I234" s="75"/>
      <c r="J234" s="18"/>
      <c r="K234" s="81"/>
      <c r="L234" s="82"/>
      <c r="M234" s="81"/>
      <c r="N234" s="81"/>
      <c r="O234" s="81"/>
      <c r="P234" s="81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</row>
    <row r="235" spans="1:39" x14ac:dyDescent="0.3">
      <c r="A235" s="18"/>
      <c r="B235" s="18"/>
      <c r="C235" s="18"/>
      <c r="D235" s="18"/>
      <c r="E235" s="18"/>
      <c r="F235" s="18"/>
      <c r="G235" s="18"/>
      <c r="H235" s="18"/>
      <c r="I235" s="75"/>
      <c r="J235" s="18"/>
      <c r="K235" s="81"/>
      <c r="L235" s="82"/>
      <c r="M235" s="81"/>
      <c r="N235" s="81"/>
      <c r="O235" s="81"/>
      <c r="P235" s="81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</row>
    <row r="236" spans="1:39" x14ac:dyDescent="0.3">
      <c r="A236" s="18"/>
      <c r="B236" s="18"/>
      <c r="C236" s="18"/>
      <c r="D236" s="18"/>
      <c r="E236" s="18"/>
      <c r="F236" s="18"/>
      <c r="G236" s="18"/>
      <c r="H236" s="18"/>
      <c r="I236" s="75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</row>
    <row r="237" spans="1:39" x14ac:dyDescent="0.3">
      <c r="A237" s="18"/>
      <c r="B237" s="18"/>
      <c r="C237" s="18"/>
      <c r="D237" s="18"/>
      <c r="E237" s="18"/>
      <c r="F237" s="18"/>
      <c r="G237" s="18"/>
      <c r="H237" s="18"/>
      <c r="I237" s="75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</row>
    <row r="238" spans="1:39" x14ac:dyDescent="0.3">
      <c r="A238" s="18"/>
      <c r="B238" s="18"/>
      <c r="C238" s="18"/>
      <c r="D238" s="18"/>
      <c r="E238" s="18"/>
      <c r="F238" s="18"/>
      <c r="G238" s="18"/>
      <c r="H238" s="18"/>
      <c r="I238" s="75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</row>
    <row r="239" spans="1:39" ht="12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75"/>
      <c r="J239" s="18"/>
      <c r="K239" s="96"/>
      <c r="L239" s="96"/>
      <c r="M239" s="96"/>
      <c r="N239" s="96"/>
      <c r="O239" s="96"/>
      <c r="P239" s="96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</row>
    <row r="240" spans="1:39" x14ac:dyDescent="0.3">
      <c r="A240" s="18"/>
      <c r="B240" s="18"/>
      <c r="C240" s="18"/>
      <c r="D240" s="18"/>
      <c r="E240" s="18"/>
      <c r="F240" s="18"/>
      <c r="G240" s="18"/>
      <c r="H240" s="18"/>
      <c r="I240" s="75"/>
      <c r="J240" s="18"/>
      <c r="K240" s="97"/>
      <c r="L240" s="97"/>
      <c r="M240" s="98"/>
      <c r="N240" s="98"/>
      <c r="O240" s="98"/>
      <c r="P240" s="9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</row>
    <row r="241" spans="1:39" ht="15.5" x14ac:dyDescent="0.35">
      <c r="A241" s="18"/>
      <c r="B241" s="18"/>
      <c r="C241" s="18"/>
      <c r="D241" s="18"/>
      <c r="E241" s="18"/>
      <c r="F241" s="18"/>
      <c r="G241" s="18"/>
      <c r="H241" s="18"/>
      <c r="I241" s="75"/>
      <c r="J241" s="18"/>
      <c r="K241" s="99"/>
      <c r="L241" s="100"/>
      <c r="M241" s="100"/>
      <c r="N241" s="100"/>
      <c r="O241" s="99"/>
      <c r="P241" s="99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</row>
    <row r="242" spans="1:39" ht="15.5" x14ac:dyDescent="0.35">
      <c r="A242" s="18"/>
      <c r="B242" s="18"/>
      <c r="C242" s="18"/>
      <c r="D242" s="18"/>
      <c r="E242" s="18"/>
      <c r="F242" s="18"/>
      <c r="G242" s="18"/>
      <c r="H242" s="18"/>
      <c r="I242" s="75"/>
      <c r="J242" s="18"/>
      <c r="K242" s="100"/>
      <c r="L242" s="99"/>
      <c r="M242" s="99"/>
      <c r="N242" s="99"/>
      <c r="O242" s="98"/>
      <c r="P242" s="9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</row>
    <row r="243" spans="1:39" x14ac:dyDescent="0.3">
      <c r="A243" s="18"/>
      <c r="B243" s="18"/>
      <c r="C243" s="18"/>
      <c r="D243" s="18"/>
      <c r="E243" s="18"/>
      <c r="F243" s="18"/>
      <c r="G243" s="18"/>
      <c r="H243" s="18"/>
      <c r="I243" s="75"/>
      <c r="J243" s="18"/>
      <c r="K243" s="98"/>
      <c r="L243" s="101"/>
      <c r="M243" s="98"/>
      <c r="N243" s="98"/>
      <c r="O243" s="98"/>
      <c r="P243" s="9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</row>
    <row r="244" spans="1:39" x14ac:dyDescent="0.3">
      <c r="A244" s="18"/>
      <c r="B244" s="18"/>
      <c r="C244" s="18"/>
      <c r="D244" s="18"/>
      <c r="E244" s="18"/>
      <c r="F244" s="18"/>
      <c r="G244" s="18"/>
      <c r="H244" s="18"/>
      <c r="I244" s="75"/>
      <c r="J244" s="18"/>
      <c r="K244" s="98"/>
      <c r="L244" s="101"/>
      <c r="M244" s="98"/>
      <c r="N244" s="98"/>
      <c r="O244" s="98"/>
      <c r="P244" s="9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</row>
    <row r="245" spans="1:39" x14ac:dyDescent="0.3">
      <c r="A245" s="18"/>
      <c r="B245" s="18"/>
      <c r="C245" s="18"/>
      <c r="D245" s="18"/>
      <c r="E245" s="18"/>
      <c r="F245" s="18"/>
      <c r="G245" s="18"/>
      <c r="H245" s="18"/>
      <c r="I245" s="75"/>
      <c r="J245" s="18"/>
      <c r="K245" s="98"/>
      <c r="L245" s="101"/>
      <c r="M245" s="98"/>
      <c r="N245" s="98"/>
      <c r="O245" s="98"/>
      <c r="P245" s="9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</row>
    <row r="246" spans="1:39" x14ac:dyDescent="0.3">
      <c r="A246" s="18"/>
      <c r="B246" s="18"/>
      <c r="C246" s="18"/>
      <c r="D246" s="18"/>
      <c r="E246" s="18"/>
      <c r="F246" s="18"/>
      <c r="G246" s="18"/>
      <c r="H246" s="18"/>
      <c r="I246" s="75"/>
      <c r="J246" s="18"/>
      <c r="K246" s="98"/>
      <c r="L246" s="98"/>
      <c r="M246" s="98"/>
      <c r="N246" s="98"/>
      <c r="O246" s="98"/>
      <c r="P246" s="9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</row>
    <row r="247" spans="1:39" x14ac:dyDescent="0.3">
      <c r="A247" s="18"/>
      <c r="B247" s="18"/>
      <c r="C247" s="18"/>
      <c r="D247" s="18"/>
      <c r="E247" s="18"/>
      <c r="F247" s="18"/>
      <c r="G247" s="18"/>
      <c r="H247" s="18"/>
      <c r="I247" s="75"/>
      <c r="J247" s="18"/>
      <c r="K247" s="98"/>
      <c r="L247" s="98"/>
      <c r="M247" s="98"/>
      <c r="N247" s="98"/>
      <c r="O247" s="98"/>
      <c r="P247" s="9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</row>
    <row r="248" spans="1:39" x14ac:dyDescent="0.3">
      <c r="A248" s="18"/>
      <c r="B248" s="18"/>
      <c r="C248" s="18"/>
      <c r="D248" s="18"/>
      <c r="E248" s="18"/>
      <c r="F248" s="18"/>
      <c r="G248" s="18"/>
      <c r="H248" s="18"/>
      <c r="I248" s="75"/>
      <c r="J248" s="18"/>
      <c r="K248" s="98"/>
      <c r="L248" s="98"/>
      <c r="M248" s="98"/>
      <c r="N248" s="98"/>
      <c r="O248" s="98"/>
      <c r="P248" s="9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</row>
    <row r="249" spans="1:39" x14ac:dyDescent="0.3">
      <c r="A249" s="18"/>
      <c r="B249" s="18"/>
      <c r="C249" s="18"/>
      <c r="D249" s="18"/>
      <c r="E249" s="18"/>
      <c r="F249" s="18"/>
      <c r="G249" s="18"/>
      <c r="H249" s="18"/>
      <c r="I249" s="75"/>
      <c r="J249" s="18"/>
      <c r="K249" s="98"/>
      <c r="L249" s="98"/>
      <c r="M249" s="98"/>
      <c r="N249" s="98"/>
      <c r="O249" s="98"/>
      <c r="P249" s="9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</row>
    <row r="250" spans="1:39" x14ac:dyDescent="0.3">
      <c r="A250" s="18"/>
      <c r="B250" s="18"/>
      <c r="C250" s="18"/>
      <c r="D250" s="18"/>
      <c r="E250" s="18"/>
      <c r="F250" s="18"/>
      <c r="G250" s="18"/>
      <c r="H250" s="18"/>
      <c r="I250" s="75"/>
      <c r="J250" s="18"/>
      <c r="K250" s="98"/>
      <c r="L250" s="98"/>
      <c r="M250" s="98"/>
      <c r="N250" s="98"/>
      <c r="O250" s="98"/>
      <c r="P250" s="9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</row>
    <row r="251" spans="1:39" x14ac:dyDescent="0.3">
      <c r="A251" s="18"/>
      <c r="B251" s="18"/>
      <c r="C251" s="18"/>
      <c r="D251" s="18"/>
      <c r="E251" s="18"/>
      <c r="F251" s="18"/>
      <c r="G251" s="18"/>
      <c r="H251" s="18"/>
      <c r="I251" s="75"/>
      <c r="J251" s="18"/>
      <c r="K251" s="18"/>
      <c r="L251" s="91"/>
      <c r="M251" s="91"/>
      <c r="N251" s="91"/>
      <c r="O251" s="91"/>
      <c r="P251" s="91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</row>
    <row r="252" spans="1:39" x14ac:dyDescent="0.3">
      <c r="A252" s="18"/>
      <c r="B252" s="18"/>
      <c r="C252" s="18"/>
      <c r="D252" s="18"/>
      <c r="E252" s="18"/>
      <c r="F252" s="18"/>
      <c r="G252" s="18"/>
      <c r="H252" s="18"/>
      <c r="I252" s="75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</row>
    <row r="253" spans="1:39" x14ac:dyDescent="0.3">
      <c r="A253" s="18"/>
      <c r="B253" s="18"/>
      <c r="C253" s="18"/>
      <c r="D253" s="18"/>
      <c r="E253" s="18"/>
      <c r="F253" s="18"/>
      <c r="G253" s="18"/>
      <c r="H253" s="18"/>
      <c r="I253" s="75"/>
      <c r="J253" s="18"/>
      <c r="K253" s="96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</row>
    <row r="254" spans="1:39" x14ac:dyDescent="0.3">
      <c r="A254" s="18"/>
      <c r="B254" s="18"/>
      <c r="C254" s="18"/>
      <c r="D254" s="18"/>
      <c r="E254" s="18"/>
      <c r="F254" s="18"/>
      <c r="G254" s="18"/>
      <c r="H254" s="18"/>
      <c r="I254" s="75"/>
      <c r="J254" s="18"/>
      <c r="K254" s="97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</row>
    <row r="255" spans="1:39" ht="15.5" x14ac:dyDescent="0.35">
      <c r="A255" s="18"/>
      <c r="B255" s="18"/>
      <c r="C255" s="18"/>
      <c r="D255" s="18"/>
      <c r="E255" s="18"/>
      <c r="F255" s="18"/>
      <c r="G255" s="18"/>
      <c r="H255" s="18"/>
      <c r="I255" s="75"/>
      <c r="J255" s="18"/>
      <c r="K255" s="99"/>
      <c r="L255" s="100"/>
      <c r="M255" s="100"/>
      <c r="N255" s="100"/>
      <c r="O255" s="99"/>
      <c r="P255" s="99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</row>
    <row r="256" spans="1:39" ht="15.5" x14ac:dyDescent="0.35">
      <c r="A256" s="18"/>
      <c r="B256" s="18"/>
      <c r="C256" s="18"/>
      <c r="D256" s="18"/>
      <c r="E256" s="18"/>
      <c r="F256" s="18"/>
      <c r="G256" s="18"/>
      <c r="H256" s="18"/>
      <c r="I256" s="75"/>
      <c r="J256" s="18"/>
      <c r="K256" s="100"/>
      <c r="L256" s="99"/>
      <c r="M256" s="99"/>
      <c r="N256" s="99"/>
      <c r="O256" s="98"/>
      <c r="P256" s="9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</row>
    <row r="257" spans="1:39" x14ac:dyDescent="0.3">
      <c r="A257" s="18"/>
      <c r="B257" s="18"/>
      <c r="C257" s="18"/>
      <c r="D257" s="18"/>
      <c r="E257" s="18"/>
      <c r="F257" s="18"/>
      <c r="G257" s="18"/>
      <c r="H257" s="18"/>
      <c r="I257" s="75"/>
      <c r="J257" s="18"/>
      <c r="K257" s="98"/>
      <c r="L257" s="98"/>
      <c r="M257" s="98"/>
      <c r="N257" s="98"/>
      <c r="O257" s="98"/>
      <c r="P257" s="9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</row>
    <row r="258" spans="1:39" x14ac:dyDescent="0.3">
      <c r="A258" s="18"/>
      <c r="B258" s="18"/>
      <c r="C258" s="18"/>
      <c r="D258" s="18"/>
      <c r="E258" s="18"/>
      <c r="F258" s="18"/>
      <c r="G258" s="18"/>
      <c r="H258" s="18"/>
      <c r="I258" s="75"/>
      <c r="J258" s="18"/>
      <c r="K258" s="98"/>
      <c r="L258" s="98"/>
      <c r="M258" s="98"/>
      <c r="N258" s="98"/>
      <c r="O258" s="98"/>
      <c r="P258" s="9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</row>
    <row r="259" spans="1:39" x14ac:dyDescent="0.3">
      <c r="A259" s="18"/>
      <c r="B259" s="18"/>
      <c r="C259" s="18"/>
      <c r="D259" s="18"/>
      <c r="E259" s="18"/>
      <c r="F259" s="18"/>
      <c r="G259" s="18"/>
      <c r="H259" s="18"/>
      <c r="I259" s="75"/>
      <c r="J259" s="18"/>
      <c r="K259" s="98"/>
      <c r="L259" s="98"/>
      <c r="M259" s="98"/>
      <c r="N259" s="98"/>
      <c r="O259" s="98"/>
      <c r="P259" s="9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</row>
    <row r="260" spans="1:39" x14ac:dyDescent="0.3">
      <c r="A260" s="18"/>
      <c r="B260" s="18"/>
      <c r="C260" s="18"/>
      <c r="D260" s="18"/>
      <c r="E260" s="18"/>
      <c r="F260" s="18"/>
      <c r="G260" s="18"/>
      <c r="H260" s="18"/>
      <c r="I260" s="75"/>
      <c r="J260" s="18"/>
      <c r="K260" s="98"/>
      <c r="L260" s="98"/>
      <c r="M260" s="98"/>
      <c r="N260" s="98"/>
      <c r="O260" s="98"/>
      <c r="P260" s="9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</row>
    <row r="261" spans="1:39" x14ac:dyDescent="0.3">
      <c r="A261" s="18"/>
      <c r="B261" s="18"/>
      <c r="C261" s="18"/>
      <c r="D261" s="18"/>
      <c r="E261" s="18"/>
      <c r="F261" s="18"/>
      <c r="G261" s="18"/>
      <c r="H261" s="18"/>
      <c r="I261" s="75"/>
      <c r="J261" s="18"/>
      <c r="K261" s="98"/>
      <c r="L261" s="98"/>
      <c r="M261" s="98"/>
      <c r="N261" s="98"/>
      <c r="O261" s="98"/>
      <c r="P261" s="9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</row>
    <row r="262" spans="1:39" x14ac:dyDescent="0.3">
      <c r="A262" s="18"/>
      <c r="B262" s="18"/>
      <c r="C262" s="18"/>
      <c r="D262" s="18"/>
      <c r="E262" s="18"/>
      <c r="F262" s="18"/>
      <c r="G262" s="18"/>
      <c r="H262" s="18"/>
      <c r="I262" s="75"/>
      <c r="J262" s="18"/>
      <c r="K262" s="98"/>
      <c r="L262" s="98"/>
      <c r="M262" s="98"/>
      <c r="N262" s="98"/>
      <c r="O262" s="98"/>
      <c r="P262" s="9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</row>
    <row r="263" spans="1:39" x14ac:dyDescent="0.3">
      <c r="A263" s="18"/>
      <c r="B263" s="18"/>
      <c r="C263" s="18"/>
      <c r="D263" s="18"/>
      <c r="E263" s="18"/>
      <c r="F263" s="18"/>
      <c r="G263" s="18"/>
      <c r="H263" s="18"/>
      <c r="I263" s="75"/>
      <c r="J263" s="18"/>
      <c r="K263" s="98"/>
      <c r="L263" s="98"/>
      <c r="M263" s="98"/>
      <c r="N263" s="98"/>
      <c r="O263" s="98"/>
      <c r="P263" s="9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</row>
    <row r="264" spans="1:39" x14ac:dyDescent="0.3">
      <c r="A264" s="18"/>
      <c r="B264" s="18"/>
      <c r="C264" s="18"/>
      <c r="D264" s="18"/>
      <c r="E264" s="18"/>
      <c r="F264" s="18"/>
      <c r="G264" s="18"/>
      <c r="H264" s="18"/>
      <c r="I264" s="75"/>
      <c r="J264" s="18"/>
      <c r="K264" s="98"/>
      <c r="L264" s="98"/>
      <c r="M264" s="98"/>
      <c r="N264" s="98"/>
      <c r="O264" s="98"/>
      <c r="P264" s="9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</row>
    <row r="265" spans="1:39" x14ac:dyDescent="0.3">
      <c r="A265" s="18"/>
      <c r="B265" s="18"/>
      <c r="C265" s="18"/>
      <c r="D265" s="18"/>
      <c r="E265" s="18"/>
      <c r="F265" s="18"/>
      <c r="G265" s="18"/>
      <c r="H265" s="18"/>
      <c r="I265" s="75"/>
      <c r="J265" s="18"/>
      <c r="K265" s="18"/>
      <c r="L265" s="91"/>
      <c r="M265" s="91"/>
      <c r="N265" s="91"/>
      <c r="O265" s="91"/>
      <c r="P265" s="91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</row>
    <row r="266" spans="1:39" x14ac:dyDescent="0.3">
      <c r="A266" s="18"/>
      <c r="B266" s="18"/>
      <c r="C266" s="18"/>
      <c r="D266" s="18"/>
      <c r="E266" s="18"/>
      <c r="F266" s="18"/>
      <c r="G266" s="18"/>
      <c r="H266" s="18"/>
      <c r="I266" s="75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</row>
    <row r="267" spans="1:39" x14ac:dyDescent="0.3">
      <c r="A267" s="18"/>
      <c r="B267" s="18"/>
      <c r="C267" s="18"/>
      <c r="D267" s="18"/>
      <c r="E267" s="18"/>
      <c r="F267" s="18"/>
      <c r="G267" s="18"/>
      <c r="H267" s="18"/>
      <c r="I267" s="75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</row>
    <row r="268" spans="1:39" x14ac:dyDescent="0.3">
      <c r="A268" s="18"/>
      <c r="B268" s="18"/>
      <c r="C268" s="18"/>
      <c r="D268" s="18"/>
      <c r="E268" s="18"/>
      <c r="F268" s="18"/>
      <c r="G268" s="18"/>
      <c r="H268" s="18"/>
      <c r="I268" s="75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</row>
    <row r="269" spans="1:39" x14ac:dyDescent="0.3">
      <c r="A269" s="18"/>
      <c r="B269" s="18"/>
      <c r="C269" s="18"/>
      <c r="D269" s="18"/>
      <c r="E269" s="18"/>
      <c r="F269" s="18"/>
      <c r="G269" s="18"/>
      <c r="H269" s="18"/>
      <c r="I269" s="75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</row>
    <row r="270" spans="1:39" x14ac:dyDescent="0.3">
      <c r="A270" s="18"/>
      <c r="B270" s="18"/>
      <c r="C270" s="18"/>
      <c r="D270" s="18"/>
      <c r="E270" s="18"/>
      <c r="F270" s="18"/>
      <c r="G270" s="18"/>
      <c r="H270" s="18"/>
      <c r="I270" s="75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</row>
    <row r="271" spans="1:39" x14ac:dyDescent="0.3">
      <c r="A271" s="18"/>
      <c r="B271" s="18"/>
      <c r="C271" s="18"/>
      <c r="D271" s="18"/>
      <c r="E271" s="18"/>
      <c r="F271" s="18"/>
      <c r="G271" s="18"/>
      <c r="H271" s="18"/>
      <c r="I271" s="75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</row>
    <row r="272" spans="1:39" x14ac:dyDescent="0.3">
      <c r="A272" s="18"/>
      <c r="B272" s="18"/>
      <c r="C272" s="18"/>
      <c r="D272" s="18"/>
      <c r="E272" s="18"/>
      <c r="F272" s="18"/>
      <c r="G272" s="18"/>
      <c r="H272" s="18"/>
      <c r="I272" s="75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</row>
    <row r="273" spans="1:28" x14ac:dyDescent="0.3">
      <c r="A273" s="18"/>
      <c r="B273" s="18"/>
      <c r="C273" s="18"/>
      <c r="D273" s="18"/>
      <c r="E273" s="18"/>
      <c r="F273" s="18"/>
      <c r="G273" s="18"/>
      <c r="H273" s="18"/>
      <c r="I273" s="75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</row>
    <row r="274" spans="1:28" x14ac:dyDescent="0.3">
      <c r="A274" s="18"/>
      <c r="B274" s="18"/>
      <c r="C274" s="18"/>
      <c r="D274" s="18"/>
      <c r="E274" s="18"/>
      <c r="F274" s="18"/>
      <c r="G274" s="18"/>
      <c r="H274" s="18"/>
      <c r="I274" s="75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</row>
    <row r="275" spans="1:28" x14ac:dyDescent="0.3">
      <c r="A275" s="18"/>
      <c r="B275" s="18"/>
      <c r="C275" s="18"/>
      <c r="D275" s="18"/>
      <c r="E275" s="18"/>
      <c r="F275" s="18"/>
      <c r="G275" s="18"/>
      <c r="H275" s="18"/>
      <c r="I275" s="75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</row>
    <row r="276" spans="1:28" x14ac:dyDescent="0.3">
      <c r="A276" s="18"/>
      <c r="B276" s="18"/>
      <c r="C276" s="18"/>
      <c r="D276" s="18"/>
      <c r="E276" s="18"/>
      <c r="F276" s="18"/>
      <c r="G276" s="18"/>
      <c r="H276" s="18"/>
      <c r="I276" s="75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</row>
    <row r="277" spans="1:28" x14ac:dyDescent="0.3">
      <c r="A277" s="18"/>
      <c r="B277" s="18"/>
      <c r="C277" s="18"/>
      <c r="D277" s="18"/>
      <c r="E277" s="18"/>
      <c r="F277" s="18"/>
      <c r="G277" s="18"/>
      <c r="H277" s="18"/>
      <c r="I277" s="75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</row>
    <row r="278" spans="1:28" x14ac:dyDescent="0.3">
      <c r="A278" s="18"/>
      <c r="B278" s="18"/>
      <c r="C278" s="18"/>
      <c r="D278" s="18"/>
      <c r="E278" s="18"/>
      <c r="F278" s="18"/>
      <c r="G278" s="18"/>
      <c r="H278" s="18"/>
      <c r="I278" s="75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</row>
    <row r="279" spans="1:28" x14ac:dyDescent="0.3">
      <c r="A279" s="18"/>
      <c r="B279" s="18"/>
      <c r="C279" s="18"/>
      <c r="D279" s="18"/>
      <c r="E279" s="18"/>
      <c r="F279" s="18"/>
      <c r="G279" s="18"/>
      <c r="H279" s="18"/>
      <c r="I279" s="75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</row>
    <row r="280" spans="1:28" x14ac:dyDescent="0.3">
      <c r="A280" s="18"/>
      <c r="B280" s="18"/>
      <c r="C280" s="18"/>
      <c r="D280" s="18"/>
      <c r="E280" s="18"/>
      <c r="F280" s="18"/>
      <c r="G280" s="18"/>
      <c r="H280" s="18"/>
      <c r="I280" s="75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</row>
    <row r="281" spans="1:28" x14ac:dyDescent="0.3">
      <c r="A281" s="18"/>
      <c r="B281" s="18"/>
      <c r="C281" s="18"/>
      <c r="D281" s="18"/>
      <c r="E281" s="18"/>
      <c r="F281" s="18"/>
      <c r="G281" s="18"/>
      <c r="H281" s="18"/>
      <c r="I281" s="75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</row>
    <row r="282" spans="1:28" x14ac:dyDescent="0.3">
      <c r="A282" s="18"/>
      <c r="B282" s="18"/>
      <c r="C282" s="18"/>
      <c r="D282" s="18"/>
      <c r="E282" s="18"/>
      <c r="F282" s="18"/>
      <c r="G282" s="18"/>
      <c r="H282" s="18"/>
      <c r="I282" s="75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</row>
    <row r="283" spans="1:28" x14ac:dyDescent="0.3">
      <c r="A283" s="18"/>
      <c r="B283" s="18"/>
      <c r="C283" s="18"/>
      <c r="D283" s="18"/>
      <c r="E283" s="18"/>
      <c r="F283" s="18"/>
      <c r="G283" s="18"/>
      <c r="H283" s="18"/>
      <c r="I283" s="75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</row>
    <row r="284" spans="1:28" x14ac:dyDescent="0.3">
      <c r="A284" s="18"/>
      <c r="B284" s="18"/>
      <c r="C284" s="18"/>
      <c r="D284" s="18"/>
      <c r="E284" s="18"/>
      <c r="F284" s="18"/>
      <c r="G284" s="18"/>
      <c r="H284" s="18"/>
      <c r="I284" s="75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</row>
    <row r="285" spans="1:28" x14ac:dyDescent="0.3">
      <c r="A285" s="18"/>
      <c r="B285" s="18"/>
      <c r="C285" s="18"/>
      <c r="D285" s="18"/>
      <c r="E285" s="18"/>
      <c r="F285" s="18"/>
      <c r="G285" s="18"/>
      <c r="H285" s="18"/>
      <c r="I285" s="75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</row>
    <row r="286" spans="1:28" x14ac:dyDescent="0.3">
      <c r="A286" s="18"/>
      <c r="B286" s="18"/>
      <c r="C286" s="18"/>
      <c r="D286" s="18"/>
      <c r="E286" s="18"/>
      <c r="F286" s="18"/>
      <c r="G286" s="18"/>
      <c r="H286" s="18"/>
      <c r="I286" s="75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</row>
    <row r="287" spans="1:28" x14ac:dyDescent="0.3">
      <c r="A287" s="18"/>
      <c r="B287" s="18"/>
      <c r="C287" s="18"/>
      <c r="D287" s="18"/>
      <c r="E287" s="18"/>
      <c r="F287" s="18"/>
      <c r="G287" s="18"/>
      <c r="H287" s="18"/>
      <c r="I287" s="75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</row>
    <row r="288" spans="1:28" x14ac:dyDescent="0.3">
      <c r="A288" s="18"/>
      <c r="B288" s="18"/>
      <c r="C288" s="18"/>
      <c r="D288" s="18"/>
      <c r="E288" s="18"/>
      <c r="F288" s="18"/>
      <c r="G288" s="18"/>
      <c r="H288" s="18"/>
      <c r="I288" s="75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</row>
    <row r="289" spans="1:28" x14ac:dyDescent="0.3">
      <c r="A289" s="18"/>
      <c r="B289" s="18"/>
      <c r="C289" s="18"/>
      <c r="D289" s="18"/>
      <c r="E289" s="18"/>
      <c r="F289" s="18"/>
      <c r="G289" s="18"/>
      <c r="H289" s="18"/>
      <c r="I289" s="75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</row>
    <row r="290" spans="1:28" x14ac:dyDescent="0.3">
      <c r="A290" s="18"/>
      <c r="B290" s="18"/>
      <c r="C290" s="18"/>
      <c r="D290" s="18"/>
      <c r="E290" s="18"/>
      <c r="F290" s="18"/>
      <c r="G290" s="18"/>
      <c r="H290" s="18"/>
      <c r="I290" s="75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</row>
    <row r="291" spans="1:28" x14ac:dyDescent="0.3">
      <c r="A291" s="18"/>
      <c r="B291" s="18"/>
      <c r="C291" s="18"/>
      <c r="D291" s="18"/>
      <c r="E291" s="18"/>
      <c r="F291" s="18"/>
      <c r="G291" s="18"/>
      <c r="H291" s="18"/>
      <c r="I291" s="75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</row>
    <row r="292" spans="1:28" x14ac:dyDescent="0.3">
      <c r="A292" s="18"/>
      <c r="B292" s="18"/>
      <c r="C292" s="18"/>
      <c r="D292" s="18"/>
      <c r="E292" s="18"/>
      <c r="F292" s="18"/>
      <c r="G292" s="18"/>
      <c r="H292" s="18"/>
      <c r="I292" s="75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</row>
    <row r="293" spans="1:28" x14ac:dyDescent="0.3">
      <c r="A293" s="18"/>
      <c r="B293" s="18"/>
      <c r="C293" s="18"/>
      <c r="D293" s="18"/>
      <c r="E293" s="18"/>
      <c r="F293" s="18"/>
      <c r="G293" s="18"/>
      <c r="H293" s="18"/>
      <c r="I293" s="75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</row>
    <row r="294" spans="1:28" x14ac:dyDescent="0.3">
      <c r="A294" s="18"/>
      <c r="B294" s="18"/>
      <c r="C294" s="18"/>
      <c r="D294" s="18"/>
      <c r="E294" s="18"/>
      <c r="F294" s="18"/>
      <c r="G294" s="18"/>
      <c r="H294" s="18"/>
      <c r="I294" s="75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</row>
    <row r="295" spans="1:28" x14ac:dyDescent="0.3">
      <c r="A295" s="18"/>
      <c r="B295" s="18"/>
      <c r="C295" s="18"/>
      <c r="D295" s="18"/>
      <c r="E295" s="18"/>
      <c r="F295" s="18"/>
      <c r="G295" s="18"/>
      <c r="H295" s="18"/>
      <c r="I295" s="75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</row>
    <row r="296" spans="1:28" x14ac:dyDescent="0.3">
      <c r="A296" s="18"/>
      <c r="B296" s="18"/>
      <c r="C296" s="18"/>
      <c r="D296" s="18"/>
      <c r="E296" s="18"/>
      <c r="F296" s="18"/>
      <c r="G296" s="18"/>
      <c r="H296" s="18"/>
      <c r="I296" s="75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</row>
    <row r="297" spans="1:28" x14ac:dyDescent="0.3">
      <c r="A297" s="18"/>
      <c r="B297" s="18"/>
      <c r="C297" s="18"/>
      <c r="D297" s="18"/>
      <c r="E297" s="18"/>
      <c r="F297" s="18"/>
      <c r="G297" s="18"/>
      <c r="H297" s="18"/>
      <c r="I297" s="75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</row>
    <row r="298" spans="1:28" x14ac:dyDescent="0.3">
      <c r="A298" s="18"/>
      <c r="B298" s="18"/>
      <c r="C298" s="18"/>
      <c r="D298" s="18"/>
      <c r="E298" s="18"/>
      <c r="F298" s="18"/>
      <c r="G298" s="18"/>
      <c r="H298" s="18"/>
      <c r="I298" s="75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</row>
    <row r="299" spans="1:28" x14ac:dyDescent="0.3">
      <c r="A299" s="18"/>
      <c r="B299" s="18"/>
      <c r="C299" s="18"/>
      <c r="D299" s="18"/>
      <c r="E299" s="18"/>
      <c r="F299" s="18"/>
      <c r="G299" s="18"/>
      <c r="H299" s="18"/>
      <c r="I299" s="75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</row>
    <row r="300" spans="1:28" x14ac:dyDescent="0.3">
      <c r="A300" s="18"/>
      <c r="B300" s="18"/>
      <c r="C300" s="18"/>
      <c r="D300" s="18"/>
      <c r="E300" s="18"/>
      <c r="F300" s="18"/>
      <c r="G300" s="18"/>
      <c r="H300" s="18"/>
      <c r="I300" s="75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</row>
    <row r="301" spans="1:28" x14ac:dyDescent="0.3">
      <c r="A301" s="18"/>
      <c r="B301" s="18"/>
      <c r="C301" s="18"/>
      <c r="D301" s="18"/>
      <c r="E301" s="18"/>
      <c r="F301" s="18"/>
      <c r="G301" s="18"/>
      <c r="H301" s="18"/>
      <c r="I301" s="75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</row>
    <row r="302" spans="1:28" x14ac:dyDescent="0.3">
      <c r="A302" s="18"/>
      <c r="B302" s="18"/>
      <c r="C302" s="18"/>
      <c r="D302" s="18"/>
      <c r="E302" s="18"/>
      <c r="F302" s="18"/>
      <c r="G302" s="18"/>
      <c r="H302" s="18"/>
      <c r="I302" s="75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</row>
    <row r="303" spans="1:28" x14ac:dyDescent="0.3">
      <c r="A303" s="18"/>
      <c r="B303" s="18"/>
      <c r="C303" s="18"/>
      <c r="D303" s="18"/>
      <c r="E303" s="18"/>
      <c r="F303" s="18"/>
      <c r="G303" s="18"/>
      <c r="H303" s="18"/>
      <c r="I303" s="75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</row>
    <row r="304" spans="1:28" x14ac:dyDescent="0.3">
      <c r="A304" s="18"/>
      <c r="B304" s="18"/>
      <c r="C304" s="18"/>
      <c r="D304" s="18"/>
      <c r="E304" s="18"/>
      <c r="F304" s="18"/>
      <c r="G304" s="18"/>
      <c r="H304" s="18"/>
      <c r="I304" s="75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</row>
    <row r="305" spans="1:28" x14ac:dyDescent="0.3">
      <c r="A305" s="18"/>
      <c r="B305" s="18"/>
      <c r="C305" s="18"/>
      <c r="D305" s="18"/>
      <c r="E305" s="18"/>
      <c r="F305" s="18"/>
      <c r="G305" s="18"/>
      <c r="H305" s="18"/>
      <c r="I305" s="75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</row>
    <row r="306" spans="1:28" x14ac:dyDescent="0.3">
      <c r="A306" s="18"/>
      <c r="B306" s="18"/>
      <c r="C306" s="18"/>
      <c r="D306" s="18"/>
      <c r="E306" s="18"/>
      <c r="F306" s="18"/>
      <c r="G306" s="18"/>
      <c r="H306" s="18"/>
      <c r="I306" s="75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</row>
    <row r="307" spans="1:28" x14ac:dyDescent="0.3">
      <c r="A307" s="18"/>
      <c r="B307" s="18"/>
      <c r="C307" s="18"/>
      <c r="D307" s="18"/>
      <c r="E307" s="18"/>
      <c r="F307" s="18"/>
      <c r="G307" s="18"/>
      <c r="H307" s="18"/>
      <c r="I307" s="75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</row>
  </sheetData>
  <mergeCells count="50">
    <mergeCell ref="A64:P64"/>
    <mergeCell ref="U23:W23"/>
    <mergeCell ref="D23:F23"/>
    <mergeCell ref="AE23:AG23"/>
    <mergeCell ref="N23:P23"/>
    <mergeCell ref="AY23:BA23"/>
    <mergeCell ref="X23:Z23"/>
    <mergeCell ref="K23:M23"/>
    <mergeCell ref="AH44:AJ44"/>
    <mergeCell ref="AO44:AQ44"/>
    <mergeCell ref="AR44:AT44"/>
    <mergeCell ref="AY44:BA44"/>
    <mergeCell ref="BB44:BD44"/>
    <mergeCell ref="K44:M44"/>
    <mergeCell ref="N44:P44"/>
    <mergeCell ref="U44:W44"/>
    <mergeCell ref="X44:Z44"/>
    <mergeCell ref="AE44:AG44"/>
    <mergeCell ref="K90:P90"/>
    <mergeCell ref="A1:I1"/>
    <mergeCell ref="K1:S1"/>
    <mergeCell ref="U1:AC1"/>
    <mergeCell ref="AE1:AM1"/>
    <mergeCell ref="A65:B65"/>
    <mergeCell ref="A88:F88"/>
    <mergeCell ref="K88:P88"/>
    <mergeCell ref="AH23:AJ23"/>
    <mergeCell ref="U2:W2"/>
    <mergeCell ref="X2:Z2"/>
    <mergeCell ref="AE2:AG2"/>
    <mergeCell ref="AH2:AJ2"/>
    <mergeCell ref="A2:C2"/>
    <mergeCell ref="D2:F2"/>
    <mergeCell ref="A44:C44"/>
    <mergeCell ref="AO1:AW1"/>
    <mergeCell ref="AY1:BG1"/>
    <mergeCell ref="C65:F65"/>
    <mergeCell ref="K65:L65"/>
    <mergeCell ref="M65:P65"/>
    <mergeCell ref="AR2:AT2"/>
    <mergeCell ref="AY2:BA2"/>
    <mergeCell ref="BB2:BD2"/>
    <mergeCell ref="AO23:AQ23"/>
    <mergeCell ref="AO2:AQ2"/>
    <mergeCell ref="K2:M2"/>
    <mergeCell ref="N2:P2"/>
    <mergeCell ref="AR23:AT23"/>
    <mergeCell ref="A23:C23"/>
    <mergeCell ref="BB23:BD23"/>
    <mergeCell ref="D44:F44"/>
  </mergeCells>
  <printOptions horizontalCentered="1" verticalCentered="1"/>
  <pageMargins left="1.0900000000000001" right="0.2" top="0.2" bottom="0.3" header="0.23" footer="0.2"/>
  <pageSetup paperSize="9" scale="67" orientation="landscape" blackAndWhite="1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>
    <pageSetUpPr fitToPage="1"/>
  </sheetPr>
  <dimension ref="A1:AF133"/>
  <sheetViews>
    <sheetView showGridLines="0" showZeros="0" zoomScale="62" zoomScaleNormal="62" workbookViewId="0">
      <selection sqref="A1:R1"/>
    </sheetView>
  </sheetViews>
  <sheetFormatPr defaultColWidth="9.1796875" defaultRowHeight="13" x14ac:dyDescent="0.3"/>
  <cols>
    <col min="1" max="1" width="21.1796875" style="403" customWidth="1"/>
    <col min="2" max="8" width="14.6328125" style="403" bestFit="1" customWidth="1"/>
    <col min="9" max="9" width="18.54296875" style="403" bestFit="1" customWidth="1"/>
    <col min="10" max="10" width="14.6328125" style="403" bestFit="1" customWidth="1"/>
    <col min="11" max="11" width="18.54296875" style="403" bestFit="1" customWidth="1"/>
    <col min="12" max="18" width="14.6328125" style="403" bestFit="1" customWidth="1"/>
    <col min="19" max="19" width="16.7265625" style="403" bestFit="1" customWidth="1"/>
    <col min="20" max="16384" width="9.1796875" style="403"/>
  </cols>
  <sheetData>
    <row r="1" spans="1:19" ht="23.5" x14ac:dyDescent="0.55000000000000004">
      <c r="A1" s="598" t="s">
        <v>77</v>
      </c>
      <c r="B1" s="598"/>
      <c r="C1" s="598"/>
      <c r="D1" s="598"/>
      <c r="E1" s="598"/>
      <c r="F1" s="598"/>
      <c r="G1" s="598"/>
      <c r="H1" s="598"/>
      <c r="I1" s="598"/>
      <c r="J1" s="598"/>
      <c r="K1" s="598"/>
      <c r="L1" s="598"/>
      <c r="M1" s="598"/>
      <c r="N1" s="598"/>
      <c r="O1" s="598"/>
      <c r="P1" s="598"/>
      <c r="Q1" s="598"/>
      <c r="R1" s="598"/>
    </row>
    <row r="2" spans="1:19" s="407" customFormat="1" ht="26" x14ac:dyDescent="0.6">
      <c r="A2" s="404" t="s">
        <v>78</v>
      </c>
      <c r="B2" s="405"/>
      <c r="C2" s="405"/>
      <c r="D2" s="405"/>
      <c r="E2" s="405"/>
      <c r="F2" s="405"/>
      <c r="G2" s="405"/>
      <c r="H2" s="405"/>
      <c r="I2" s="406"/>
      <c r="J2" s="406"/>
      <c r="K2" s="404" t="s">
        <v>78</v>
      </c>
      <c r="L2" s="405"/>
      <c r="M2" s="405"/>
      <c r="N2" s="405"/>
      <c r="O2" s="405"/>
      <c r="P2" s="405"/>
      <c r="Q2" s="405"/>
      <c r="R2" s="405"/>
    </row>
    <row r="3" spans="1:19" s="413" customFormat="1" ht="27.75" customHeight="1" x14ac:dyDescent="0.35">
      <c r="A3" s="408" t="s">
        <v>48</v>
      </c>
      <c r="B3" s="409"/>
      <c r="C3" s="409"/>
      <c r="D3" s="410" t="s">
        <v>30</v>
      </c>
      <c r="E3" s="409"/>
      <c r="F3" s="409"/>
      <c r="G3" s="411"/>
      <c r="H3" s="411"/>
      <c r="I3" s="411"/>
      <c r="J3" s="412"/>
      <c r="K3" s="408" t="s">
        <v>48</v>
      </c>
      <c r="L3" s="409"/>
      <c r="M3" s="409"/>
      <c r="N3" s="410" t="s">
        <v>31</v>
      </c>
      <c r="O3" s="409"/>
      <c r="P3" s="409"/>
      <c r="Q3" s="411"/>
      <c r="R3" s="411"/>
      <c r="S3" s="411"/>
    </row>
    <row r="4" spans="1:19" ht="13.5" thickBot="1" x14ac:dyDescent="0.35">
      <c r="A4" s="414"/>
      <c r="B4" s="414"/>
      <c r="C4" s="414"/>
      <c r="D4" s="414"/>
      <c r="E4" s="414"/>
      <c r="F4" s="414"/>
      <c r="G4" s="414"/>
      <c r="H4" s="414"/>
      <c r="I4" s="414"/>
      <c r="J4" s="415"/>
      <c r="K4" s="414"/>
      <c r="L4" s="414"/>
      <c r="M4" s="414"/>
      <c r="N4" s="414"/>
      <c r="O4" s="414"/>
      <c r="P4" s="414"/>
      <c r="Q4" s="414"/>
      <c r="R4" s="414"/>
      <c r="S4" s="416"/>
    </row>
    <row r="5" spans="1:19" ht="25.5" customHeight="1" thickBot="1" x14ac:dyDescent="0.35">
      <c r="A5" s="127"/>
      <c r="B5" s="128" t="s">
        <v>34</v>
      </c>
      <c r="C5" s="129" t="s">
        <v>56</v>
      </c>
      <c r="D5" s="129" t="s">
        <v>57</v>
      </c>
      <c r="E5" s="129" t="s">
        <v>37</v>
      </c>
      <c r="F5" s="129" t="s">
        <v>38</v>
      </c>
      <c r="G5" s="129" t="s">
        <v>39</v>
      </c>
      <c r="H5" s="130" t="s">
        <v>40</v>
      </c>
      <c r="I5" s="131" t="s">
        <v>41</v>
      </c>
      <c r="J5" s="415"/>
      <c r="K5" s="127"/>
      <c r="L5" s="128" t="s">
        <v>34</v>
      </c>
      <c r="M5" s="129" t="s">
        <v>56</v>
      </c>
      <c r="N5" s="129" t="s">
        <v>57</v>
      </c>
      <c r="O5" s="129" t="s">
        <v>37</v>
      </c>
      <c r="P5" s="129" t="s">
        <v>38</v>
      </c>
      <c r="Q5" s="129" t="s">
        <v>39</v>
      </c>
      <c r="R5" s="130" t="s">
        <v>40</v>
      </c>
      <c r="S5" s="131" t="s">
        <v>41</v>
      </c>
    </row>
    <row r="6" spans="1:19" ht="29" thickBot="1" x14ac:dyDescent="0.35">
      <c r="A6" s="141" t="str">
        <f>BSL!AO47</f>
        <v>Act 20-21</v>
      </c>
      <c r="B6" s="142">
        <f>BSL!AP47</f>
        <v>62.318637394881399</v>
      </c>
      <c r="C6" s="143">
        <f>BSL!AQ47</f>
        <v>3.7537683237525985</v>
      </c>
      <c r="D6" s="143">
        <f>BSL!AR47</f>
        <v>2.2724633358892108</v>
      </c>
      <c r="E6" s="143">
        <f>BSL!AS47</f>
        <v>17.803202500636203</v>
      </c>
      <c r="F6" s="143">
        <f>BSL!AT47</f>
        <v>20.928880961563451</v>
      </c>
      <c r="G6" s="143">
        <f>BSL!AU47</f>
        <v>6.0262316596418088</v>
      </c>
      <c r="H6" s="143">
        <f>BSL!AV47</f>
        <v>0.6053818829227734</v>
      </c>
      <c r="I6" s="144">
        <f>BSL!AW47</f>
        <v>0</v>
      </c>
      <c r="J6" s="415"/>
      <c r="K6" s="141" t="str">
        <f>BSL!AY47</f>
        <v>Act 20-21</v>
      </c>
      <c r="L6" s="142">
        <f>BSL!AZ47</f>
        <v>61.494951488116712</v>
      </c>
      <c r="M6" s="143">
        <f>BSL!BA47</f>
        <v>4.7055199243780219</v>
      </c>
      <c r="N6" s="143">
        <f>BSL!BB47</f>
        <v>2.5995513770927552</v>
      </c>
      <c r="O6" s="143">
        <f>BSL!BC47</f>
        <v>5.8060985872957867</v>
      </c>
      <c r="P6" s="143">
        <f>BSL!BD47</f>
        <v>39.048325883245617</v>
      </c>
      <c r="Q6" s="143">
        <f>BSL!BE47</f>
        <v>7.3050713014707771</v>
      </c>
      <c r="R6" s="143">
        <f>BSL!BF47</f>
        <v>0.55244721494540594</v>
      </c>
      <c r="S6" s="144">
        <f>BSL!BG47</f>
        <v>0</v>
      </c>
    </row>
    <row r="7" spans="1:19" ht="29.5" thickTop="1" thickBot="1" x14ac:dyDescent="0.35">
      <c r="A7" s="159" t="str">
        <f>BSL!AO48</f>
        <v>APP 21-22</v>
      </c>
      <c r="B7" s="160">
        <f>BSL!AP48</f>
        <v>62.358211330362828</v>
      </c>
      <c r="C7" s="161">
        <f>BSL!AQ48</f>
        <v>3.5397835773392745</v>
      </c>
      <c r="D7" s="161">
        <f>BSL!AR48</f>
        <v>2.2667568427753024</v>
      </c>
      <c r="E7" s="161">
        <f>BSL!AS48</f>
        <v>10</v>
      </c>
      <c r="F7" s="161">
        <f>BSL!AT48</f>
        <v>10</v>
      </c>
      <c r="G7" s="161">
        <f>BSL!AU48</f>
        <v>5.8065404201145769</v>
      </c>
      <c r="H7" s="162">
        <f>BSL!AV48</f>
        <v>0.64036594137745007</v>
      </c>
      <c r="I7" s="163">
        <f>BSL!AW48</f>
        <v>0</v>
      </c>
      <c r="J7" s="417"/>
      <c r="K7" s="159" t="str">
        <f>+A7</f>
        <v>APP 21-22</v>
      </c>
      <c r="L7" s="160">
        <f>BSL!AZ48</f>
        <v>61.62531919497944</v>
      </c>
      <c r="M7" s="161">
        <f>BSL!BA48</f>
        <v>4.433888768664791</v>
      </c>
      <c r="N7" s="161">
        <f>BSL!BB48</f>
        <v>2.8563081584072711</v>
      </c>
      <c r="O7" s="161">
        <f>BSL!BC48</f>
        <v>5</v>
      </c>
      <c r="P7" s="161">
        <f>BSL!BD48</f>
        <v>40</v>
      </c>
      <c r="Q7" s="161">
        <f>BSL!BE48</f>
        <v>7.2901969270720617</v>
      </c>
      <c r="R7" s="162">
        <f>BSL!BF48</f>
        <v>0.64419932646786082</v>
      </c>
      <c r="S7" s="163">
        <f>BSL!BG48</f>
        <v>0</v>
      </c>
    </row>
    <row r="8" spans="1:19" ht="28.5" x14ac:dyDescent="0.3">
      <c r="A8" s="173">
        <f>BSL!AO49</f>
        <v>44287</v>
      </c>
      <c r="B8" s="174">
        <f>BSL!AP49</f>
        <v>62.058575761820144</v>
      </c>
      <c r="C8" s="175">
        <f>BSL!AQ49</f>
        <v>4.5230840475169183</v>
      </c>
      <c r="D8" s="175">
        <f>BSL!AR49</f>
        <v>2.5169739917536962</v>
      </c>
      <c r="E8" s="175">
        <f>BSL!AS49</f>
        <v>19.596941908205157</v>
      </c>
      <c r="F8" s="175">
        <f>BSL!AT49</f>
        <v>22.685941759386516</v>
      </c>
      <c r="G8" s="175">
        <f>BSL!AU49</f>
        <v>7.0400580392706145</v>
      </c>
      <c r="H8" s="176">
        <f>BSL!AV49</f>
        <v>0.55647296519627221</v>
      </c>
      <c r="I8" s="177">
        <f>BSL!AW49</f>
        <v>228466</v>
      </c>
      <c r="J8" s="415"/>
      <c r="K8" s="173">
        <f>BSL!AY49</f>
        <v>44287</v>
      </c>
      <c r="L8" s="174">
        <f>BSL!AZ49</f>
        <v>60.89779731793174</v>
      </c>
      <c r="M8" s="175">
        <f>BSL!BA49</f>
        <v>5.6564538360220071</v>
      </c>
      <c r="N8" s="175">
        <f>BSL!BB49</f>
        <v>2.5717407508858634</v>
      </c>
      <c r="O8" s="175">
        <f>BSL!BC49</f>
        <v>6.0978419316486381</v>
      </c>
      <c r="P8" s="175">
        <f>BSL!BD49</f>
        <v>38.947133240861618</v>
      </c>
      <c r="Q8" s="175">
        <f>BSL!BE49</f>
        <v>8.2281945869078701</v>
      </c>
      <c r="R8" s="176">
        <f>BSL!BF49</f>
        <v>0.45465601336799416</v>
      </c>
      <c r="S8" s="177">
        <f>BSL!BG49</f>
        <v>343168</v>
      </c>
    </row>
    <row r="9" spans="1:19" ht="28.5" x14ac:dyDescent="0.3">
      <c r="A9" s="178">
        <f>BSL!AO50</f>
        <v>44317</v>
      </c>
      <c r="B9" s="179">
        <f>BSL!AP50</f>
        <v>62.154821486150425</v>
      </c>
      <c r="C9" s="180">
        <f>BSL!AQ50</f>
        <v>3.5880517851384952</v>
      </c>
      <c r="D9" s="180">
        <f>BSL!AR50</f>
        <v>2.6748789074060166</v>
      </c>
      <c r="E9" s="180">
        <f>BSL!AS50</f>
        <v>16.218000724391224</v>
      </c>
      <c r="F9" s="180">
        <f>BSL!AT50</f>
        <v>22.458656872661741</v>
      </c>
      <c r="G9" s="180">
        <f>BSL!AU50</f>
        <v>6.2629306925445114</v>
      </c>
      <c r="H9" s="181">
        <f>BSL!AV50</f>
        <v>0.74549618221376057</v>
      </c>
      <c r="I9" s="182">
        <f>BSL!AW50</f>
        <v>226397</v>
      </c>
      <c r="J9" s="415"/>
      <c r="K9" s="178">
        <f>BSL!AY50</f>
        <v>44317</v>
      </c>
      <c r="L9" s="179">
        <f>BSL!AZ50</f>
        <v>61.261855581837452</v>
      </c>
      <c r="M9" s="180">
        <f>BSL!BA50</f>
        <v>4.9437789685246187</v>
      </c>
      <c r="N9" s="180">
        <f>BSL!BB50</f>
        <v>2.7660990988376315</v>
      </c>
      <c r="O9" s="180">
        <f>BSL!BC50</f>
        <v>5.0152785839706295</v>
      </c>
      <c r="P9" s="180">
        <f>BSL!BD50</f>
        <v>42.257343892847295</v>
      </c>
      <c r="Q9" s="180">
        <f>BSL!BE50</f>
        <v>7.7098780673622507</v>
      </c>
      <c r="R9" s="181">
        <f>BSL!BF50</f>
        <v>0.5595110777501292</v>
      </c>
      <c r="S9" s="182">
        <f>BSL!BG50</f>
        <v>275644</v>
      </c>
    </row>
    <row r="10" spans="1:19" ht="28.5" x14ac:dyDescent="0.3">
      <c r="A10" s="178">
        <f>BSL!AO51</f>
        <v>44348</v>
      </c>
      <c r="B10" s="179">
        <f>BSL!AP51</f>
        <v>61.850853051739762</v>
      </c>
      <c r="C10" s="180">
        <f>BSL!AQ51</f>
        <v>4.0932417103921512</v>
      </c>
      <c r="D10" s="180">
        <f>BSL!AR51</f>
        <v>2.6223729918734056</v>
      </c>
      <c r="E10" s="180">
        <f>BSL!AS51</f>
        <v>13.395874341929639</v>
      </c>
      <c r="F10" s="180">
        <f>BSL!AT51</f>
        <v>28.346640526193717</v>
      </c>
      <c r="G10" s="180">
        <f>BSL!AU51</f>
        <v>6.7156147022655563</v>
      </c>
      <c r="H10" s="181">
        <f>BSL!AV51</f>
        <v>0.64065920788786501</v>
      </c>
      <c r="I10" s="182">
        <f>BSL!AW51</f>
        <v>228509</v>
      </c>
      <c r="J10" s="415"/>
      <c r="K10" s="178">
        <f>BSL!AY51</f>
        <v>44348</v>
      </c>
      <c r="L10" s="179">
        <f>BSL!AZ51</f>
        <v>61.055054976688879</v>
      </c>
      <c r="M10" s="180">
        <f>BSL!BA51</f>
        <v>5.3941255671328889</v>
      </c>
      <c r="N10" s="180">
        <f>BSL!BB51</f>
        <v>2.6817503676585619</v>
      </c>
      <c r="O10" s="180">
        <f>BSL!BC51</f>
        <v>5.3554340874245128</v>
      </c>
      <c r="P10" s="180">
        <f>BSL!BD51</f>
        <v>43.068849807565933</v>
      </c>
      <c r="Q10" s="180">
        <f>BSL!BE51</f>
        <v>8.0758759347914513</v>
      </c>
      <c r="R10" s="181">
        <f>BSL!BF51</f>
        <v>0.49716127929961751</v>
      </c>
      <c r="S10" s="182">
        <f>BSL!BG51</f>
        <v>319590</v>
      </c>
    </row>
    <row r="11" spans="1:19" ht="28.5" x14ac:dyDescent="0.3">
      <c r="A11" s="178">
        <f>BSL!AO52</f>
        <v>44378</v>
      </c>
      <c r="B11" s="179">
        <f>BSL!AP52</f>
        <v>61.576314623667237</v>
      </c>
      <c r="C11" s="180">
        <f>BSL!AQ52</f>
        <v>4.4128027649433692</v>
      </c>
      <c r="D11" s="180">
        <f>BSL!AR52</f>
        <v>2.61751361617176</v>
      </c>
      <c r="E11" s="180">
        <f>BSL!AS52</f>
        <v>12.888832876423876</v>
      </c>
      <c r="F11" s="180">
        <f>BSL!AT52</f>
        <v>29.4821227054979</v>
      </c>
      <c r="G11" s="180">
        <f>BSL!AU52</f>
        <v>7.0303163811151297</v>
      </c>
      <c r="H11" s="181">
        <f>BSL!AV52</f>
        <v>0.59316351887876673</v>
      </c>
      <c r="I11" s="182">
        <f>BSL!AW52</f>
        <v>246949</v>
      </c>
      <c r="J11" s="415"/>
      <c r="K11" s="178">
        <f>BSL!AY52</f>
        <v>44378</v>
      </c>
      <c r="L11" s="179">
        <f>BSL!AZ52</f>
        <v>60.644935299993456</v>
      </c>
      <c r="M11" s="180">
        <f>BSL!BA52</f>
        <v>5.7938050490763855</v>
      </c>
      <c r="N11" s="180">
        <f>BSL!BB52</f>
        <v>2.7718214183061036</v>
      </c>
      <c r="O11" s="180">
        <f>BSL!BC52</f>
        <v>5.3022916352439307</v>
      </c>
      <c r="P11" s="180">
        <f>BSL!BD52</f>
        <v>43.304487309009055</v>
      </c>
      <c r="Q11" s="180">
        <f>BSL!BE52</f>
        <v>8.56562646738249</v>
      </c>
      <c r="R11" s="181">
        <f>BSL!BF52</f>
        <v>0.47841123317533291</v>
      </c>
      <c r="S11" s="182">
        <f>BSL!BG52</f>
        <v>351391</v>
      </c>
    </row>
    <row r="12" spans="1:19" ht="28.5" x14ac:dyDescent="0.3">
      <c r="A12" s="178">
        <f>BSL!AO53</f>
        <v>44409</v>
      </c>
      <c r="B12" s="179">
        <f>BSL!AP53</f>
        <v>61.741034779100268</v>
      </c>
      <c r="C12" s="180">
        <f>BSL!AQ53</f>
        <v>4.0797732096025818</v>
      </c>
      <c r="D12" s="180">
        <f>BSL!AR53</f>
        <v>2.6006780714141615</v>
      </c>
      <c r="E12" s="180">
        <f>BSL!AS53</f>
        <v>12.872157030461974</v>
      </c>
      <c r="F12" s="180">
        <f>BSL!AT53</f>
        <v>29.789139197095018</v>
      </c>
      <c r="G12" s="180">
        <f>BSL!AU53</f>
        <v>6.6804512810167438</v>
      </c>
      <c r="H12" s="181">
        <f>BSL!AV53</f>
        <v>0.63745652951809506</v>
      </c>
      <c r="I12" s="182">
        <f>BSL!AW53</f>
        <v>247850</v>
      </c>
      <c r="J12" s="415"/>
      <c r="K12" s="178">
        <f>BSL!AY53</f>
        <v>44409</v>
      </c>
      <c r="L12" s="179">
        <f>BSL!AZ53</f>
        <v>60.915063898420605</v>
      </c>
      <c r="M12" s="180">
        <f>BSL!BA53</f>
        <v>5.2647875047005739</v>
      </c>
      <c r="N12" s="180">
        <f>BSL!BB53</f>
        <v>2.8319851990692864</v>
      </c>
      <c r="O12" s="180">
        <f>BSL!BC53</f>
        <v>5.0711649783773627</v>
      </c>
      <c r="P12" s="180">
        <f>BSL!BD53</f>
        <v>42.987926488906652</v>
      </c>
      <c r="Q12" s="180">
        <f>BSL!BE53</f>
        <v>8.0967727037698598</v>
      </c>
      <c r="R12" s="181">
        <f>BSL!BF53</f>
        <v>0.53791063676184414</v>
      </c>
      <c r="S12" s="182">
        <f>BSL!BG53</f>
        <v>340384</v>
      </c>
    </row>
    <row r="13" spans="1:19" ht="28.5" x14ac:dyDescent="0.3">
      <c r="A13" s="178">
        <f>BSL!AO54</f>
        <v>44440</v>
      </c>
      <c r="B13" s="179">
        <f>BSL!AP54</f>
        <v>61.258377658241976</v>
      </c>
      <c r="C13" s="180">
        <f>BSL!AQ54</f>
        <v>4.7787665848337308</v>
      </c>
      <c r="D13" s="180">
        <f>BSL!AR54</f>
        <v>2.5587872176649831</v>
      </c>
      <c r="E13" s="180">
        <f>BSL!AS54</f>
        <v>13.974188601385542</v>
      </c>
      <c r="F13" s="180">
        <f>BSL!AT54</f>
        <v>29.365294757985545</v>
      </c>
      <c r="G13" s="180">
        <f>BSL!AU54</f>
        <v>7.3375538024987144</v>
      </c>
      <c r="H13" s="181">
        <f>BSL!AV54</f>
        <v>0.53544929894373816</v>
      </c>
      <c r="I13" s="182">
        <f>BSL!AW54</f>
        <v>219553</v>
      </c>
      <c r="J13" s="415"/>
      <c r="K13" s="178">
        <f>BSL!AY54</f>
        <v>44440</v>
      </c>
      <c r="L13" s="179">
        <f>BSL!AZ54</f>
        <v>60.449305424625138</v>
      </c>
      <c r="M13" s="180">
        <f>BSL!BA54</f>
        <v>5.8416235773292389</v>
      </c>
      <c r="N13" s="180">
        <f>BSL!BB54</f>
        <v>2.9682910213667495</v>
      </c>
      <c r="O13" s="180">
        <f>BSL!BC54</f>
        <v>5.4722667148417612</v>
      </c>
      <c r="P13" s="180">
        <f>BSL!BD54</f>
        <v>41.922018952520155</v>
      </c>
      <c r="Q13" s="180">
        <f>BSL!BE54</f>
        <v>8.8099145986959879</v>
      </c>
      <c r="R13" s="181">
        <f>BSL!BF54</f>
        <v>0.50812774600650279</v>
      </c>
      <c r="S13" s="182">
        <f>BSL!BG54</f>
        <v>304445</v>
      </c>
    </row>
    <row r="14" spans="1:19" ht="28.5" x14ac:dyDescent="0.3">
      <c r="A14" s="178">
        <f>BSL!AO55</f>
        <v>44470</v>
      </c>
      <c r="B14" s="179">
        <f>BSL!AP55</f>
        <v>61.133044961210935</v>
      </c>
      <c r="C14" s="180">
        <f>BSL!AQ55</f>
        <v>4.8414242321624075</v>
      </c>
      <c r="D14" s="180">
        <f>BSL!AR55</f>
        <v>2.6179070362267227</v>
      </c>
      <c r="E14" s="180">
        <f>BSL!AS55</f>
        <v>15.663628630038245</v>
      </c>
      <c r="F14" s="180">
        <f>BSL!AT55</f>
        <v>26.400443161671788</v>
      </c>
      <c r="G14" s="180">
        <f>BSL!AU55</f>
        <v>7.4593312683891302</v>
      </c>
      <c r="H14" s="181">
        <f>BSL!AV55</f>
        <v>0.5407307665450013</v>
      </c>
      <c r="I14" s="182">
        <f>BSL!AW55</f>
        <v>235441.39</v>
      </c>
      <c r="J14" s="415"/>
      <c r="K14" s="178">
        <f>BSL!AY55</f>
        <v>44470</v>
      </c>
      <c r="L14" s="179">
        <f>BSL!AZ55</f>
        <v>60.272149823528061</v>
      </c>
      <c r="M14" s="180">
        <f>BSL!BA55</f>
        <v>5.9194717275447273</v>
      </c>
      <c r="N14" s="180">
        <f>BSL!BB55</f>
        <v>2.9241459807735013</v>
      </c>
      <c r="O14" s="180">
        <f>BSL!BC55</f>
        <v>5.5365037291578689</v>
      </c>
      <c r="P14" s="180">
        <f>BSL!BD55</f>
        <v>43.136617732783691</v>
      </c>
      <c r="Q14" s="180">
        <f>BSL!BE55</f>
        <v>8.843617708318229</v>
      </c>
      <c r="R14" s="181">
        <f>BSL!BF55</f>
        <v>0.49398765892685087</v>
      </c>
      <c r="S14" s="182">
        <f>BSL!BG55</f>
        <v>405469.56</v>
      </c>
    </row>
    <row r="15" spans="1:19" ht="28.5" x14ac:dyDescent="0.3">
      <c r="A15" s="178">
        <f>BSL!AO56</f>
        <v>44501</v>
      </c>
      <c r="B15" s="179">
        <f>BSL!AP56</f>
        <v>60.807291636495982</v>
      </c>
      <c r="C15" s="180">
        <f>BSL!AQ56</f>
        <v>5.0068809201361102</v>
      </c>
      <c r="D15" s="180">
        <f>BSL!AR56</f>
        <v>2.8340663433471494</v>
      </c>
      <c r="E15" s="180">
        <f>BSL!AS56</f>
        <v>15.120417892129899</v>
      </c>
      <c r="F15" s="180">
        <f>BSL!AT56</f>
        <v>26.979678577371114</v>
      </c>
      <c r="G15" s="180">
        <f>BSL!AU56</f>
        <v>7.84094726348326</v>
      </c>
      <c r="H15" s="181">
        <f>BSL!AV56</f>
        <v>0.56603430130511401</v>
      </c>
      <c r="I15" s="182">
        <f>BSL!AW56</f>
        <v>208604.79</v>
      </c>
      <c r="J15" s="415"/>
      <c r="K15" s="178">
        <f>BSL!AY56</f>
        <v>44501</v>
      </c>
      <c r="L15" s="179">
        <f>BSL!AZ56</f>
        <v>60.271191763282573</v>
      </c>
      <c r="M15" s="180">
        <f>BSL!BA56</f>
        <v>5.9491460700661261</v>
      </c>
      <c r="N15" s="180">
        <f>BSL!BB56</f>
        <v>2.9688554729728693</v>
      </c>
      <c r="O15" s="180">
        <f>BSL!BC56</f>
        <v>4.9312324225660698</v>
      </c>
      <c r="P15" s="180">
        <f>BSL!BD56</f>
        <v>42.556329411013365</v>
      </c>
      <c r="Q15" s="180">
        <f>BSL!BE56</f>
        <v>8.9180015430389954</v>
      </c>
      <c r="R15" s="181">
        <f>BSL!BF56</f>
        <v>0.49903892726908111</v>
      </c>
      <c r="S15" s="182">
        <f>BSL!BG56</f>
        <v>388324.6</v>
      </c>
    </row>
    <row r="16" spans="1:19" ht="28.5" x14ac:dyDescent="0.3">
      <c r="A16" s="178">
        <f>BSL!AO57</f>
        <v>44531</v>
      </c>
      <c r="B16" s="179">
        <f>BSL!AP57</f>
        <v>60.075693096864981</v>
      </c>
      <c r="C16" s="180">
        <f>BSL!AQ57</f>
        <v>6.138758785297072</v>
      </c>
      <c r="D16" s="180">
        <f>BSL!AR57</f>
        <v>2.7979142443274916</v>
      </c>
      <c r="E16" s="180">
        <f>BSL!AS57</f>
        <v>17.010813195930687</v>
      </c>
      <c r="F16" s="180">
        <f>BSL!AT57</f>
        <v>26.015848367754877</v>
      </c>
      <c r="G16" s="180">
        <f>BSL!AU57</f>
        <v>8.9366730296245631</v>
      </c>
      <c r="H16" s="181">
        <f>BSL!AV57</f>
        <v>0.45577849565107037</v>
      </c>
      <c r="I16" s="182">
        <f>BSL!AW57</f>
        <v>221961.75999999998</v>
      </c>
      <c r="J16" s="415"/>
      <c r="K16" s="178">
        <f>BSL!AY57</f>
        <v>44531</v>
      </c>
      <c r="L16" s="179">
        <f>BSL!AZ57</f>
        <v>59.686694456336554</v>
      </c>
      <c r="M16" s="180">
        <f>BSL!BA57</f>
        <v>6.9615289851906876</v>
      </c>
      <c r="N16" s="180">
        <f>BSL!BB57</f>
        <v>2.8470240239977871</v>
      </c>
      <c r="O16" s="180">
        <f>BSL!BC57</f>
        <v>5.3161108557948538</v>
      </c>
      <c r="P16" s="180">
        <f>BSL!BD57</f>
        <v>41.275118168712595</v>
      </c>
      <c r="Q16" s="180">
        <f>BSL!BE57</f>
        <v>9.8085530091884756</v>
      </c>
      <c r="R16" s="181">
        <f>BSL!BF57</f>
        <v>0.40896533362919013</v>
      </c>
      <c r="S16" s="182">
        <f>BSL!BG57</f>
        <v>343365</v>
      </c>
    </row>
    <row r="17" spans="1:19" ht="28.5" x14ac:dyDescent="0.3">
      <c r="A17" s="178">
        <f>BSL!AO58</f>
        <v>44562</v>
      </c>
      <c r="B17" s="179">
        <f>BSL!AP58</f>
        <v>60.705618327056868</v>
      </c>
      <c r="C17" s="180">
        <f>BSL!AQ58</f>
        <v>5.0952150158790683</v>
      </c>
      <c r="D17" s="180">
        <f>BSL!AR58</f>
        <v>2.8806526213672026</v>
      </c>
      <c r="E17" s="180">
        <f>BSL!AS58</f>
        <v>14.267307539530263</v>
      </c>
      <c r="F17" s="180">
        <f>BSL!AT58</f>
        <v>28.15018753542542</v>
      </c>
      <c r="G17" s="180">
        <f>BSL!AU58</f>
        <v>7.9758676372462709</v>
      </c>
      <c r="H17" s="181">
        <f>BSL!AV58</f>
        <v>0.56536429029780777</v>
      </c>
      <c r="I17" s="182">
        <f>BSL!AW58</f>
        <v>229972.55</v>
      </c>
      <c r="J17" s="415"/>
      <c r="K17" s="178">
        <f>BSL!AY58</f>
        <v>44562</v>
      </c>
      <c r="L17" s="179">
        <f>BSL!AZ58</f>
        <v>59.926972031235259</v>
      </c>
      <c r="M17" s="180">
        <f>BSL!BA58</f>
        <v>6.6587857477365615</v>
      </c>
      <c r="N17" s="180">
        <f>BSL!BB58</f>
        <v>2.8947607254687915</v>
      </c>
      <c r="O17" s="180">
        <f>BSL!BC58</f>
        <v>5.1120276735306955</v>
      </c>
      <c r="P17" s="180">
        <f>BSL!BD58</f>
        <v>42.4941338386909</v>
      </c>
      <c r="Q17" s="180">
        <f>BSL!BE58</f>
        <v>9.553546473205353</v>
      </c>
      <c r="R17" s="181">
        <f>BSL!BF58</f>
        <v>0.43472801725941873</v>
      </c>
      <c r="S17" s="182">
        <f>BSL!BG58</f>
        <v>359375.9</v>
      </c>
    </row>
    <row r="18" spans="1:19" ht="28.5" x14ac:dyDescent="0.3">
      <c r="A18" s="178">
        <f>BSL!AO59</f>
        <v>44593</v>
      </c>
      <c r="B18" s="179">
        <f>BSL!AP59</f>
        <v>60.8145612043825</v>
      </c>
      <c r="C18" s="180">
        <f>BSL!AQ59</f>
        <v>4.9012886808132423</v>
      </c>
      <c r="D18" s="180">
        <f>BSL!AR59</f>
        <v>2.890543250803955</v>
      </c>
      <c r="E18" s="180">
        <f>BSL!AS59</f>
        <v>13.712542769773718</v>
      </c>
      <c r="F18" s="180">
        <f>BSL!AT59</f>
        <v>28.004708272661937</v>
      </c>
      <c r="G18" s="180">
        <f>BSL!AU59</f>
        <v>7.7918319316171978</v>
      </c>
      <c r="H18" s="181">
        <f>BSL!AV59</f>
        <v>0.58975168349486895</v>
      </c>
      <c r="I18" s="182">
        <f>BSL!AW59</f>
        <v>245722.6</v>
      </c>
      <c r="J18" s="415"/>
      <c r="K18" s="178">
        <f>BSL!AY59</f>
        <v>44593</v>
      </c>
      <c r="L18" s="179">
        <f>BSL!AZ59</f>
        <v>60.359511822770195</v>
      </c>
      <c r="M18" s="180">
        <f>BSL!BA59</f>
        <v>6.0524706135882766</v>
      </c>
      <c r="N18" s="180">
        <f>BSL!BB59</f>
        <v>2.9048153118442479</v>
      </c>
      <c r="O18" s="180">
        <f>BSL!BC59</f>
        <v>5.0989797110408732</v>
      </c>
      <c r="P18" s="180">
        <f>BSL!BD59</f>
        <v>43.477711125042454</v>
      </c>
      <c r="Q18" s="180">
        <f>BSL!BE59</f>
        <v>8.9572859254325241</v>
      </c>
      <c r="R18" s="181">
        <f>BSL!BF59</f>
        <v>0.47993877166833443</v>
      </c>
      <c r="S18" s="182">
        <f>BSL!BG59</f>
        <v>275637.59999999998</v>
      </c>
    </row>
    <row r="19" spans="1:19" ht="29" thickBot="1" x14ac:dyDescent="0.35">
      <c r="A19" s="186">
        <f>BSL!AO60</f>
        <v>44621</v>
      </c>
      <c r="B19" s="187">
        <f>BSL!AP60</f>
        <v>61.57762254831578</v>
      </c>
      <c r="C19" s="188">
        <f>BSL!AQ60</f>
        <v>4.6533482050786716</v>
      </c>
      <c r="D19" s="188">
        <f>BSL!AR60</f>
        <v>2.7259402223713169</v>
      </c>
      <c r="E19" s="188">
        <f>BSL!AS60</f>
        <v>12.800573784828732</v>
      </c>
      <c r="F19" s="188">
        <f>BSL!AT60</f>
        <v>28.774393778406647</v>
      </c>
      <c r="G19" s="188">
        <f>BSL!AU60</f>
        <v>7.379288427449989</v>
      </c>
      <c r="H19" s="189">
        <f>BSL!AV60</f>
        <v>0.58580190053179804</v>
      </c>
      <c r="I19" s="190">
        <f>BSL!AW60</f>
        <v>268137.09999999998</v>
      </c>
      <c r="J19" s="415"/>
      <c r="K19" s="186">
        <f>BSL!AY60</f>
        <v>44621</v>
      </c>
      <c r="L19" s="187">
        <f>BSL!AZ60</f>
        <v>60.864607332239757</v>
      </c>
      <c r="M19" s="188">
        <f>BSL!BA60</f>
        <v>5.8950294093927473</v>
      </c>
      <c r="N19" s="188">
        <f>BSL!BB60</f>
        <v>2.8759540665715049</v>
      </c>
      <c r="O19" s="188">
        <f>BSL!BC60</f>
        <v>5.1302807566301212</v>
      </c>
      <c r="P19" s="188">
        <f>BSL!BD60</f>
        <v>42.846574031315896</v>
      </c>
      <c r="Q19" s="188">
        <f>BSL!BE60</f>
        <v>8.7709834759642522</v>
      </c>
      <c r="R19" s="189">
        <f>BSL!BF60</f>
        <v>0.4878608513791553</v>
      </c>
      <c r="S19" s="190">
        <f>BSL!BG60</f>
        <v>375713.30000000005</v>
      </c>
    </row>
    <row r="20" spans="1:19" ht="29" thickBot="1" x14ac:dyDescent="0.35">
      <c r="A20" s="200" t="str">
        <f>BSL!AO61</f>
        <v>CUMML</v>
      </c>
      <c r="B20" s="201">
        <f>BSL!AP61</f>
        <v>61.315220987200291</v>
      </c>
      <c r="C20" s="202">
        <f>BSL!AQ61</f>
        <v>4.6625084143490225</v>
      </c>
      <c r="D20" s="202">
        <f>BSL!AR61</f>
        <v>2.6979330951289842</v>
      </c>
      <c r="E20" s="202">
        <f>BSL!AS61</f>
        <v>14.719331426862228</v>
      </c>
      <c r="F20" s="202">
        <f>BSL!AT61</f>
        <v>27.357332779842871</v>
      </c>
      <c r="G20" s="202">
        <f>BSL!AU61</f>
        <v>7.3604415094780062</v>
      </c>
      <c r="H20" s="203">
        <f>BSL!AV61</f>
        <v>0.57864412358506567</v>
      </c>
      <c r="I20" s="204">
        <f>BSL!AW61</f>
        <v>2807564.1900000004</v>
      </c>
      <c r="J20" s="418"/>
      <c r="K20" s="200" t="str">
        <f>BSL!AY61</f>
        <v>CUMML</v>
      </c>
      <c r="L20" s="201">
        <f>BSL!AZ61</f>
        <v>60.530835318640754</v>
      </c>
      <c r="M20" s="202">
        <f>BSL!BA61</f>
        <v>5.8927942280362382</v>
      </c>
      <c r="N20" s="202">
        <f>BSL!BB61</f>
        <v>2.8254988235221963</v>
      </c>
      <c r="O20" s="202">
        <f>BSL!BC61</f>
        <v>5.3026790796998231</v>
      </c>
      <c r="P20" s="202">
        <f>BSL!BD61</f>
        <v>42.414854197124455</v>
      </c>
      <c r="Q20" s="202">
        <f>BSL!BE61</f>
        <v>8.7182930515584349</v>
      </c>
      <c r="R20" s="203">
        <f>BSL!BF61</f>
        <v>0.4794837074200346</v>
      </c>
      <c r="S20" s="204">
        <f>BSL!BG61</f>
        <v>4082507.96</v>
      </c>
    </row>
    <row r="21" spans="1:19" ht="15.75" hidden="1" customHeight="1" x14ac:dyDescent="0.3">
      <c r="A21" s="415"/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5"/>
    </row>
    <row r="22" spans="1:19" s="423" customFormat="1" ht="21" hidden="1" x14ac:dyDescent="0.5">
      <c r="A22" s="419"/>
      <c r="B22" s="420"/>
      <c r="C22" s="420"/>
      <c r="D22" s="420"/>
      <c r="E22" s="420"/>
      <c r="F22" s="420"/>
      <c r="G22" s="420"/>
      <c r="H22" s="420"/>
      <c r="I22" s="421"/>
      <c r="J22" s="422"/>
      <c r="K22" s="419"/>
      <c r="L22" s="420"/>
      <c r="M22" s="420"/>
      <c r="N22" s="420"/>
      <c r="O22" s="420"/>
      <c r="P22" s="420"/>
      <c r="Q22" s="420"/>
      <c r="R22" s="420"/>
    </row>
    <row r="23" spans="1:19" s="423" customFormat="1" ht="21" hidden="1" x14ac:dyDescent="0.5">
      <c r="A23" s="424"/>
      <c r="B23" s="425"/>
      <c r="C23" s="425"/>
      <c r="D23" s="425"/>
      <c r="E23" s="425"/>
      <c r="F23" s="425"/>
      <c r="G23" s="425"/>
      <c r="H23" s="425"/>
      <c r="I23" s="420"/>
      <c r="J23" s="421"/>
      <c r="K23" s="424"/>
      <c r="L23" s="425"/>
      <c r="M23" s="425"/>
      <c r="N23" s="425"/>
      <c r="O23" s="425"/>
      <c r="P23" s="425"/>
      <c r="Q23" s="425"/>
      <c r="R23" s="425"/>
    </row>
    <row r="24" spans="1:19" x14ac:dyDescent="0.3">
      <c r="A24" s="415"/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  <c r="Q24" s="426"/>
      <c r="R24" s="426"/>
      <c r="S24" s="427"/>
    </row>
    <row r="25" spans="1:19" s="407" customFormat="1" ht="26" x14ac:dyDescent="0.6">
      <c r="A25" s="404" t="s">
        <v>79</v>
      </c>
      <c r="B25" s="405"/>
      <c r="C25" s="405"/>
      <c r="D25" s="405"/>
      <c r="E25" s="405"/>
      <c r="F25" s="405"/>
      <c r="G25" s="405"/>
      <c r="H25" s="405"/>
      <c r="I25" s="406"/>
      <c r="J25" s="406"/>
      <c r="K25" s="404" t="s">
        <v>79</v>
      </c>
      <c r="L25" s="405"/>
      <c r="M25" s="405"/>
      <c r="N25" s="405"/>
      <c r="O25" s="405"/>
      <c r="P25" s="405"/>
      <c r="Q25" s="405"/>
      <c r="R25" s="405"/>
    </row>
    <row r="26" spans="1:19" s="413" customFormat="1" ht="27.75" customHeight="1" x14ac:dyDescent="0.35">
      <c r="A26" s="408" t="s">
        <v>48</v>
      </c>
      <c r="B26" s="409"/>
      <c r="C26" s="409"/>
      <c r="D26" s="410" t="s">
        <v>30</v>
      </c>
      <c r="E26" s="409"/>
      <c r="F26" s="409"/>
      <c r="G26" s="411"/>
      <c r="H26" s="411"/>
      <c r="I26" s="411"/>
      <c r="J26" s="412"/>
      <c r="K26" s="408" t="s">
        <v>48</v>
      </c>
      <c r="L26" s="409"/>
      <c r="M26" s="409"/>
      <c r="N26" s="410" t="s">
        <v>31</v>
      </c>
      <c r="O26" s="409"/>
      <c r="P26" s="409"/>
      <c r="Q26" s="411"/>
      <c r="R26" s="411"/>
      <c r="S26" s="411"/>
    </row>
    <row r="27" spans="1:19" ht="21.5" thickBot="1" x14ac:dyDescent="0.55000000000000004">
      <c r="A27" s="428"/>
      <c r="B27" s="429"/>
      <c r="C27" s="429"/>
      <c r="D27" s="430"/>
      <c r="E27" s="429"/>
      <c r="F27" s="429"/>
      <c r="G27" s="430"/>
      <c r="H27" s="430"/>
      <c r="I27" s="430"/>
      <c r="J27" s="415"/>
      <c r="K27" s="428"/>
      <c r="L27" s="429"/>
      <c r="M27" s="429"/>
      <c r="N27" s="430"/>
      <c r="O27" s="429"/>
      <c r="P27" s="429"/>
      <c r="Q27" s="430"/>
      <c r="R27" s="430"/>
      <c r="S27" s="416"/>
    </row>
    <row r="28" spans="1:19" ht="29" thickBot="1" x14ac:dyDescent="0.35">
      <c r="A28" s="127"/>
      <c r="B28" s="128" t="s">
        <v>34</v>
      </c>
      <c r="C28" s="129" t="s">
        <v>56</v>
      </c>
      <c r="D28" s="129" t="s">
        <v>57</v>
      </c>
      <c r="E28" s="129" t="s">
        <v>37</v>
      </c>
      <c r="F28" s="129" t="s">
        <v>38</v>
      </c>
      <c r="G28" s="129" t="s">
        <v>39</v>
      </c>
      <c r="H28" s="130" t="s">
        <v>40</v>
      </c>
      <c r="I28" s="131" t="s">
        <v>41</v>
      </c>
      <c r="J28" s="415"/>
      <c r="K28" s="127"/>
      <c r="L28" s="128" t="s">
        <v>34</v>
      </c>
      <c r="M28" s="129" t="s">
        <v>56</v>
      </c>
      <c r="N28" s="129" t="s">
        <v>57</v>
      </c>
      <c r="O28" s="129" t="s">
        <v>37</v>
      </c>
      <c r="P28" s="129" t="s">
        <v>38</v>
      </c>
      <c r="Q28" s="129" t="s">
        <v>39</v>
      </c>
      <c r="R28" s="130" t="s">
        <v>40</v>
      </c>
      <c r="S28" s="131" t="s">
        <v>41</v>
      </c>
    </row>
    <row r="29" spans="1:19" ht="29" thickBot="1" x14ac:dyDescent="0.35">
      <c r="A29" s="141" t="str">
        <f>DSP!AO47</f>
        <v>Act 20-21</v>
      </c>
      <c r="B29" s="142">
        <f>DSP!AP47</f>
        <v>62.043251538089812</v>
      </c>
      <c r="C29" s="143">
        <f>DSP!AQ47</f>
        <v>2.9856041879164681</v>
      </c>
      <c r="D29" s="143">
        <f>DSP!AR47</f>
        <v>2.017751000201284</v>
      </c>
      <c r="E29" s="143">
        <f>DSP!AS47</f>
        <v>27.577020301051725</v>
      </c>
      <c r="F29" s="143">
        <f>DSP!AT47</f>
        <v>11.25</v>
      </c>
      <c r="G29" s="143">
        <f>DSP!AU47</f>
        <v>5.0033551881177516</v>
      </c>
      <c r="H29" s="143">
        <f>DSP!AV47</f>
        <v>0.67582669141732099</v>
      </c>
      <c r="I29" s="144">
        <f>DSP!AW47</f>
        <v>0</v>
      </c>
      <c r="J29" s="415"/>
      <c r="K29" s="141" t="str">
        <f>DSP!AY47</f>
        <v>Act 20-21</v>
      </c>
      <c r="L29" s="142">
        <f>DSP!AZ47</f>
        <v>62.021920805798295</v>
      </c>
      <c r="M29" s="143">
        <f>DSP!BA47</f>
        <v>3.5073847611649476</v>
      </c>
      <c r="N29" s="143">
        <f>DSP!BB47</f>
        <v>2.5535585882195715</v>
      </c>
      <c r="O29" s="143">
        <f>DSP!BC47</f>
        <v>9.6980857000595382</v>
      </c>
      <c r="P29" s="143">
        <f>DSP!BD47</f>
        <v>39.894087729775805</v>
      </c>
      <c r="Q29" s="143">
        <f>DSP!BE47</f>
        <v>6.0609433493845195</v>
      </c>
      <c r="R29" s="143">
        <f>DSP!BF47</f>
        <v>0.72805202796496982</v>
      </c>
      <c r="S29" s="144">
        <f>DSP!BG47</f>
        <v>0</v>
      </c>
    </row>
    <row r="30" spans="1:19" ht="29.5" thickTop="1" thickBot="1" x14ac:dyDescent="0.35">
      <c r="A30" s="159" t="str">
        <f>+A7</f>
        <v>APP 21-22</v>
      </c>
      <c r="B30" s="160">
        <f>DSP!AP48</f>
        <v>62.5</v>
      </c>
      <c r="C30" s="161">
        <f>DSP!AQ48</f>
        <v>3</v>
      </c>
      <c r="D30" s="161">
        <f>DSP!AR48</f>
        <v>2.2000000000000002</v>
      </c>
      <c r="E30" s="161">
        <f>DSP!AS48</f>
        <v>10</v>
      </c>
      <c r="F30" s="161">
        <f>DSP!AT48</f>
        <v>10</v>
      </c>
      <c r="G30" s="161">
        <f>DSP!AU48</f>
        <v>5.2</v>
      </c>
      <c r="H30" s="162">
        <f>DSP!AV48</f>
        <v>0.73333333333333339</v>
      </c>
      <c r="I30" s="163">
        <f>DSP!AW48</f>
        <v>0</v>
      </c>
      <c r="J30" s="417"/>
      <c r="K30" s="159" t="str">
        <f>+A30</f>
        <v>APP 21-22</v>
      </c>
      <c r="L30" s="160">
        <f>DSP!AZ48</f>
        <v>62.016855631141347</v>
      </c>
      <c r="M30" s="161">
        <f>DSP!BA48</f>
        <v>3.6133786848072562</v>
      </c>
      <c r="N30" s="161">
        <f>DSP!BB48</f>
        <v>2.5377928949357522</v>
      </c>
      <c r="O30" s="161">
        <f>DSP!BC48</f>
        <v>5</v>
      </c>
      <c r="P30" s="161">
        <f>DSP!BD48</f>
        <v>40</v>
      </c>
      <c r="Q30" s="161">
        <f>DSP!BE48</f>
        <v>6.1511715797430089</v>
      </c>
      <c r="R30" s="162">
        <f>DSP!BF48</f>
        <v>0.70233239200920405</v>
      </c>
      <c r="S30" s="163">
        <f>DSP!BG48</f>
        <v>0</v>
      </c>
    </row>
    <row r="31" spans="1:19" ht="28.5" x14ac:dyDescent="0.3">
      <c r="A31" s="173">
        <f>DSP!AO49</f>
        <v>44287</v>
      </c>
      <c r="B31" s="174">
        <f t="array" ref="B31:I43">DSP!AP49:AW61</f>
        <v>60.746461520333277</v>
      </c>
      <c r="C31" s="175">
        <v>3.1188774597805518</v>
      </c>
      <c r="D31" s="175">
        <v>3.3163043854967387</v>
      </c>
      <c r="E31" s="175">
        <v>23.955180251055303</v>
      </c>
      <c r="F31" s="175">
        <v>14.913578127274366</v>
      </c>
      <c r="G31" s="175">
        <v>6.43518184527729</v>
      </c>
      <c r="H31" s="176">
        <v>1.0633006356492372</v>
      </c>
      <c r="I31" s="177">
        <v>144271</v>
      </c>
      <c r="J31" s="415"/>
      <c r="K31" s="173">
        <f>DSP!AY49</f>
        <v>44287</v>
      </c>
      <c r="L31" s="174">
        <f t="array" ref="L31:S43">DSP!AZ49:BG61</f>
        <v>60.242656926756744</v>
      </c>
      <c r="M31" s="175">
        <v>4.5003957592604564</v>
      </c>
      <c r="N31" s="175">
        <v>3.9448190574697786</v>
      </c>
      <c r="O31" s="175">
        <v>6.8713816881073981</v>
      </c>
      <c r="P31" s="175">
        <v>44.438176956062662</v>
      </c>
      <c r="Q31" s="175">
        <v>8.4452148167302354</v>
      </c>
      <c r="R31" s="176">
        <v>0.87654936776449743</v>
      </c>
      <c r="S31" s="177">
        <v>232035</v>
      </c>
    </row>
    <row r="32" spans="1:19" ht="28.5" x14ac:dyDescent="0.3">
      <c r="A32" s="178">
        <f>DSP!AO50</f>
        <v>44317</v>
      </c>
      <c r="B32" s="179">
        <v>61.842426649880252</v>
      </c>
      <c r="C32" s="180">
        <v>2.5345885519546769</v>
      </c>
      <c r="D32" s="180">
        <v>2.4452150759368192</v>
      </c>
      <c r="E32" s="180">
        <v>24.309323840326464</v>
      </c>
      <c r="F32" s="180">
        <v>14.682539813468203</v>
      </c>
      <c r="G32" s="180">
        <v>4.9798036278914957</v>
      </c>
      <c r="H32" s="181">
        <v>0.96473846772923644</v>
      </c>
      <c r="I32" s="182">
        <v>138207</v>
      </c>
      <c r="J32" s="415"/>
      <c r="K32" s="178">
        <f>DSP!AY50</f>
        <v>44317</v>
      </c>
      <c r="L32" s="179">
        <v>61.730684472961173</v>
      </c>
      <c r="M32" s="180">
        <v>3.2973850240743818</v>
      </c>
      <c r="N32" s="180">
        <v>3.0224815626121373</v>
      </c>
      <c r="O32" s="180">
        <v>6.4411758688468401</v>
      </c>
      <c r="P32" s="180">
        <v>42.804710384386738</v>
      </c>
      <c r="Q32" s="180">
        <v>6.3198665866865191</v>
      </c>
      <c r="R32" s="181">
        <v>0.91662985685470155</v>
      </c>
      <c r="S32" s="182">
        <v>186713</v>
      </c>
    </row>
    <row r="33" spans="1:32" ht="28.5" x14ac:dyDescent="0.3">
      <c r="A33" s="178">
        <f>DSP!AO51</f>
        <v>44348</v>
      </c>
      <c r="B33" s="179">
        <v>61.26</v>
      </c>
      <c r="C33" s="180">
        <v>3.99</v>
      </c>
      <c r="D33" s="180">
        <v>2.3199999999999998</v>
      </c>
      <c r="E33" s="180">
        <v>26.22</v>
      </c>
      <c r="F33" s="180">
        <v>14.85</v>
      </c>
      <c r="G33" s="180">
        <v>6.3100000000000005</v>
      </c>
      <c r="H33" s="181">
        <v>0.581453634085213</v>
      </c>
      <c r="I33" s="182">
        <v>122533</v>
      </c>
      <c r="J33" s="415"/>
      <c r="K33" s="178">
        <f>DSP!AY51</f>
        <v>44348</v>
      </c>
      <c r="L33" s="179">
        <v>62.18</v>
      </c>
      <c r="M33" s="180">
        <v>3.3</v>
      </c>
      <c r="N33" s="180">
        <v>2.4300000000000002</v>
      </c>
      <c r="O33" s="180">
        <v>8.5500000000000007</v>
      </c>
      <c r="P33" s="180">
        <v>39.54</v>
      </c>
      <c r="Q33" s="180">
        <v>5.73</v>
      </c>
      <c r="R33" s="181">
        <v>0.73636363636363644</v>
      </c>
      <c r="S33" s="182">
        <v>143730</v>
      </c>
    </row>
    <row r="34" spans="1:32" ht="28.5" x14ac:dyDescent="0.3">
      <c r="A34" s="178">
        <f>DSP!AO52</f>
        <v>44378</v>
      </c>
      <c r="B34" s="179">
        <v>62.31</v>
      </c>
      <c r="C34" s="180">
        <v>2.81</v>
      </c>
      <c r="D34" s="180">
        <v>2.0499999999999998</v>
      </c>
      <c r="E34" s="180">
        <v>15.939999999999998</v>
      </c>
      <c r="F34" s="180">
        <v>15.460000000000003</v>
      </c>
      <c r="G34" s="180">
        <v>4.8599999999999994</v>
      </c>
      <c r="H34" s="181">
        <v>0.72953736654804258</v>
      </c>
      <c r="I34" s="182">
        <v>148430</v>
      </c>
      <c r="J34" s="415"/>
      <c r="K34" s="178">
        <f>DSP!AY52</f>
        <v>44378</v>
      </c>
      <c r="L34" s="179">
        <v>62.070000000000007</v>
      </c>
      <c r="M34" s="180">
        <v>3.41</v>
      </c>
      <c r="N34" s="180">
        <v>2.57</v>
      </c>
      <c r="O34" s="180">
        <v>9.08</v>
      </c>
      <c r="P34" s="180">
        <v>22.53</v>
      </c>
      <c r="Q34" s="180">
        <v>5.98</v>
      </c>
      <c r="R34" s="181">
        <v>0.75366568914956</v>
      </c>
      <c r="S34" s="182">
        <v>168284</v>
      </c>
    </row>
    <row r="35" spans="1:32" ht="28.5" x14ac:dyDescent="0.3">
      <c r="A35" s="178">
        <f>DSP!AO53</f>
        <v>44409</v>
      </c>
      <c r="B35" s="179">
        <v>61.608812760038184</v>
      </c>
      <c r="C35" s="180">
        <v>3.9219338419217404</v>
      </c>
      <c r="D35" s="180">
        <v>1.7175764909895015</v>
      </c>
      <c r="E35" s="180">
        <v>14.167074722573968</v>
      </c>
      <c r="F35" s="180">
        <v>21.827441816945601</v>
      </c>
      <c r="G35" s="180">
        <v>5.6395103329112422</v>
      </c>
      <c r="H35" s="181">
        <v>0.43794121987225876</v>
      </c>
      <c r="I35" s="182">
        <v>160313</v>
      </c>
      <c r="J35" s="415"/>
      <c r="K35" s="178">
        <f>DSP!AY53</f>
        <v>44409</v>
      </c>
      <c r="L35" s="179">
        <v>61.872530914263614</v>
      </c>
      <c r="M35" s="180">
        <v>3.9744889632023552</v>
      </c>
      <c r="N35" s="180">
        <v>2.296947879362623</v>
      </c>
      <c r="O35" s="180">
        <v>9.0773681386556184</v>
      </c>
      <c r="P35" s="180">
        <v>37.534897493168295</v>
      </c>
      <c r="Q35" s="180">
        <v>6.2714368425649782</v>
      </c>
      <c r="R35" s="181">
        <v>0.57792282243800941</v>
      </c>
      <c r="S35" s="182">
        <v>160282</v>
      </c>
    </row>
    <row r="36" spans="1:32" ht="28.5" x14ac:dyDescent="0.3">
      <c r="A36" s="178">
        <f>DSP!AO54</f>
        <v>44440</v>
      </c>
      <c r="B36" s="179">
        <v>61.184056489023483</v>
      </c>
      <c r="C36" s="180">
        <v>4.3510793648130592</v>
      </c>
      <c r="D36" s="180">
        <v>1.7188991602982995</v>
      </c>
      <c r="E36" s="180">
        <v>29.067366474007834</v>
      </c>
      <c r="F36" s="180">
        <v>13.430611111577146</v>
      </c>
      <c r="G36" s="180">
        <v>6.0699785251113587</v>
      </c>
      <c r="H36" s="181">
        <v>0.39505120825856288</v>
      </c>
      <c r="I36" s="182">
        <v>119209</v>
      </c>
      <c r="J36" s="415"/>
      <c r="K36" s="178">
        <f>DSP!AY54</f>
        <v>44440</v>
      </c>
      <c r="L36" s="179">
        <v>61.110195988180479</v>
      </c>
      <c r="M36" s="180">
        <v>4.9734852255938167</v>
      </c>
      <c r="N36" s="180">
        <v>2.1065911467212182</v>
      </c>
      <c r="O36" s="180">
        <v>11.621387828162291</v>
      </c>
      <c r="P36" s="180">
        <v>34.442680418229344</v>
      </c>
      <c r="Q36" s="180">
        <v>7.0800763723150348</v>
      </c>
      <c r="R36" s="181">
        <v>0.42356437209878284</v>
      </c>
      <c r="S36" s="182">
        <v>175980</v>
      </c>
    </row>
    <row r="37" spans="1:32" ht="28.5" x14ac:dyDescent="0.3">
      <c r="A37" s="178">
        <f>DSP!AO55</f>
        <v>44470</v>
      </c>
      <c r="B37" s="179">
        <v>61.224502009250116</v>
      </c>
      <c r="C37" s="180">
        <v>4.7509959814997726</v>
      </c>
      <c r="D37" s="180">
        <v>2.0066625894539056</v>
      </c>
      <c r="E37" s="180">
        <v>34.191159646247357</v>
      </c>
      <c r="F37" s="180">
        <v>12.245797366881055</v>
      </c>
      <c r="G37" s="180">
        <v>6.7576585709536783</v>
      </c>
      <c r="H37" s="181">
        <v>0.42236672000308695</v>
      </c>
      <c r="I37" s="182">
        <v>119395.29</v>
      </c>
      <c r="J37" s="415"/>
      <c r="K37" s="178">
        <f>DSP!AY55</f>
        <v>44470</v>
      </c>
      <c r="L37" s="179">
        <v>61.462656470903724</v>
      </c>
      <c r="M37" s="180">
        <v>5.0187659874648993</v>
      </c>
      <c r="N37" s="180">
        <v>2.2121640244572691</v>
      </c>
      <c r="O37" s="180">
        <v>12.164516368779278</v>
      </c>
      <c r="P37" s="180">
        <v>37.527206290000478</v>
      </c>
      <c r="Q37" s="180">
        <v>7.2309300119221689</v>
      </c>
      <c r="R37" s="181">
        <v>0.44077847621954713</v>
      </c>
      <c r="S37" s="182">
        <v>231803.47999999998</v>
      </c>
    </row>
    <row r="38" spans="1:32" ht="28.5" x14ac:dyDescent="0.3">
      <c r="A38" s="178">
        <f>DSP!AO56</f>
        <v>44501</v>
      </c>
      <c r="B38" s="179">
        <v>61.397867586075471</v>
      </c>
      <c r="C38" s="180">
        <v>4.185476983997205</v>
      </c>
      <c r="D38" s="180">
        <v>2.1038571583186187</v>
      </c>
      <c r="E38" s="180">
        <v>31.706389230376494</v>
      </c>
      <c r="F38" s="180">
        <v>16.032326269735862</v>
      </c>
      <c r="G38" s="180">
        <v>6.2893341423158233</v>
      </c>
      <c r="H38" s="181">
        <v>0.50265648726836332</v>
      </c>
      <c r="I38" s="182">
        <v>136006.24</v>
      </c>
      <c r="J38" s="415"/>
      <c r="K38" s="178">
        <f>DSP!AY56</f>
        <v>44501</v>
      </c>
      <c r="L38" s="179">
        <v>61.916540788063514</v>
      </c>
      <c r="M38" s="180">
        <v>4.2547291494425652</v>
      </c>
      <c r="N38" s="180">
        <v>2.2459070636213059</v>
      </c>
      <c r="O38" s="180">
        <v>12.381407351733543</v>
      </c>
      <c r="P38" s="180">
        <v>36.507485963227403</v>
      </c>
      <c r="Q38" s="180">
        <v>6.5006362130638706</v>
      </c>
      <c r="R38" s="181">
        <v>0.52786134786407124</v>
      </c>
      <c r="S38" s="182">
        <v>179617.50000000003</v>
      </c>
    </row>
    <row r="39" spans="1:32" ht="28.5" x14ac:dyDescent="0.3">
      <c r="A39" s="178">
        <f>DSP!AO57</f>
        <v>44531</v>
      </c>
      <c r="B39" s="179">
        <v>61.416544052331865</v>
      </c>
      <c r="C39" s="180">
        <v>3.7991444965188745</v>
      </c>
      <c r="D39" s="180">
        <v>2.1608447680150404</v>
      </c>
      <c r="E39" s="180">
        <v>36.477574777961117</v>
      </c>
      <c r="F39" s="180">
        <v>16.14575962488933</v>
      </c>
      <c r="G39" s="180">
        <v>5.959989264533915</v>
      </c>
      <c r="H39" s="181">
        <v>0.56877140893035394</v>
      </c>
      <c r="I39" s="182">
        <v>137320.54</v>
      </c>
      <c r="J39" s="415"/>
      <c r="K39" s="178">
        <f>DSP!AY57</f>
        <v>44531</v>
      </c>
      <c r="L39" s="179">
        <v>61.045086568675806</v>
      </c>
      <c r="M39" s="180">
        <v>4.7223352654697797</v>
      </c>
      <c r="N39" s="180">
        <v>2.7983095537905682</v>
      </c>
      <c r="O39" s="180">
        <v>12.385865731290389</v>
      </c>
      <c r="P39" s="180">
        <v>35.888948778945462</v>
      </c>
      <c r="Q39" s="180">
        <v>7.5206448192603474</v>
      </c>
      <c r="R39" s="181">
        <v>0.59256901437136555</v>
      </c>
      <c r="S39" s="182">
        <v>235783.9</v>
      </c>
    </row>
    <row r="40" spans="1:32" ht="28.5" x14ac:dyDescent="0.3">
      <c r="A40" s="178">
        <f>DSP!AO58</f>
        <v>44562</v>
      </c>
      <c r="B40" s="179">
        <v>61.7</v>
      </c>
      <c r="C40" s="180">
        <v>3.57</v>
      </c>
      <c r="D40" s="180">
        <v>2.15</v>
      </c>
      <c r="E40" s="180">
        <v>29.5</v>
      </c>
      <c r="F40" s="180">
        <v>16.670000000000002</v>
      </c>
      <c r="G40" s="180">
        <v>5.72</v>
      </c>
      <c r="H40" s="181">
        <v>0.60224089635854339</v>
      </c>
      <c r="I40" s="182">
        <v>134306.87</v>
      </c>
      <c r="J40" s="415"/>
      <c r="K40" s="178">
        <f>DSP!AY58</f>
        <v>44562</v>
      </c>
      <c r="L40" s="179">
        <v>61.902129106558917</v>
      </c>
      <c r="M40" s="180">
        <v>3.9358315597746598</v>
      </c>
      <c r="N40" s="180">
        <v>2.6274775567768756</v>
      </c>
      <c r="O40" s="180">
        <v>8.9985933973777836</v>
      </c>
      <c r="P40" s="180">
        <v>40.967678545905684</v>
      </c>
      <c r="Q40" s="180">
        <v>6.5633091165515349</v>
      </c>
      <c r="R40" s="181">
        <v>0.6675787611518893</v>
      </c>
      <c r="S40" s="182">
        <v>242779.30000000002</v>
      </c>
      <c r="AF40" s="431"/>
    </row>
    <row r="41" spans="1:32" ht="28.5" x14ac:dyDescent="0.3">
      <c r="A41" s="178">
        <f>DSP!AO59</f>
        <v>44593</v>
      </c>
      <c r="B41" s="179">
        <v>61.761279322051202</v>
      </c>
      <c r="C41" s="180">
        <v>3.6512275059346049</v>
      </c>
      <c r="D41" s="180">
        <v>2.0730155448349796</v>
      </c>
      <c r="E41" s="180">
        <v>23.268501161395719</v>
      </c>
      <c r="F41" s="180">
        <v>21.410590652678863</v>
      </c>
      <c r="G41" s="180">
        <v>5.7242430507695845</v>
      </c>
      <c r="H41" s="181">
        <v>0.56775852544536243</v>
      </c>
      <c r="I41" s="182">
        <v>113613.3</v>
      </c>
      <c r="J41" s="415"/>
      <c r="K41" s="178">
        <f>DSP!AY59</f>
        <v>44593</v>
      </c>
      <c r="L41" s="179">
        <v>61.800098501749048</v>
      </c>
      <c r="M41" s="180">
        <v>4.1183303273364027</v>
      </c>
      <c r="N41" s="180">
        <v>2.6782486473013818</v>
      </c>
      <c r="O41" s="180">
        <v>8.9339291415539233</v>
      </c>
      <c r="P41" s="180">
        <v>40.478755549225539</v>
      </c>
      <c r="Q41" s="180">
        <v>6.796578974637784</v>
      </c>
      <c r="R41" s="181">
        <v>0.65032390178220179</v>
      </c>
      <c r="S41" s="182">
        <v>219062.1</v>
      </c>
    </row>
    <row r="42" spans="1:32" ht="29" thickBot="1" x14ac:dyDescent="0.35">
      <c r="A42" s="186">
        <f>DSP!AO60</f>
        <v>44621</v>
      </c>
      <c r="B42" s="187">
        <v>61.694302702178511</v>
      </c>
      <c r="C42" s="188">
        <v>3.6752715194658792</v>
      </c>
      <c r="D42" s="188">
        <v>1.9024823281799079</v>
      </c>
      <c r="E42" s="188">
        <v>13.548319345888732</v>
      </c>
      <c r="F42" s="188">
        <v>18.360308517779469</v>
      </c>
      <c r="G42" s="188">
        <v>5.5777538476457869</v>
      </c>
      <c r="H42" s="189">
        <v>0.51764402115694363</v>
      </c>
      <c r="I42" s="190">
        <v>141478.06999999998</v>
      </c>
      <c r="J42" s="415"/>
      <c r="K42" s="186">
        <f>DSP!AY60</f>
        <v>44621</v>
      </c>
      <c r="L42" s="187">
        <v>61.934374049884312</v>
      </c>
      <c r="M42" s="188">
        <v>4.0449814557134829</v>
      </c>
      <c r="N42" s="188">
        <v>2.3465081778071597</v>
      </c>
      <c r="O42" s="188">
        <v>7.0750501611790577</v>
      </c>
      <c r="P42" s="188">
        <v>43.700988021730083</v>
      </c>
      <c r="Q42" s="188">
        <v>6.3914896335206421</v>
      </c>
      <c r="R42" s="189">
        <v>0.58010356870554947</v>
      </c>
      <c r="S42" s="190">
        <v>219091.74</v>
      </c>
    </row>
    <row r="43" spans="1:32" ht="29" thickBot="1" x14ac:dyDescent="0.35">
      <c r="A43" s="200" t="str">
        <f>DSP!AO61</f>
        <v>CUMML</v>
      </c>
      <c r="B43" s="201">
        <v>61.517511055946699</v>
      </c>
      <c r="C43" s="202">
        <v>3.6763820938747735</v>
      </c>
      <c r="D43" s="202">
        <v>2.1709570697625495</v>
      </c>
      <c r="E43" s="202">
        <v>24.954431375988889</v>
      </c>
      <c r="F43" s="202">
        <v>16.105003654826945</v>
      </c>
      <c r="G43" s="202">
        <v>5.8473391636373231</v>
      </c>
      <c r="H43" s="203">
        <v>0.59051453693553368</v>
      </c>
      <c r="I43" s="204">
        <v>1615083.31</v>
      </c>
      <c r="J43" s="418"/>
      <c r="K43" s="200" t="str">
        <f>DSP!AY61</f>
        <v>CUMML</v>
      </c>
      <c r="L43" s="201">
        <v>61.574758781328704</v>
      </c>
      <c r="M43" s="202">
        <v>4.1631391351137079</v>
      </c>
      <c r="N43" s="202">
        <v>2.6424496359123135</v>
      </c>
      <c r="O43" s="202">
        <v>9.4530199956994991</v>
      </c>
      <c r="P43" s="202">
        <v>38.487650269479481</v>
      </c>
      <c r="Q43" s="202">
        <v>6.8055887710260219</v>
      </c>
      <c r="R43" s="203">
        <v>0.63472527584407534</v>
      </c>
      <c r="S43" s="204">
        <v>2395162.0199999996</v>
      </c>
    </row>
    <row r="44" spans="1:32" ht="15.75" hidden="1" customHeight="1" x14ac:dyDescent="0.3">
      <c r="A44" s="415"/>
      <c r="B44" s="415"/>
      <c r="C44" s="415"/>
      <c r="D44" s="415"/>
      <c r="E44" s="415"/>
      <c r="F44" s="415"/>
      <c r="G44" s="415"/>
      <c r="H44" s="415"/>
      <c r="I44" s="415"/>
      <c r="J44" s="415"/>
      <c r="K44" s="415"/>
      <c r="L44" s="415"/>
      <c r="M44" s="415"/>
      <c r="N44" s="415"/>
      <c r="O44" s="415"/>
      <c r="P44" s="415"/>
      <c r="Q44" s="415"/>
      <c r="R44" s="415"/>
    </row>
    <row r="45" spans="1:32" s="423" customFormat="1" ht="26" hidden="1" x14ac:dyDescent="0.5">
      <c r="A45" s="419"/>
      <c r="B45" s="420"/>
      <c r="C45" s="420"/>
      <c r="D45" s="420"/>
      <c r="E45" s="420"/>
      <c r="F45" s="420"/>
      <c r="G45" s="420"/>
      <c r="H45" s="420"/>
      <c r="I45" s="421"/>
      <c r="J45" s="432" t="s">
        <v>75</v>
      </c>
      <c r="K45" s="419"/>
      <c r="L45" s="420"/>
      <c r="M45" s="420"/>
      <c r="N45" s="420"/>
      <c r="O45" s="420"/>
      <c r="P45" s="420"/>
      <c r="Q45" s="420"/>
      <c r="R45" s="420"/>
    </row>
    <row r="46" spans="1:32" s="423" customFormat="1" ht="21" hidden="1" x14ac:dyDescent="0.5">
      <c r="A46" s="424"/>
      <c r="B46" s="425"/>
      <c r="C46" s="425"/>
      <c r="D46" s="425"/>
      <c r="E46" s="425"/>
      <c r="F46" s="425"/>
      <c r="G46" s="425"/>
      <c r="H46" s="425"/>
      <c r="I46" s="420"/>
      <c r="J46" s="421"/>
      <c r="K46" s="424"/>
      <c r="L46" s="425"/>
      <c r="M46" s="425"/>
      <c r="N46" s="425"/>
      <c r="O46" s="425"/>
      <c r="P46" s="425"/>
      <c r="Q46" s="425"/>
      <c r="R46" s="425"/>
    </row>
    <row r="47" spans="1:32" s="423" customFormat="1" hidden="1" x14ac:dyDescent="0.3">
      <c r="A47" s="421"/>
      <c r="B47" s="433"/>
      <c r="C47" s="433"/>
      <c r="D47" s="433"/>
      <c r="E47" s="433"/>
      <c r="F47" s="433"/>
      <c r="G47" s="433"/>
      <c r="H47" s="433"/>
      <c r="I47" s="433"/>
      <c r="J47" s="433"/>
      <c r="K47" s="433"/>
      <c r="L47" s="433"/>
      <c r="M47" s="433"/>
      <c r="N47" s="433"/>
      <c r="O47" s="433"/>
      <c r="P47" s="433"/>
      <c r="Q47" s="433"/>
      <c r="R47" s="433"/>
    </row>
    <row r="48" spans="1:32" s="423" customFormat="1" ht="12.75" hidden="1" customHeight="1" x14ac:dyDescent="0.3">
      <c r="A48" s="434"/>
      <c r="B48" s="434"/>
      <c r="C48" s="434"/>
      <c r="D48" s="434"/>
      <c r="E48" s="434"/>
      <c r="F48" s="434"/>
      <c r="G48" s="434"/>
      <c r="H48" s="434"/>
      <c r="I48" s="434"/>
      <c r="J48" s="434"/>
      <c r="K48" s="434"/>
      <c r="L48" s="434"/>
      <c r="M48" s="434"/>
      <c r="N48" s="434"/>
      <c r="O48" s="434"/>
      <c r="P48" s="434"/>
      <c r="Q48" s="434"/>
      <c r="R48" s="434"/>
      <c r="S48" s="434"/>
      <c r="T48" s="434"/>
    </row>
    <row r="49" spans="1:20" ht="12.75" customHeight="1" x14ac:dyDescent="0.3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  <c r="L49" s="432"/>
      <c r="M49" s="432"/>
      <c r="N49" s="432"/>
      <c r="O49" s="432"/>
      <c r="P49" s="432"/>
      <c r="Q49" s="432"/>
      <c r="R49" s="432"/>
      <c r="S49" s="432"/>
      <c r="T49" s="432"/>
    </row>
    <row r="50" spans="1:20" s="407" customFormat="1" ht="26" x14ac:dyDescent="0.6">
      <c r="A50" s="404" t="s">
        <v>80</v>
      </c>
      <c r="B50" s="405"/>
      <c r="C50" s="405"/>
      <c r="D50" s="405"/>
      <c r="E50" s="405"/>
      <c r="F50" s="405"/>
      <c r="G50" s="405"/>
      <c r="H50" s="405"/>
      <c r="I50" s="406"/>
      <c r="J50" s="406"/>
      <c r="K50" s="404" t="s">
        <v>80</v>
      </c>
      <c r="L50" s="405"/>
      <c r="M50" s="405"/>
      <c r="N50" s="405"/>
      <c r="O50" s="405"/>
      <c r="P50" s="405"/>
      <c r="Q50" s="405"/>
      <c r="R50" s="405"/>
    </row>
    <row r="51" spans="1:20" s="413" customFormat="1" ht="27.75" customHeight="1" x14ac:dyDescent="0.35">
      <c r="A51" s="408" t="s">
        <v>48</v>
      </c>
      <c r="B51" s="409"/>
      <c r="C51" s="409"/>
      <c r="D51" s="410" t="s">
        <v>30</v>
      </c>
      <c r="E51" s="409"/>
      <c r="F51" s="409"/>
      <c r="G51" s="411"/>
      <c r="H51" s="411"/>
      <c r="I51" s="411"/>
      <c r="J51" s="412"/>
      <c r="K51" s="408" t="s">
        <v>48</v>
      </c>
      <c r="L51" s="409"/>
      <c r="M51" s="409"/>
      <c r="N51" s="410" t="s">
        <v>31</v>
      </c>
      <c r="O51" s="409"/>
      <c r="P51" s="409"/>
      <c r="Q51" s="411"/>
      <c r="R51" s="411"/>
      <c r="S51" s="411"/>
    </row>
    <row r="52" spans="1:20" ht="21.5" thickBot="1" x14ac:dyDescent="0.55000000000000004">
      <c r="A52" s="428"/>
      <c r="B52" s="429"/>
      <c r="C52" s="429"/>
      <c r="D52" s="430"/>
      <c r="E52" s="429"/>
      <c r="F52" s="429"/>
      <c r="G52" s="430"/>
      <c r="H52" s="430"/>
      <c r="I52" s="430"/>
      <c r="J52" s="415"/>
      <c r="K52" s="428"/>
      <c r="L52" s="429"/>
      <c r="M52" s="429"/>
      <c r="N52" s="430"/>
      <c r="O52" s="429"/>
      <c r="P52" s="429"/>
      <c r="Q52" s="430"/>
      <c r="R52" s="430"/>
      <c r="S52" s="416"/>
    </row>
    <row r="53" spans="1:20" ht="29" thickBot="1" x14ac:dyDescent="0.35">
      <c r="A53" s="127"/>
      <c r="B53" s="128" t="s">
        <v>34</v>
      </c>
      <c r="C53" s="129" t="s">
        <v>56</v>
      </c>
      <c r="D53" s="129" t="s">
        <v>57</v>
      </c>
      <c r="E53" s="129" t="s">
        <v>37</v>
      </c>
      <c r="F53" s="129" t="s">
        <v>38</v>
      </c>
      <c r="G53" s="129" t="s">
        <v>39</v>
      </c>
      <c r="H53" s="130" t="s">
        <v>40</v>
      </c>
      <c r="I53" s="131" t="s">
        <v>41</v>
      </c>
      <c r="J53" s="415"/>
      <c r="K53" s="127"/>
      <c r="L53" s="128" t="s">
        <v>34</v>
      </c>
      <c r="M53" s="129" t="s">
        <v>56</v>
      </c>
      <c r="N53" s="129" t="s">
        <v>57</v>
      </c>
      <c r="O53" s="129" t="s">
        <v>37</v>
      </c>
      <c r="P53" s="129" t="s">
        <v>38</v>
      </c>
      <c r="Q53" s="129" t="s">
        <v>39</v>
      </c>
      <c r="R53" s="130" t="s">
        <v>40</v>
      </c>
      <c r="S53" s="131" t="s">
        <v>41</v>
      </c>
    </row>
    <row r="54" spans="1:20" ht="29" thickBot="1" x14ac:dyDescent="0.35">
      <c r="A54" s="141" t="str">
        <f>RSP!AO47</f>
        <v>Act 20-21</v>
      </c>
      <c r="B54" s="142">
        <f>RSP!AP47</f>
        <v>62.796078285355989</v>
      </c>
      <c r="C54" s="143">
        <f>RSP!AQ47</f>
        <v>2.7007496596933249</v>
      </c>
      <c r="D54" s="143">
        <f>RSP!AR47</f>
        <v>2.5992193763894429</v>
      </c>
      <c r="E54" s="143">
        <f>RSP!AS47</f>
        <v>6.7853205267058083</v>
      </c>
      <c r="F54" s="143">
        <f>RSP!AT47</f>
        <v>15.72</v>
      </c>
      <c r="G54" s="143">
        <f>IF(C54&gt;0,+D54+C54,"")</f>
        <v>5.2999690360827678</v>
      </c>
      <c r="H54" s="143">
        <f>IF(C54&gt;0,+D54/C54,"")</f>
        <v>0.96240662923367326</v>
      </c>
      <c r="I54" s="144">
        <f>RSP!AW47</f>
        <v>0</v>
      </c>
      <c r="J54" s="415"/>
      <c r="K54" s="141" t="str">
        <f>RSP!AY47</f>
        <v>Act 20-21</v>
      </c>
      <c r="L54" s="142">
        <f>RSP!AZ47</f>
        <v>61.888860512375857</v>
      </c>
      <c r="M54" s="143">
        <f>RSP!BA47</f>
        <v>3.4879286407420671</v>
      </c>
      <c r="N54" s="143">
        <f>RSP!BB47</f>
        <v>2.8581006097917419</v>
      </c>
      <c r="O54" s="143"/>
      <c r="P54" s="143"/>
      <c r="Q54" s="143">
        <f>IF(M54&gt;0,+N54+M54,"")</f>
        <v>6.3460292505338085</v>
      </c>
      <c r="R54" s="143">
        <f>IF(M54&gt;0,+N54/M54,"")</f>
        <v>0.81942634273150516</v>
      </c>
      <c r="S54" s="144">
        <f>RSP!BG47</f>
        <v>0</v>
      </c>
    </row>
    <row r="55" spans="1:20" ht="29.5" thickTop="1" thickBot="1" x14ac:dyDescent="0.35">
      <c r="A55" s="159" t="str">
        <f>+A30</f>
        <v>APP 21-22</v>
      </c>
      <c r="B55" s="160">
        <f>RSP!AP48</f>
        <v>62.697014925373132</v>
      </c>
      <c r="C55" s="161">
        <f>RSP!AQ48</f>
        <v>2.6779850746268656</v>
      </c>
      <c r="D55" s="161">
        <f>RSP!AR48</f>
        <v>2.4588619402985072</v>
      </c>
      <c r="E55" s="161">
        <f>RSP!AS48</f>
        <v>10</v>
      </c>
      <c r="F55" s="161">
        <f>RSP!AT48</f>
        <v>10</v>
      </c>
      <c r="G55" s="161">
        <f>IF(C55&gt;0,+D55+C55,"")</f>
        <v>5.1368470149253724</v>
      </c>
      <c r="H55" s="162">
        <f>IF(C55&gt;0,+D55/C55,"")</f>
        <v>0.91817611815521794</v>
      </c>
      <c r="I55" s="163">
        <f>RSP!AW48</f>
        <v>0</v>
      </c>
      <c r="J55" s="417"/>
      <c r="K55" s="159" t="str">
        <f>+K30</f>
        <v>APP 21-22</v>
      </c>
      <c r="L55" s="160">
        <f>RSP!AZ48</f>
        <v>62.18045064377683</v>
      </c>
      <c r="M55" s="161">
        <f>RSP!BA48</f>
        <v>3.3954506437768237</v>
      </c>
      <c r="N55" s="161">
        <f>RSP!BB48</f>
        <v>2.8984549356223175</v>
      </c>
      <c r="O55" s="161">
        <f>RSP!BC48</f>
        <v>5</v>
      </c>
      <c r="P55" s="161">
        <f>RSP!BD48</f>
        <v>40</v>
      </c>
      <c r="Q55" s="161">
        <f>IF(M55&gt;0,+N55+M55,"")</f>
        <v>6.2939055793991407</v>
      </c>
      <c r="R55" s="162">
        <f>IF(M55&gt;0,+N55/M55,"")</f>
        <v>0.85362894051621718</v>
      </c>
      <c r="S55" s="163">
        <f>RSP!BG48</f>
        <v>0</v>
      </c>
    </row>
    <row r="56" spans="1:20" ht="28.5" x14ac:dyDescent="0.3">
      <c r="A56" s="173">
        <f>RSP!AO49</f>
        <v>44287</v>
      </c>
      <c r="B56" s="174">
        <f>RSP!AP49</f>
        <v>62.998673557328402</v>
      </c>
      <c r="C56" s="175">
        <f>RSP!AQ49</f>
        <v>2.6289441634026822</v>
      </c>
      <c r="D56" s="175">
        <f>RSP!AR49</f>
        <v>2.4162558342667673</v>
      </c>
      <c r="E56" s="175">
        <f>RSP!AS49</f>
        <v>6.728469954588248</v>
      </c>
      <c r="F56" s="175">
        <f>RSP!AT49</f>
        <v>12.513243194427652</v>
      </c>
      <c r="G56" s="175">
        <f>IF(C56&gt;0,+D56+C56,"")</f>
        <v>5.0451999976694495</v>
      </c>
      <c r="H56" s="176">
        <f>IF(C56&gt;0,+D56/C56,"")</f>
        <v>0.91909743383038256</v>
      </c>
      <c r="I56" s="177">
        <f>RSP!AW49</f>
        <v>205959.9</v>
      </c>
      <c r="J56" s="415"/>
      <c r="K56" s="173">
        <f t="shared" ref="K56:K67" si="0">A56</f>
        <v>44287</v>
      </c>
      <c r="L56" s="174">
        <f>RSP!AZ49</f>
        <v>61.874834374720933</v>
      </c>
      <c r="M56" s="175">
        <f>RSP!BA49</f>
        <v>3.6906194942150279</v>
      </c>
      <c r="N56" s="175">
        <f>RSP!BB49</f>
        <v>2.7768204782912562</v>
      </c>
      <c r="O56" s="175"/>
      <c r="P56" s="175"/>
      <c r="Q56" s="175">
        <f>IF(M56&gt;0,+N56+M56,"")</f>
        <v>6.4674399725062841</v>
      </c>
      <c r="R56" s="176">
        <f>IF(M56&gt;0,+N56/M56,"")</f>
        <v>0.75239955856838303</v>
      </c>
      <c r="S56" s="177">
        <f>RSP!BG49</f>
        <v>406492.9</v>
      </c>
    </row>
    <row r="57" spans="1:20" ht="28.5" x14ac:dyDescent="0.3">
      <c r="A57" s="178">
        <f>RSP!AO50</f>
        <v>44317</v>
      </c>
      <c r="B57" s="179">
        <f>RSP!AP50</f>
        <v>62.90605160304446</v>
      </c>
      <c r="C57" s="180">
        <f>RSP!AQ50</f>
        <v>2.594740142457677</v>
      </c>
      <c r="D57" s="180">
        <f>RSP!AR50</f>
        <v>2.5505824217805175</v>
      </c>
      <c r="E57" s="180">
        <f>RSP!AS50</f>
        <v>6.2205826704372065</v>
      </c>
      <c r="F57" s="180">
        <f>RSP!AT50</f>
        <v>12.454354543748885</v>
      </c>
      <c r="G57" s="180">
        <f t="shared" ref="G57:G67" si="1">+C57+D57</f>
        <v>5.1453225642381941</v>
      </c>
      <c r="H57" s="181">
        <f>RSP!AV50</f>
        <v>0.98298183314983734</v>
      </c>
      <c r="I57" s="182">
        <f>RSP!AW50</f>
        <v>221188.5</v>
      </c>
      <c r="J57" s="415"/>
      <c r="K57" s="178">
        <f t="shared" si="0"/>
        <v>44317</v>
      </c>
      <c r="L57" s="179">
        <f>RSP!AZ50</f>
        <v>61.927023715997308</v>
      </c>
      <c r="M57" s="180">
        <f>RSP!BA50</f>
        <v>3.5525570788307714</v>
      </c>
      <c r="N57" s="180">
        <f>RSP!BB50</f>
        <v>2.7804560489030505</v>
      </c>
      <c r="O57" s="180"/>
      <c r="P57" s="180"/>
      <c r="Q57" s="180">
        <f t="shared" ref="Q57:Q67" si="2">+M57+N57</f>
        <v>6.333013127733822</v>
      </c>
      <c r="R57" s="181">
        <f>RSP!BF50</f>
        <v>0.78266330060435307</v>
      </c>
      <c r="S57" s="182">
        <f>RSP!BG50</f>
        <v>371297.9</v>
      </c>
    </row>
    <row r="58" spans="1:20" ht="28.5" x14ac:dyDescent="0.3">
      <c r="A58" s="178">
        <f>RSP!AO51</f>
        <v>44348</v>
      </c>
      <c r="B58" s="179">
        <f>RSP!AP51</f>
        <v>62.414027012429798</v>
      </c>
      <c r="C58" s="180">
        <f>RSP!AQ51</f>
        <v>3.2444371843923148</v>
      </c>
      <c r="D58" s="180">
        <f>RSP!AR51</f>
        <v>2.6053546703327828</v>
      </c>
      <c r="E58" s="180">
        <f>RSP!AS51</f>
        <v>7.7835100295731721</v>
      </c>
      <c r="F58" s="180">
        <f>RSP!AT51</f>
        <v>15.302455744107082</v>
      </c>
      <c r="G58" s="180">
        <f t="shared" si="1"/>
        <v>5.8497918547250976</v>
      </c>
      <c r="H58" s="181">
        <f>RSP!AV51</f>
        <v>0.80302207201486242</v>
      </c>
      <c r="I58" s="182">
        <f>RSP!AW51</f>
        <v>132383.5</v>
      </c>
      <c r="J58" s="415"/>
      <c r="K58" s="178">
        <f t="shared" si="0"/>
        <v>44348</v>
      </c>
      <c r="L58" s="179">
        <f>RSP!AZ51</f>
        <v>61.080783091435556</v>
      </c>
      <c r="M58" s="180">
        <f>RSP!BA51</f>
        <v>4.5202084611481057</v>
      </c>
      <c r="N58" s="180">
        <f>RSP!BB51</f>
        <v>3.0509881332375741</v>
      </c>
      <c r="O58" s="180"/>
      <c r="P58" s="180"/>
      <c r="Q58" s="180">
        <f t="shared" si="2"/>
        <v>7.5711965943856798</v>
      </c>
      <c r="R58" s="181">
        <f>RSP!BF51</f>
        <v>0.67496624535379091</v>
      </c>
      <c r="S58" s="182">
        <f>RSP!BG51</f>
        <v>294208.3</v>
      </c>
    </row>
    <row r="59" spans="1:20" ht="28.5" x14ac:dyDescent="0.3">
      <c r="A59" s="178">
        <f>RSP!AO52</f>
        <v>44378</v>
      </c>
      <c r="B59" s="179">
        <f>RSP!AP52</f>
        <v>62.444237323060669</v>
      </c>
      <c r="C59" s="180">
        <f>RSP!AQ52</f>
        <v>3.1392570457496376</v>
      </c>
      <c r="D59" s="180">
        <f>RSP!AR52</f>
        <v>2.6352770484864689</v>
      </c>
      <c r="E59" s="180">
        <f>RSP!AS52</f>
        <v>8.1629988352554808</v>
      </c>
      <c r="F59" s="180">
        <f>RSP!AT52</f>
        <v>14.462617031365362</v>
      </c>
      <c r="G59" s="180">
        <f t="shared" si="1"/>
        <v>5.7745340942361061</v>
      </c>
      <c r="H59" s="181">
        <f>RSP!AV52</f>
        <v>0.83945883057090631</v>
      </c>
      <c r="I59" s="182">
        <f>RSP!AW52</f>
        <v>251385.60000000001</v>
      </c>
      <c r="J59" s="415"/>
      <c r="K59" s="178">
        <f t="shared" si="0"/>
        <v>44378</v>
      </c>
      <c r="L59" s="179">
        <f>RSP!AZ52</f>
        <v>62.170286266188917</v>
      </c>
      <c r="M59" s="180">
        <f>RSP!BA52</f>
        <v>3.2840415703929837</v>
      </c>
      <c r="N59" s="180">
        <f>RSP!BB52</f>
        <v>2.7022717056121048</v>
      </c>
      <c r="O59" s="180"/>
      <c r="P59" s="180"/>
      <c r="Q59" s="180">
        <f t="shared" si="2"/>
        <v>5.9863132760050881</v>
      </c>
      <c r="R59" s="181">
        <f>RSP!BF52</f>
        <v>0.82284942126622906</v>
      </c>
      <c r="S59" s="182">
        <f>RSP!BG52</f>
        <v>352856.9</v>
      </c>
    </row>
    <row r="60" spans="1:20" ht="28.5" x14ac:dyDescent="0.3">
      <c r="A60" s="178">
        <f>RSP!AO53</f>
        <v>44409</v>
      </c>
      <c r="B60" s="179">
        <f>RSP!AP53</f>
        <v>61.653346534190419</v>
      </c>
      <c r="C60" s="180">
        <f>RSP!AQ53</f>
        <v>4.3656387564024302</v>
      </c>
      <c r="D60" s="180">
        <f>RSP!AR53</f>
        <v>2.5575036934283286</v>
      </c>
      <c r="E60" s="180">
        <f>RSP!AS53</f>
        <v>8.8438245627807639</v>
      </c>
      <c r="F60" s="180">
        <f>RSP!AT53</f>
        <v>14.968625025785098</v>
      </c>
      <c r="G60" s="180">
        <f t="shared" si="1"/>
        <v>6.9231424498307588</v>
      </c>
      <c r="H60" s="181">
        <f>RSP!AV53</f>
        <v>0.585825771698957</v>
      </c>
      <c r="I60" s="182">
        <f>RSP!AW53</f>
        <v>239479.4</v>
      </c>
      <c r="J60" s="415"/>
      <c r="K60" s="178">
        <f t="shared" si="0"/>
        <v>44409</v>
      </c>
      <c r="L60" s="179">
        <f>RSP!AZ53</f>
        <v>61.668358485268861</v>
      </c>
      <c r="M60" s="180">
        <f>RSP!BA53</f>
        <v>3.8845734604693027</v>
      </c>
      <c r="N60" s="180">
        <f>RSP!BB53</f>
        <v>2.7854996832126018</v>
      </c>
      <c r="O60" s="180"/>
      <c r="P60" s="180"/>
      <c r="Q60" s="180">
        <f t="shared" si="2"/>
        <v>6.6700731436819041</v>
      </c>
      <c r="R60" s="181">
        <f>RSP!BF53</f>
        <v>0.7170670632332643</v>
      </c>
      <c r="S60" s="182">
        <f>RSP!BG53</f>
        <v>437043.9</v>
      </c>
    </row>
    <row r="61" spans="1:20" ht="28.5" x14ac:dyDescent="0.3">
      <c r="A61" s="178">
        <f>RSP!AO54</f>
        <v>44440</v>
      </c>
      <c r="B61" s="179">
        <f>RSP!AP54</f>
        <v>61.668212910580998</v>
      </c>
      <c r="C61" s="180">
        <f>RSP!AQ54</f>
        <v>4.3392742799371895</v>
      </c>
      <c r="D61" s="180">
        <f>RSP!AR54</f>
        <v>2.5659436856030453</v>
      </c>
      <c r="E61" s="180">
        <f>RSP!AS54</f>
        <v>6.8109860397083191</v>
      </c>
      <c r="F61" s="180">
        <f>RSP!AT54</f>
        <v>17.327388543526425</v>
      </c>
      <c r="G61" s="180">
        <f t="shared" si="1"/>
        <v>6.9052179655402348</v>
      </c>
      <c r="H61" s="181">
        <f>RSP!AV54</f>
        <v>0.591330144182586</v>
      </c>
      <c r="I61" s="182">
        <f>RSP!AW54</f>
        <v>232445</v>
      </c>
      <c r="J61" s="415"/>
      <c r="K61" s="178">
        <f t="shared" si="0"/>
        <v>44440</v>
      </c>
      <c r="L61" s="179">
        <f>RSP!AZ54</f>
        <v>61.866480919043653</v>
      </c>
      <c r="M61" s="180">
        <f>RSP!BA54</f>
        <v>3.7716426194434169</v>
      </c>
      <c r="N61" s="180">
        <f>RSP!BB54</f>
        <v>2.5384665721267261</v>
      </c>
      <c r="O61" s="180"/>
      <c r="P61" s="180"/>
      <c r="Q61" s="180">
        <f t="shared" si="2"/>
        <v>6.3101091915701435</v>
      </c>
      <c r="R61" s="181">
        <f>RSP!BF54</f>
        <v>0.67304005926768551</v>
      </c>
      <c r="S61" s="182">
        <f>RSP!BG54</f>
        <v>388125.2</v>
      </c>
    </row>
    <row r="62" spans="1:20" ht="28.5" x14ac:dyDescent="0.3">
      <c r="A62" s="178">
        <f>RSP!AO55</f>
        <v>44470</v>
      </c>
      <c r="B62" s="179">
        <f>RSP!AP55</f>
        <v>60.693646272164244</v>
      </c>
      <c r="C62" s="180">
        <f>RSP!AQ55</f>
        <v>5.96713885903341</v>
      </c>
      <c r="D62" s="180">
        <f>RSP!AR55</f>
        <v>2.2740283092361397</v>
      </c>
      <c r="E62" s="180">
        <f>RSP!AS55</f>
        <v>8.3695546467915616</v>
      </c>
      <c r="F62" s="180">
        <f>RSP!AT55</f>
        <v>16.915604584785047</v>
      </c>
      <c r="G62" s="180">
        <f t="shared" si="1"/>
        <v>8.2411671682695502</v>
      </c>
      <c r="H62" s="181">
        <f>RSP!AV55</f>
        <v>0.38109190400246518</v>
      </c>
      <c r="I62" s="182">
        <f>RSP!AW55</f>
        <v>226935.83000000002</v>
      </c>
      <c r="J62" s="415"/>
      <c r="K62" s="178">
        <f t="shared" si="0"/>
        <v>44470</v>
      </c>
      <c r="L62" s="179">
        <f>RSP!AZ55</f>
        <v>61.892484908473357</v>
      </c>
      <c r="M62" s="180">
        <f>RSP!BA55</f>
        <v>3.6999664656733722</v>
      </c>
      <c r="N62" s="180">
        <f>RSP!BB55</f>
        <v>2.6582322217280541</v>
      </c>
      <c r="O62" s="180"/>
      <c r="P62" s="180"/>
      <c r="Q62" s="180">
        <f t="shared" si="2"/>
        <v>6.3581986874014262</v>
      </c>
      <c r="R62" s="181">
        <f>RSP!BF55</f>
        <v>0.71844765253683762</v>
      </c>
      <c r="S62" s="182">
        <f>RSP!BG55</f>
        <v>449217.31000000006</v>
      </c>
    </row>
    <row r="63" spans="1:20" ht="28.5" x14ac:dyDescent="0.3">
      <c r="A63" s="178">
        <f>RSP!AO56</f>
        <v>44501</v>
      </c>
      <c r="B63" s="179">
        <f>RSP!AP56</f>
        <v>62.500899129654194</v>
      </c>
      <c r="C63" s="180">
        <f>RSP!AQ56</f>
        <v>3.1993712168519948</v>
      </c>
      <c r="D63" s="180">
        <f>RSP!AR56</f>
        <v>2.4592540279660233</v>
      </c>
      <c r="E63" s="180">
        <f>RSP!AS56</f>
        <v>7.1096093467261792</v>
      </c>
      <c r="F63" s="180">
        <f>RSP!AT56</f>
        <v>15.328704278460981</v>
      </c>
      <c r="G63" s="180">
        <f t="shared" si="1"/>
        <v>5.6586252448180181</v>
      </c>
      <c r="H63" s="181">
        <f>RSP!AV56</f>
        <v>0.76866792293824349</v>
      </c>
      <c r="I63" s="182">
        <f>RSP!AW56</f>
        <v>225473.60000000003</v>
      </c>
      <c r="J63" s="415"/>
      <c r="K63" s="178">
        <f t="shared" si="0"/>
        <v>44501</v>
      </c>
      <c r="L63" s="179">
        <f>RSP!AZ56</f>
        <v>61.580468035087371</v>
      </c>
      <c r="M63" s="180">
        <f>RSP!BA56</f>
        <v>4.0188057571665086</v>
      </c>
      <c r="N63" s="180">
        <f>RSP!BB56</f>
        <v>2.7760832523765098</v>
      </c>
      <c r="O63" s="180"/>
      <c r="P63" s="180"/>
      <c r="Q63" s="180">
        <f t="shared" si="2"/>
        <v>6.7948890095430183</v>
      </c>
      <c r="R63" s="181">
        <f>RSP!BF56</f>
        <v>0.69077318490103135</v>
      </c>
      <c r="S63" s="182">
        <f>RSP!BG56</f>
        <v>519206.8</v>
      </c>
    </row>
    <row r="64" spans="1:20" ht="28.5" x14ac:dyDescent="0.3">
      <c r="A64" s="178">
        <f>RSP!AO57</f>
        <v>44531</v>
      </c>
      <c r="B64" s="179">
        <f>RSP!AP57</f>
        <v>62.572845126270742</v>
      </c>
      <c r="C64" s="180">
        <f>RSP!AQ57</f>
        <v>3.049233336143057</v>
      </c>
      <c r="D64" s="180">
        <f>RSP!AR57</f>
        <v>2.5378568085752771</v>
      </c>
      <c r="E64" s="180">
        <f>RSP!AS57</f>
        <v>8.1586284596918794</v>
      </c>
      <c r="F64" s="180">
        <f>RSP!AT57</f>
        <v>14.991681878686665</v>
      </c>
      <c r="G64" s="180">
        <f t="shared" si="1"/>
        <v>5.5870901447183341</v>
      </c>
      <c r="H64" s="181">
        <f>RSP!AV57</f>
        <v>0.83229340913128846</v>
      </c>
      <c r="I64" s="182">
        <f>RSP!AW57</f>
        <v>227780.40000000002</v>
      </c>
      <c r="J64" s="415"/>
      <c r="K64" s="178">
        <f t="shared" si="0"/>
        <v>44531</v>
      </c>
      <c r="L64" s="179">
        <f>RSP!AZ57</f>
        <v>61.142760714285714</v>
      </c>
      <c r="M64" s="180">
        <f>RSP!BA57</f>
        <v>4.612913594598913</v>
      </c>
      <c r="N64" s="180">
        <f>RSP!BB57</f>
        <v>2.7658283057686162</v>
      </c>
      <c r="O64" s="180">
        <f>RSP!BC57</f>
        <v>0</v>
      </c>
      <c r="P64" s="180">
        <f>RSP!BD57</f>
        <v>0</v>
      </c>
      <c r="Q64" s="180">
        <f t="shared" si="2"/>
        <v>7.3787419003675296</v>
      </c>
      <c r="R64" s="181">
        <f>RSP!BF57</f>
        <v>0.59958380946198964</v>
      </c>
      <c r="S64" s="182">
        <f>RSP!BG57</f>
        <v>500640</v>
      </c>
    </row>
    <row r="65" spans="1:21" ht="28.5" x14ac:dyDescent="0.3">
      <c r="A65" s="178">
        <f>RSP!AO58</f>
        <v>44562</v>
      </c>
      <c r="B65" s="179">
        <f>RSP!AP58</f>
        <v>62.460237853665696</v>
      </c>
      <c r="C65" s="180">
        <f>RSP!AQ58</f>
        <v>3.0764788442352344</v>
      </c>
      <c r="D65" s="180">
        <f>RSP!AR58</f>
        <v>2.6668307115675214</v>
      </c>
      <c r="E65" s="180">
        <f>RSP!AS58</f>
        <v>7.8640873264759019</v>
      </c>
      <c r="F65" s="180">
        <f>RSP!AT58</f>
        <v>13.793222218983347</v>
      </c>
      <c r="G65" s="180">
        <f t="shared" si="1"/>
        <v>5.7433095558027558</v>
      </c>
      <c r="H65" s="181">
        <f>RSP!AV58</f>
        <v>0.86684513256597895</v>
      </c>
      <c r="I65" s="182">
        <f>RSP!AW58</f>
        <v>212693.8</v>
      </c>
      <c r="J65" s="415"/>
      <c r="K65" s="178">
        <f t="shared" si="0"/>
        <v>44562</v>
      </c>
      <c r="L65" s="179">
        <f>RSP!AZ58</f>
        <v>61.661810212465447</v>
      </c>
      <c r="M65" s="180">
        <f>RSP!BA58</f>
        <v>3.8534654150654024</v>
      </c>
      <c r="N65" s="180">
        <f>RSP!BB58</f>
        <v>2.8285583635744405</v>
      </c>
      <c r="O65" s="180"/>
      <c r="P65" s="180"/>
      <c r="Q65" s="180">
        <f t="shared" si="2"/>
        <v>6.6820237786398433</v>
      </c>
      <c r="R65" s="181">
        <f>RSP!BF58</f>
        <v>0.73402977810985059</v>
      </c>
      <c r="S65" s="182">
        <f>RSP!BG58</f>
        <v>463331.8</v>
      </c>
    </row>
    <row r="66" spans="1:21" ht="28.5" x14ac:dyDescent="0.3">
      <c r="A66" s="178">
        <f>RSP!AO59</f>
        <v>44593</v>
      </c>
      <c r="B66" s="179">
        <f>RSP!AP59</f>
        <v>62.537753650783024</v>
      </c>
      <c r="C66" s="180">
        <f>RSP!AQ59</f>
        <v>2.6525228123083475</v>
      </c>
      <c r="D66" s="180">
        <f>RSP!AR59</f>
        <v>3.0088358597165668</v>
      </c>
      <c r="E66" s="180">
        <f>RSP!AS59</f>
        <v>6.8102252193817554</v>
      </c>
      <c r="F66" s="180">
        <f>RSP!AT59</f>
        <v>13.056703742915687</v>
      </c>
      <c r="G66" s="180">
        <f t="shared" si="1"/>
        <v>5.6613586720249138</v>
      </c>
      <c r="H66" s="181">
        <f>RSP!AV59</f>
        <v>1.1343298710777681</v>
      </c>
      <c r="I66" s="182">
        <f>RSP!AW59</f>
        <v>215070.3</v>
      </c>
      <c r="J66" s="415"/>
      <c r="K66" s="178">
        <f t="shared" si="0"/>
        <v>44593</v>
      </c>
      <c r="L66" s="179">
        <f>RSP!AZ59</f>
        <v>61.585527144833648</v>
      </c>
      <c r="M66" s="180">
        <f>RSP!BA59</f>
        <v>3.7846134347078371</v>
      </c>
      <c r="N66" s="180">
        <f>RSP!BB59</f>
        <v>3.0179606682441782</v>
      </c>
      <c r="O66" s="180"/>
      <c r="P66" s="180"/>
      <c r="Q66" s="180">
        <f t="shared" si="2"/>
        <v>6.8025741029520148</v>
      </c>
      <c r="R66" s="181">
        <f>RSP!BF59</f>
        <v>0.79742904270410842</v>
      </c>
      <c r="S66" s="182">
        <f>RSP!BG59</f>
        <v>386685</v>
      </c>
    </row>
    <row r="67" spans="1:21" ht="29" thickBot="1" x14ac:dyDescent="0.35">
      <c r="A67" s="186">
        <f>RSP!AO60</f>
        <v>44621</v>
      </c>
      <c r="B67" s="187">
        <f>RSP!AP60</f>
        <v>61.95769716349691</v>
      </c>
      <c r="C67" s="188">
        <f>RSP!AQ60</f>
        <v>3.4107257092952454</v>
      </c>
      <c r="D67" s="188">
        <f>RSP!AR60</f>
        <v>2.9971772088544371</v>
      </c>
      <c r="E67" s="188">
        <f>RSP!AS60</f>
        <v>14.178196894793791</v>
      </c>
      <c r="F67" s="188">
        <f>RSP!AT60</f>
        <v>15.405949922929096</v>
      </c>
      <c r="G67" s="188">
        <f t="shared" si="1"/>
        <v>6.4079029181496825</v>
      </c>
      <c r="H67" s="189">
        <f>RSP!AV60</f>
        <v>0.87875058398458561</v>
      </c>
      <c r="I67" s="190">
        <f>RSP!AW60</f>
        <v>265534.69999999995</v>
      </c>
      <c r="J67" s="415"/>
      <c r="K67" s="186">
        <f t="shared" si="0"/>
        <v>44621</v>
      </c>
      <c r="L67" s="187">
        <f>RSP!AZ60</f>
        <v>61.187851564103418</v>
      </c>
      <c r="M67" s="188">
        <f>RSP!BA60</f>
        <v>3.7091339044825666</v>
      </c>
      <c r="N67" s="188">
        <f>RSP!BB60</f>
        <v>3.6338533355509743</v>
      </c>
      <c r="O67" s="188">
        <f>RSP!BC60</f>
        <v>5.2455232487164594</v>
      </c>
      <c r="P67" s="188">
        <f>RSP!BD60</f>
        <v>38.622268551022003</v>
      </c>
      <c r="Q67" s="188">
        <f t="shared" si="2"/>
        <v>7.3429872400335405</v>
      </c>
      <c r="R67" s="189">
        <f>RSP!BF60</f>
        <v>0.979704003449265</v>
      </c>
      <c r="S67" s="190">
        <f>RSP!BG60</f>
        <v>375173.4</v>
      </c>
    </row>
    <row r="68" spans="1:21" ht="29" thickBot="1" x14ac:dyDescent="0.35">
      <c r="A68" s="200" t="str">
        <f>RSP!AO61</f>
        <v>CUMML</v>
      </c>
      <c r="B68" s="201">
        <f>RSP!AP61</f>
        <v>62.228064557914806</v>
      </c>
      <c r="C68" s="202">
        <f>RSP!AQ61</f>
        <v>3.4883578119700354</v>
      </c>
      <c r="D68" s="202">
        <f>RSP!AR61</f>
        <v>2.600188475528308</v>
      </c>
      <c r="E68" s="202">
        <f>RSP!AS61</f>
        <v>8.193234669896297</v>
      </c>
      <c r="F68" s="202">
        <f>RSP!AT61</f>
        <v>14.833258642289524</v>
      </c>
      <c r="G68" s="202">
        <f>IF(C68&gt;0,+D68+C68,"")</f>
        <v>6.0885462874983434</v>
      </c>
      <c r="H68" s="203">
        <f>IF(C68&gt;0,+D68/C68,"")</f>
        <v>0.7453904145400333</v>
      </c>
      <c r="I68" s="204">
        <f>RSP!AW61</f>
        <v>2656330.5299999993</v>
      </c>
      <c r="J68" s="418"/>
      <c r="K68" s="200" t="str">
        <f>RSP!AY61</f>
        <v>CUMML</v>
      </c>
      <c r="L68" s="201">
        <f>RSP!AZ61</f>
        <v>61.603356009202557</v>
      </c>
      <c r="M68" s="202">
        <f>RSP!BA61</f>
        <v>3.9085333127441517</v>
      </c>
      <c r="N68" s="202">
        <f>RSP!BB61</f>
        <v>2.8572312029590581</v>
      </c>
      <c r="O68" s="202"/>
      <c r="P68" s="202"/>
      <c r="Q68" s="202">
        <f>IF(M68&gt;0,+N68+M68,"")</f>
        <v>6.7657645157032098</v>
      </c>
      <c r="R68" s="203">
        <f>IF(M68&gt;0,+N68/M68,"")</f>
        <v>0.73102388398297102</v>
      </c>
      <c r="S68" s="204">
        <f>RSP!BG61</f>
        <v>4944279.41</v>
      </c>
      <c r="U68" s="435"/>
    </row>
    <row r="69" spans="1:21" ht="23.25" customHeight="1" x14ac:dyDescent="0.3"/>
    <row r="70" spans="1:21" s="436" customFormat="1" ht="23.25" customHeight="1" x14ac:dyDescent="0.55000000000000004">
      <c r="A70" s="587" t="s">
        <v>76</v>
      </c>
      <c r="B70" s="598"/>
      <c r="C70" s="598"/>
      <c r="D70" s="598"/>
      <c r="E70" s="598"/>
      <c r="F70" s="598"/>
      <c r="G70" s="598"/>
      <c r="H70" s="598"/>
      <c r="I70" s="587"/>
      <c r="J70" s="415"/>
      <c r="K70" s="587" t="s">
        <v>76</v>
      </c>
      <c r="L70" s="598"/>
      <c r="M70" s="598"/>
      <c r="N70" s="598"/>
      <c r="O70" s="598"/>
      <c r="P70" s="598"/>
      <c r="Q70" s="598"/>
      <c r="R70" s="598"/>
      <c r="S70" s="587"/>
    </row>
    <row r="71" spans="1:21" s="436" customFormat="1" ht="23.25" customHeight="1" x14ac:dyDescent="0.5">
      <c r="A71" s="428" t="s">
        <v>48</v>
      </c>
      <c r="B71" s="429"/>
      <c r="C71" s="429"/>
      <c r="D71" s="437" t="s">
        <v>30</v>
      </c>
      <c r="E71" s="429"/>
      <c r="F71" s="429"/>
      <c r="G71" s="430"/>
      <c r="H71" s="430"/>
      <c r="I71" s="430"/>
      <c r="J71" s="415"/>
      <c r="K71" s="428" t="s">
        <v>48</v>
      </c>
      <c r="L71" s="429"/>
      <c r="M71" s="429"/>
      <c r="N71" s="437" t="s">
        <v>31</v>
      </c>
      <c r="O71" s="429"/>
      <c r="P71" s="429"/>
      <c r="Q71" s="430"/>
      <c r="R71" s="430"/>
      <c r="S71" s="416"/>
    </row>
    <row r="72" spans="1:21" s="436" customFormat="1" ht="23.25" customHeight="1" thickBot="1" x14ac:dyDescent="0.55000000000000004">
      <c r="A72" s="428"/>
      <c r="B72" s="429"/>
      <c r="C72" s="429"/>
      <c r="D72" s="430"/>
      <c r="E72" s="429"/>
      <c r="F72" s="429"/>
      <c r="G72" s="430"/>
      <c r="H72" s="430"/>
      <c r="I72" s="430"/>
      <c r="J72" s="415"/>
      <c r="K72" s="428"/>
      <c r="L72" s="429"/>
      <c r="M72" s="429"/>
      <c r="N72" s="430"/>
      <c r="O72" s="429"/>
      <c r="P72" s="429"/>
      <c r="Q72" s="430"/>
      <c r="R72" s="430"/>
      <c r="S72" s="416"/>
    </row>
    <row r="73" spans="1:21" ht="29" thickBot="1" x14ac:dyDescent="0.35">
      <c r="A73" s="127"/>
      <c r="B73" s="128" t="s">
        <v>34</v>
      </c>
      <c r="C73" s="129" t="s">
        <v>56</v>
      </c>
      <c r="D73" s="129" t="s">
        <v>57</v>
      </c>
      <c r="E73" s="129" t="s">
        <v>37</v>
      </c>
      <c r="F73" s="129" t="s">
        <v>38</v>
      </c>
      <c r="G73" s="129" t="s">
        <v>39</v>
      </c>
      <c r="H73" s="130" t="s">
        <v>40</v>
      </c>
      <c r="I73" s="131" t="s">
        <v>41</v>
      </c>
      <c r="J73" s="415"/>
      <c r="K73" s="127"/>
      <c r="L73" s="128" t="s">
        <v>34</v>
      </c>
      <c r="M73" s="129" t="s">
        <v>56</v>
      </c>
      <c r="N73" s="129" t="s">
        <v>57</v>
      </c>
      <c r="O73" s="129" t="s">
        <v>37</v>
      </c>
      <c r="P73" s="129" t="s">
        <v>38</v>
      </c>
      <c r="Q73" s="129" t="s">
        <v>39</v>
      </c>
      <c r="R73" s="130" t="s">
        <v>40</v>
      </c>
      <c r="S73" s="131" t="s">
        <v>41</v>
      </c>
    </row>
    <row r="74" spans="1:21" ht="29" thickBot="1" x14ac:dyDescent="0.35">
      <c r="A74" s="141" t="str">
        <f>ISP!AO47</f>
        <v>Act 20-21</v>
      </c>
      <c r="B74" s="142">
        <f>ISP!AP47</f>
        <v>63.139678565511346</v>
      </c>
      <c r="C74" s="143">
        <f>ISP!AQ47</f>
        <v>3.4480857058870686</v>
      </c>
      <c r="D74" s="143">
        <f>ISP!AR47</f>
        <v>1.8906989123754041</v>
      </c>
      <c r="E74" s="143">
        <f>ISP!AS47</f>
        <v>16.055575329360522</v>
      </c>
      <c r="F74" s="143">
        <f>ISP!AT47</f>
        <v>4.3657793645279392</v>
      </c>
      <c r="G74" s="143">
        <f>ISP!AU47</f>
        <v>5.3387846182624727</v>
      </c>
      <c r="H74" s="143">
        <f>ISP!AV47</f>
        <v>0.54833292256840671</v>
      </c>
      <c r="I74" s="144">
        <f>ISP!AW47</f>
        <v>0</v>
      </c>
      <c r="J74" s="415"/>
      <c r="K74" s="141" t="str">
        <f>ISP!AY47</f>
        <v>Act 20-21</v>
      </c>
      <c r="L74" s="142">
        <f>ISP!AZ47</f>
        <v>61.928373398064736</v>
      </c>
      <c r="M74" s="143">
        <f>ISP!BA47</f>
        <v>4.1647974273115977</v>
      </c>
      <c r="N74" s="143">
        <f>ISP!BB47</f>
        <v>2.8851103769362014</v>
      </c>
      <c r="O74" s="143">
        <f>ISP!BC47</f>
        <v>8.3081115875618021</v>
      </c>
      <c r="P74" s="143">
        <f>ISP!BD47</f>
        <v>41.619309405674386</v>
      </c>
      <c r="Q74" s="143">
        <f>ISP!BE47</f>
        <v>7.0499078042477992</v>
      </c>
      <c r="R74" s="143">
        <f>ISP!BF47</f>
        <v>0.69273726448648854</v>
      </c>
      <c r="S74" s="144">
        <f>ISP!BG47</f>
        <v>0</v>
      </c>
    </row>
    <row r="75" spans="1:21" ht="29.5" thickTop="1" thickBot="1" x14ac:dyDescent="0.35">
      <c r="A75" s="159" t="str">
        <f>ISP!AO48</f>
        <v>APP 21-22</v>
      </c>
      <c r="B75" s="160">
        <f>ISP!AP48</f>
        <v>62.5</v>
      </c>
      <c r="C75" s="161">
        <f>ISP!AQ48</f>
        <v>3.4793028322440089</v>
      </c>
      <c r="D75" s="161">
        <f>ISP!AR48</f>
        <v>2.2000000000000002</v>
      </c>
      <c r="E75" s="161">
        <f>ISP!AS48</f>
        <v>10</v>
      </c>
      <c r="F75" s="161">
        <f>ISP!AT48</f>
        <v>10</v>
      </c>
      <c r="G75" s="161">
        <f>ISP!AU48</f>
        <v>5.6793028322440087</v>
      </c>
      <c r="H75" s="162">
        <f>ISP!AV48</f>
        <v>0.63231058234189108</v>
      </c>
      <c r="I75" s="163">
        <f>ISP!AW48</f>
        <v>0</v>
      </c>
      <c r="J75" s="417"/>
      <c r="K75" s="159" t="str">
        <f>ISP!AY48</f>
        <v>APP 21-22</v>
      </c>
      <c r="L75" s="160">
        <f>ISP!AZ48</f>
        <v>61.908062645011604</v>
      </c>
      <c r="M75" s="161">
        <f>ISP!BA48</f>
        <v>3.8837006960556844</v>
      </c>
      <c r="N75" s="161">
        <f>ISP!BB48</f>
        <v>2.7024361948955917</v>
      </c>
      <c r="O75" s="161">
        <f>ISP!BC48</f>
        <v>5</v>
      </c>
      <c r="P75" s="161">
        <f>ISP!BD48</f>
        <v>40</v>
      </c>
      <c r="Q75" s="161">
        <f>ISP!BE48</f>
        <v>6.5861368909512761</v>
      </c>
      <c r="R75" s="162">
        <f>ISP!BF48</f>
        <v>0.69584048988126357</v>
      </c>
      <c r="S75" s="163">
        <f>ISP!BG48</f>
        <v>0</v>
      </c>
    </row>
    <row r="76" spans="1:21" ht="28.5" x14ac:dyDescent="0.3">
      <c r="A76" s="173">
        <f>ISP!AO49</f>
        <v>44287</v>
      </c>
      <c r="B76" s="174">
        <f>ISP!AP49</f>
        <v>62.549801407277094</v>
      </c>
      <c r="C76" s="175">
        <f>ISP!AQ49</f>
        <v>3.756907230811962</v>
      </c>
      <c r="D76" s="175">
        <f>ISP!AR49</f>
        <v>2.1535112489584298</v>
      </c>
      <c r="E76" s="175">
        <f>ISP!AS49</f>
        <v>11.024906953059903</v>
      </c>
      <c r="F76" s="175">
        <f>ISP!AT49</f>
        <v>3.2468345523562632</v>
      </c>
      <c r="G76" s="175">
        <f>ISP!AU49</f>
        <v>5.9104184797703923</v>
      </c>
      <c r="H76" s="176">
        <f>ISP!AV49</f>
        <v>0.57321384762886518</v>
      </c>
      <c r="I76" s="177">
        <f>ISP!AW49</f>
        <v>43204</v>
      </c>
      <c r="J76" s="415"/>
      <c r="K76" s="173">
        <f t="shared" ref="K76:K88" si="3">A76</f>
        <v>44287</v>
      </c>
      <c r="L76" s="174">
        <f>ISP!AZ49</f>
        <v>61.075574966789667</v>
      </c>
      <c r="M76" s="175">
        <f>ISP!BA49</f>
        <v>4.3369111143911434</v>
      </c>
      <c r="N76" s="175">
        <f>ISP!BB49</f>
        <v>3.7208485313653141</v>
      </c>
      <c r="O76" s="175">
        <f>ISP!BC49</f>
        <v>7.5385486642066413</v>
      </c>
      <c r="P76" s="175">
        <f>ISP!BD49</f>
        <v>44.202486081180808</v>
      </c>
      <c r="Q76" s="175">
        <f>ISP!BE49</f>
        <v>8.0577596457564571</v>
      </c>
      <c r="R76" s="176">
        <f>ISP!BF49</f>
        <v>0.85794899485452836</v>
      </c>
      <c r="S76" s="177">
        <f>ISP!BG49</f>
        <v>169375</v>
      </c>
    </row>
    <row r="77" spans="1:21" ht="28.5" x14ac:dyDescent="0.3">
      <c r="A77" s="178">
        <f>ISP!AO50</f>
        <v>44317</v>
      </c>
      <c r="B77" s="179">
        <f>ISP!AP50</f>
        <v>63.448127811742999</v>
      </c>
      <c r="C77" s="180">
        <f>ISP!AQ50</f>
        <v>3.0184334986734336</v>
      </c>
      <c r="D77" s="180">
        <f>ISP!AR50</f>
        <v>1.5111246971969086</v>
      </c>
      <c r="E77" s="180">
        <f>ISP!AS50</f>
        <v>14.232562002537779</v>
      </c>
      <c r="F77" s="180">
        <f>ISP!AT50</f>
        <v>2.3151920636751644</v>
      </c>
      <c r="G77" s="180">
        <f>ISP!AU50</f>
        <v>4.5295581958703419</v>
      </c>
      <c r="H77" s="181">
        <f>ISP!AV50</f>
        <v>0.50063209868994307</v>
      </c>
      <c r="I77" s="182">
        <f>ISP!AW50</f>
        <v>60683</v>
      </c>
      <c r="J77" s="415"/>
      <c r="K77" s="178">
        <f t="shared" si="3"/>
        <v>44317</v>
      </c>
      <c r="L77" s="179">
        <f>ISP!AZ50</f>
        <v>62.790450715805761</v>
      </c>
      <c r="M77" s="180">
        <f>ISP!BA50</f>
        <v>3.3986219288063459</v>
      </c>
      <c r="N77" s="180">
        <f>ISP!BB50</f>
        <v>2.0595622460824141</v>
      </c>
      <c r="O77" s="180">
        <f>ISP!BC50</f>
        <v>6.7805349680789329</v>
      </c>
      <c r="P77" s="180">
        <f>ISP!BD50</f>
        <v>43.951666763397171</v>
      </c>
      <c r="Q77" s="180">
        <f>ISP!BE50</f>
        <v>5.4581841748887605</v>
      </c>
      <c r="R77" s="181">
        <f>ISP!BF50</f>
        <v>0.60599922239828763</v>
      </c>
      <c r="S77" s="182">
        <f>ISP!BG50</f>
        <v>206760</v>
      </c>
    </row>
    <row r="78" spans="1:21" ht="28.5" x14ac:dyDescent="0.3">
      <c r="A78" s="178">
        <f>ISP!AO51</f>
        <v>44348</v>
      </c>
      <c r="B78" s="179">
        <f>ISP!AP51</f>
        <v>60.921585967720418</v>
      </c>
      <c r="C78" s="180">
        <f>ISP!AQ51</f>
        <v>7.4014365746298516</v>
      </c>
      <c r="D78" s="180">
        <f>ISP!AR51</f>
        <v>1.2724983326663999</v>
      </c>
      <c r="E78" s="180">
        <f>ISP!AS51</f>
        <v>15.982538348672803</v>
      </c>
      <c r="F78" s="180">
        <f>ISP!AT51</f>
        <v>2.8088221955448844</v>
      </c>
      <c r="G78" s="180">
        <f>ISP!AU51</f>
        <v>8.6739349072962515</v>
      </c>
      <c r="H78" s="181">
        <f>ISP!AV51</f>
        <v>0.17192585788388492</v>
      </c>
      <c r="I78" s="182">
        <f>ISP!AW51</f>
        <v>89964</v>
      </c>
      <c r="J78" s="415"/>
      <c r="K78" s="178">
        <f t="shared" si="3"/>
        <v>44348</v>
      </c>
      <c r="L78" s="179">
        <f>ISP!AZ51</f>
        <v>61.55947907297957</v>
      </c>
      <c r="M78" s="180">
        <f>ISP!BA51</f>
        <v>5.4609958402929459</v>
      </c>
      <c r="N78" s="180">
        <f>ISP!BB51</f>
        <v>2.1018440832583836</v>
      </c>
      <c r="O78" s="180">
        <f>ISP!BC51</f>
        <v>7.5338893260953359</v>
      </c>
      <c r="P78" s="180">
        <f>ISP!BD51</f>
        <v>41.701127136065779</v>
      </c>
      <c r="Q78" s="180">
        <f>ISP!BE51</f>
        <v>7.5628399235513299</v>
      </c>
      <c r="R78" s="181">
        <f>ISP!BF51</f>
        <v>0.38488293064614998</v>
      </c>
      <c r="S78" s="182">
        <f>ISP!BG51</f>
        <v>249056</v>
      </c>
    </row>
    <row r="79" spans="1:21" ht="28.5" x14ac:dyDescent="0.3">
      <c r="A79" s="178">
        <f>ISP!AO52</f>
        <v>44378</v>
      </c>
      <c r="B79" s="179">
        <f>ISP!AP52</f>
        <v>62.822748996020422</v>
      </c>
      <c r="C79" s="180">
        <f>ISP!AQ52</f>
        <v>4.1493127509948939</v>
      </c>
      <c r="D79" s="180">
        <f>ISP!AR52</f>
        <v>1.6682702476785811</v>
      </c>
      <c r="E79" s="180">
        <f>ISP!AS52</f>
        <v>3.1134595046428379</v>
      </c>
      <c r="F79" s="180">
        <f>ISP!AT52</f>
        <v>12.944345550689611</v>
      </c>
      <c r="G79" s="180">
        <f>ISP!AU52</f>
        <v>5.8175829986734753</v>
      </c>
      <c r="H79" s="181">
        <f>ISP!AV52</f>
        <v>0.40205941267709328</v>
      </c>
      <c r="I79" s="182">
        <f>ISP!AW52</f>
        <v>110062</v>
      </c>
      <c r="J79" s="415"/>
      <c r="K79" s="178">
        <f t="shared" si="3"/>
        <v>44378</v>
      </c>
      <c r="L79" s="179">
        <f>ISP!AZ52</f>
        <v>62.314196362441848</v>
      </c>
      <c r="M79" s="180">
        <f>ISP!BA52</f>
        <v>4.3988141213366436</v>
      </c>
      <c r="N79" s="180">
        <f>ISP!BB52</f>
        <v>2.2356813526336503</v>
      </c>
      <c r="O79" s="180">
        <f>ISP!BC52</f>
        <v>8.5614435880987596</v>
      </c>
      <c r="P79" s="180">
        <f>ISP!BD52</f>
        <v>41.306374496806519</v>
      </c>
      <c r="Q79" s="180">
        <f>ISP!BE52</f>
        <v>6.6344954739702935</v>
      </c>
      <c r="R79" s="181">
        <f>ISP!BF52</f>
        <v>0.50824637981163567</v>
      </c>
      <c r="S79" s="182">
        <f>ISP!BG52</f>
        <v>322689</v>
      </c>
    </row>
    <row r="80" spans="1:21" ht="28.5" x14ac:dyDescent="0.3">
      <c r="A80" s="178">
        <f>ISP!AO53</f>
        <v>44409</v>
      </c>
      <c r="B80" s="179">
        <f>ISP!AP53</f>
        <v>63.108107798165143</v>
      </c>
      <c r="C80" s="180">
        <f>ISP!AQ53</f>
        <v>3.8751777522935784</v>
      </c>
      <c r="D80" s="180">
        <f>ISP!AR53</f>
        <v>1.3419954128440368</v>
      </c>
      <c r="E80" s="180">
        <f>ISP!AS53</f>
        <v>12.562511467889909</v>
      </c>
      <c r="F80" s="180">
        <f>ISP!AT53</f>
        <v>6.557339449541284</v>
      </c>
      <c r="G80" s="180">
        <f>ISP!AU53</f>
        <v>5.2171731651376154</v>
      </c>
      <c r="H80" s="181">
        <f>ISP!AV53</f>
        <v>0.34630551128906484</v>
      </c>
      <c r="I80" s="182">
        <f>ISP!AW53</f>
        <v>111616</v>
      </c>
      <c r="J80" s="415"/>
      <c r="K80" s="178">
        <f t="shared" si="3"/>
        <v>44409</v>
      </c>
      <c r="L80" s="179">
        <f>ISP!AZ53</f>
        <v>61.966534887169729</v>
      </c>
      <c r="M80" s="180">
        <f>ISP!BA53</f>
        <v>5.0806169826243854</v>
      </c>
      <c r="N80" s="180">
        <f>ISP!BB53</f>
        <v>1.9646678118589187</v>
      </c>
      <c r="O80" s="180">
        <f>ISP!BC53</f>
        <v>7.9506877332608319</v>
      </c>
      <c r="P80" s="180">
        <f>ISP!BD53</f>
        <v>39.489830754591068</v>
      </c>
      <c r="Q80" s="180">
        <f>ISP!BE53</f>
        <v>7.0452847944833046</v>
      </c>
      <c r="R80" s="181">
        <f>ISP!BF53</f>
        <v>0.38669866643717599</v>
      </c>
      <c r="S80" s="182">
        <f>ISP!BG53</f>
        <v>323672</v>
      </c>
    </row>
    <row r="81" spans="1:19" ht="28.5" x14ac:dyDescent="0.3">
      <c r="A81" s="178">
        <f>ISP!AO54</f>
        <v>44440</v>
      </c>
      <c r="B81" s="179">
        <f>ISP!AP54</f>
        <v>63.793990904159891</v>
      </c>
      <c r="C81" s="180">
        <f>ISP!AQ54</f>
        <v>2.8656383777694332</v>
      </c>
      <c r="D81" s="180">
        <f>ISP!AR54</f>
        <v>1.3215377393916636</v>
      </c>
      <c r="E81" s="180">
        <f>ISP!AS54</f>
        <v>2.1873179788876373</v>
      </c>
      <c r="F81" s="180">
        <f>ISP!AT54</f>
        <v>4.1871761171610968</v>
      </c>
      <c r="G81" s="180">
        <f>ISP!AU54</f>
        <v>4.1871761171610968</v>
      </c>
      <c r="H81" s="181">
        <f>ISP!AV54</f>
        <v>0.46116696008947483</v>
      </c>
      <c r="I81" s="182">
        <f>ISP!AW54</f>
        <v>95868</v>
      </c>
      <c r="J81" s="415"/>
      <c r="K81" s="178">
        <f t="shared" si="3"/>
        <v>44440</v>
      </c>
      <c r="L81" s="179">
        <f>ISP!AZ54</f>
        <v>62.07196176907366</v>
      </c>
      <c r="M81" s="180">
        <f>ISP!BA54</f>
        <v>5.1212148858678015</v>
      </c>
      <c r="N81" s="180">
        <f>ISP!BB54</f>
        <v>1.8497616713818794</v>
      </c>
      <c r="O81" s="180">
        <f>ISP!BC54</f>
        <v>7.8829235086431009</v>
      </c>
      <c r="P81" s="180">
        <f>ISP!BD54</f>
        <v>41.57072619746198</v>
      </c>
      <c r="Q81" s="180">
        <f>ISP!BE54</f>
        <v>6.9709765572496813</v>
      </c>
      <c r="R81" s="181">
        <f>ISP!BF54</f>
        <v>0.36119587102005252</v>
      </c>
      <c r="S81" s="182">
        <f>ISP!BG54</f>
        <v>305041</v>
      </c>
    </row>
    <row r="82" spans="1:19" ht="28.5" x14ac:dyDescent="0.3">
      <c r="A82" s="178">
        <f>ISP!AO55</f>
        <v>44470</v>
      </c>
      <c r="B82" s="179">
        <f>ISP!AP55</f>
        <v>62.730798304533025</v>
      </c>
      <c r="C82" s="180">
        <f>ISP!AQ55</f>
        <v>4.2552843985416944</v>
      </c>
      <c r="D82" s="180">
        <f>ISP!AR55</f>
        <v>1.5526548548204087</v>
      </c>
      <c r="E82" s="180">
        <f>ISP!AS55</f>
        <v>22.493066662636483</v>
      </c>
      <c r="F82" s="180">
        <f>ISP!AT55</f>
        <v>6.9754379726939613</v>
      </c>
      <c r="G82" s="180">
        <f>ISP!AU55</f>
        <v>5.807939253362103</v>
      </c>
      <c r="H82" s="181">
        <f>ISP!AV55</f>
        <v>0.36487687059236523</v>
      </c>
      <c r="I82" s="182">
        <f>ISP!AW55</f>
        <v>107522</v>
      </c>
      <c r="J82" s="415"/>
      <c r="K82" s="178">
        <f t="shared" si="3"/>
        <v>44470</v>
      </c>
      <c r="L82" s="179">
        <f>ISP!AZ55</f>
        <v>61.28500559952483</v>
      </c>
      <c r="M82" s="180">
        <f>ISP!BA55</f>
        <v>6.1194428762902353</v>
      </c>
      <c r="N82" s="180">
        <f>ISP!BB55</f>
        <v>1.9527512204709345</v>
      </c>
      <c r="O82" s="180">
        <f>ISP!BC55</f>
        <v>6.8973426362025281</v>
      </c>
      <c r="P82" s="180">
        <f>ISP!BD55</f>
        <v>41.977244445111985</v>
      </c>
      <c r="Q82" s="180">
        <f>ISP!BE55</f>
        <v>8.0721940967611694</v>
      </c>
      <c r="R82" s="181">
        <f>ISP!BF55</f>
        <v>0.31910604608090448</v>
      </c>
      <c r="S82" s="182">
        <f>ISP!BG55</f>
        <v>272308.82</v>
      </c>
    </row>
    <row r="83" spans="1:19" ht="28.5" x14ac:dyDescent="0.3">
      <c r="A83" s="178">
        <f>ISP!AO56</f>
        <v>44501</v>
      </c>
      <c r="B83" s="179">
        <f>ISP!AP56</f>
        <v>63.252867328857235</v>
      </c>
      <c r="C83" s="180">
        <f>ISP!AQ56</f>
        <v>3.6292080077904547</v>
      </c>
      <c r="D83" s="180">
        <f>ISP!AR56</f>
        <v>1.4307099994874699</v>
      </c>
      <c r="E83" s="180">
        <f>ISP!AS56</f>
        <v>13.874505975091044</v>
      </c>
      <c r="F83" s="180">
        <f>ISP!AT56</f>
        <v>11.349404669502665</v>
      </c>
      <c r="G83" s="180">
        <f>ISP!AU56</f>
        <v>5.0599180072779246</v>
      </c>
      <c r="H83" s="181">
        <f>ISP!AV56</f>
        <v>0.39422099709256375</v>
      </c>
      <c r="I83" s="182">
        <f>ISP!AW56</f>
        <v>140869.82</v>
      </c>
      <c r="J83" s="415"/>
      <c r="K83" s="178">
        <f t="shared" si="3"/>
        <v>44501</v>
      </c>
      <c r="L83" s="179">
        <f>ISP!AZ56</f>
        <v>62.295863956580916</v>
      </c>
      <c r="M83" s="180">
        <f>ISP!BA56</f>
        <v>4.7127646341662217</v>
      </c>
      <c r="N83" s="180">
        <f>ISP!BB56</f>
        <v>1.9093661682025234</v>
      </c>
      <c r="O83" s="180">
        <f>ISP!BC56</f>
        <v>7.081131657840193</v>
      </c>
      <c r="P83" s="180">
        <f>ISP!BD56</f>
        <v>43.435791037462721</v>
      </c>
      <c r="Q83" s="180">
        <f>ISP!BE56</f>
        <v>6.6221308023687451</v>
      </c>
      <c r="R83" s="181">
        <f>ISP!BF56</f>
        <v>0.40514778827700287</v>
      </c>
      <c r="S83" s="182">
        <f>ISP!BG56</f>
        <v>276654.47000000003</v>
      </c>
    </row>
    <row r="84" spans="1:19" ht="28.5" x14ac:dyDescent="0.3">
      <c r="A84" s="178">
        <f>ISP!AO57</f>
        <v>44531</v>
      </c>
      <c r="B84" s="179">
        <f>ISP!AP57</f>
        <v>62.354052097150252</v>
      </c>
      <c r="C84" s="180">
        <f>ISP!AQ57</f>
        <v>5.0801875785048844</v>
      </c>
      <c r="D84" s="180">
        <f>ISP!AR57</f>
        <v>1.3943036848345955</v>
      </c>
      <c r="E84" s="180">
        <f>ISP!AS57</f>
        <v>23.366201715050817</v>
      </c>
      <c r="F84" s="180">
        <f>ISP!AT57</f>
        <v>11.467150730158929</v>
      </c>
      <c r="G84" s="180">
        <f>ISP!AU57</f>
        <v>6.4744912633394804</v>
      </c>
      <c r="H84" s="181">
        <f>ISP!AV57</f>
        <v>0.2744590949228185</v>
      </c>
      <c r="I84" s="182">
        <f>ISP!AW57</f>
        <v>127937.9</v>
      </c>
      <c r="J84" s="415"/>
      <c r="K84" s="178">
        <f t="shared" si="3"/>
        <v>44531</v>
      </c>
      <c r="L84" s="179">
        <f>ISP!AZ57</f>
        <v>61.904927149644607</v>
      </c>
      <c r="M84" s="180">
        <f>ISP!BA57</f>
        <v>5.4437738098996045</v>
      </c>
      <c r="N84" s="180">
        <f>ISP!BB57</f>
        <v>1.7838872722942682</v>
      </c>
      <c r="O84" s="180">
        <f>ISP!BC57</f>
        <v>7.0374771454824261</v>
      </c>
      <c r="P84" s="180">
        <f>ISP!BD57</f>
        <v>43.508067141646883</v>
      </c>
      <c r="Q84" s="180">
        <f>ISP!BE57</f>
        <v>7.2276610821938725</v>
      </c>
      <c r="R84" s="181">
        <f>ISP!BF57</f>
        <v>0.32769312880895896</v>
      </c>
      <c r="S84" s="182">
        <f>ISP!BG57</f>
        <v>328193.32</v>
      </c>
    </row>
    <row r="85" spans="1:19" ht="28.5" x14ac:dyDescent="0.3">
      <c r="A85" s="178">
        <f>ISP!AO58</f>
        <v>44562</v>
      </c>
      <c r="B85" s="179">
        <f>ISP!AP58</f>
        <v>62.569214497068607</v>
      </c>
      <c r="C85" s="180">
        <f>ISP!AQ58</f>
        <v>4.1967780412049036</v>
      </c>
      <c r="D85" s="180">
        <f>ISP!AR58</f>
        <v>1.9567993604234437</v>
      </c>
      <c r="E85" s="180">
        <f>ISP!AS58</f>
        <v>12.319944864089983</v>
      </c>
      <c r="F85" s="180">
        <f>ISP!AT58</f>
        <v>15.852534230210802</v>
      </c>
      <c r="G85" s="180">
        <f>ISP!AU58</f>
        <v>6.1535774016283469</v>
      </c>
      <c r="H85" s="181">
        <f>ISP!AV58</f>
        <v>0.46626229483931503</v>
      </c>
      <c r="I85" s="182">
        <f>ISP!AW58</f>
        <v>124057.08</v>
      </c>
      <c r="J85" s="415"/>
      <c r="K85" s="178">
        <f t="shared" si="3"/>
        <v>44562</v>
      </c>
      <c r="L85" s="179">
        <f>ISP!AZ58</f>
        <v>62.302567053089994</v>
      </c>
      <c r="M85" s="180">
        <f>ISP!BA58</f>
        <v>4.7011126860660717</v>
      </c>
      <c r="N85" s="180">
        <f>ISP!BB58</f>
        <v>1.893145413165243</v>
      </c>
      <c r="O85" s="180">
        <f>ISP!BC58</f>
        <v>6.4209607733784377</v>
      </c>
      <c r="P85" s="180">
        <f>ISP!BD58</f>
        <v>45.818762364358996</v>
      </c>
      <c r="Q85" s="180">
        <f>ISP!BE58</f>
        <v>6.5942580992313147</v>
      </c>
      <c r="R85" s="181">
        <f>ISP!BF58</f>
        <v>0.40270156015967407</v>
      </c>
      <c r="S85" s="182">
        <f>ISP!BG58</f>
        <v>305899.40000000002</v>
      </c>
    </row>
    <row r="86" spans="1:19" ht="28.5" x14ac:dyDescent="0.3">
      <c r="A86" s="178">
        <f>ISP!AO59</f>
        <v>44593</v>
      </c>
      <c r="B86" s="179">
        <f>ISP!AP59</f>
        <v>63.444784474919288</v>
      </c>
      <c r="C86" s="180">
        <f>ISP!AQ59</f>
        <v>2.9977705326936182</v>
      </c>
      <c r="D86" s="180">
        <f>ISP!AR59</f>
        <v>1.7636843226613299</v>
      </c>
      <c r="E86" s="180">
        <f>ISP!AS59</f>
        <v>4.9987248709991583</v>
      </c>
      <c r="F86" s="180">
        <f>ISP!AT59</f>
        <v>19.346508675565044</v>
      </c>
      <c r="G86" s="180">
        <f>ISP!AU59</f>
        <v>4.7614548553549483</v>
      </c>
      <c r="H86" s="181">
        <f>ISP!AV59</f>
        <v>0.58833199653763635</v>
      </c>
      <c r="I86" s="182">
        <f>ISP!AW59</f>
        <v>101334.60999999999</v>
      </c>
      <c r="J86" s="415"/>
      <c r="K86" s="178">
        <f t="shared" si="3"/>
        <v>44593</v>
      </c>
      <c r="L86" s="179">
        <f>ISP!AZ59</f>
        <v>62.395979384199656</v>
      </c>
      <c r="M86" s="180">
        <f>ISP!BA59</f>
        <v>4.548671532007269</v>
      </c>
      <c r="N86" s="180">
        <f>ISP!BB59</f>
        <v>1.8635301335038621</v>
      </c>
      <c r="O86" s="180">
        <f>ISP!BC59</f>
        <v>7.1900967024901368</v>
      </c>
      <c r="P86" s="180">
        <f>ISP!BD59</f>
        <v>44.890382334315994</v>
      </c>
      <c r="Q86" s="180">
        <f>ISP!BE59</f>
        <v>6.4122016655111311</v>
      </c>
      <c r="R86" s="181">
        <f>ISP!BF59</f>
        <v>0.40968667893271921</v>
      </c>
      <c r="S86" s="182">
        <f>ISP!BG59</f>
        <v>273033.3</v>
      </c>
    </row>
    <row r="87" spans="1:19" ht="29" thickBot="1" x14ac:dyDescent="0.35">
      <c r="A87" s="186">
        <f>ISP!AO60</f>
        <v>44621</v>
      </c>
      <c r="B87" s="187">
        <f>ISP!AP60</f>
        <v>63.11826821440679</v>
      </c>
      <c r="C87" s="188">
        <f>ISP!AQ60</f>
        <v>3.8285240449512985</v>
      </c>
      <c r="D87" s="188">
        <f>ISP!AR60</f>
        <v>1.4561908079877368</v>
      </c>
      <c r="E87" s="188">
        <f>ISP!AS60</f>
        <v>9.8838645387666464</v>
      </c>
      <c r="F87" s="188">
        <f>ISP!AT60</f>
        <v>19.511306628507008</v>
      </c>
      <c r="G87" s="188">
        <f>ISP!AU60</f>
        <v>5.2847148529390351</v>
      </c>
      <c r="H87" s="189">
        <f>ISP!AV60</f>
        <v>0.38035305274052694</v>
      </c>
      <c r="I87" s="190">
        <f>ISP!AW60</f>
        <v>96157.400000000009</v>
      </c>
      <c r="J87" s="415"/>
      <c r="K87" s="186">
        <f t="shared" si="3"/>
        <v>44621</v>
      </c>
      <c r="L87" s="187">
        <f>ISP!AZ60</f>
        <v>62.016700302855533</v>
      </c>
      <c r="M87" s="188">
        <f>ISP!BA60</f>
        <v>4.8921476891721865</v>
      </c>
      <c r="N87" s="188">
        <f>ISP!BB60</f>
        <v>2.110019229609617</v>
      </c>
      <c r="O87" s="188">
        <f>ISP!BC60</f>
        <v>6.803606338010086</v>
      </c>
      <c r="P87" s="188">
        <f>ISP!BD60</f>
        <v>46.171413048840904</v>
      </c>
      <c r="Q87" s="188">
        <f>ISP!BE60</f>
        <v>7.0021669187818034</v>
      </c>
      <c r="R87" s="189">
        <f>ISP!BF60</f>
        <v>0.43130734468211834</v>
      </c>
      <c r="S87" s="190">
        <f>ISP!BG60</f>
        <v>346600.9</v>
      </c>
    </row>
    <row r="88" spans="1:19" ht="29" thickBot="1" x14ac:dyDescent="0.35">
      <c r="A88" s="200" t="str">
        <f>ISP!AO61</f>
        <v>CUMML</v>
      </c>
      <c r="B88" s="201">
        <f>ISP!AP61</f>
        <v>62.834470697549122</v>
      </c>
      <c r="C88" s="202">
        <f>ISP!AQ61</f>
        <v>4.1339595287199193</v>
      </c>
      <c r="D88" s="202">
        <f>ISP!AR61</f>
        <v>1.5499999999999996</v>
      </c>
      <c r="E88" s="202">
        <f>ISP!AS61</f>
        <v>12.372319566203839</v>
      </c>
      <c r="F88" s="202">
        <f>ISP!AT61</f>
        <v>10.461946429243463</v>
      </c>
      <c r="G88" s="202">
        <f>ISP!AU61</f>
        <v>5.6839595287199192</v>
      </c>
      <c r="H88" s="203">
        <f>ISP!AV61</f>
        <v>0.37494319652421881</v>
      </c>
      <c r="I88" s="204">
        <f>ISP!AW61</f>
        <v>1209275.81</v>
      </c>
      <c r="J88" s="418"/>
      <c r="K88" s="200" t="str">
        <f t="shared" si="3"/>
        <v>CUMML</v>
      </c>
      <c r="L88" s="201">
        <f>ISP!AZ61</f>
        <v>62.016041444007897</v>
      </c>
      <c r="M88" s="202">
        <f>ISP!BA61</f>
        <v>4.8933546192181989</v>
      </c>
      <c r="N88" s="202">
        <f>ISP!BB61</f>
        <v>2.0656747504450803</v>
      </c>
      <c r="O88" s="202">
        <f>ISP!BC61</f>
        <v>7.3142559468994612</v>
      </c>
      <c r="P88" s="202">
        <f>ISP!BD61</f>
        <v>43.155992853141186</v>
      </c>
      <c r="Q88" s="202">
        <f>ISP!BE61</f>
        <v>6.9590293696632788</v>
      </c>
      <c r="R88" s="203">
        <f>ISP!BF61</f>
        <v>0.4221387802822083</v>
      </c>
      <c r="S88" s="204">
        <f>ISP!BG61</f>
        <v>3379283.2099999995</v>
      </c>
    </row>
    <row r="90" spans="1:19" ht="28.5" customHeight="1" x14ac:dyDescent="0.3">
      <c r="B90" s="432"/>
      <c r="C90" s="432"/>
      <c r="D90" s="432"/>
      <c r="E90" s="432"/>
      <c r="F90" s="432"/>
      <c r="G90" s="432"/>
      <c r="H90" s="432"/>
      <c r="I90" s="432"/>
      <c r="J90" s="432" t="s">
        <v>81</v>
      </c>
      <c r="K90" s="432"/>
      <c r="L90" s="432"/>
      <c r="M90" s="432"/>
      <c r="N90" s="432"/>
      <c r="O90" s="432"/>
      <c r="P90" s="432"/>
      <c r="Q90" s="432"/>
      <c r="R90" s="432"/>
      <c r="S90" s="432"/>
    </row>
    <row r="91" spans="1:19" ht="18.75" customHeight="1" x14ac:dyDescent="0.3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  <c r="L91" s="432"/>
      <c r="M91" s="432"/>
      <c r="N91" s="432"/>
      <c r="O91" s="432"/>
      <c r="P91" s="432"/>
      <c r="Q91" s="432"/>
      <c r="R91" s="432"/>
      <c r="S91" s="432"/>
    </row>
    <row r="93" spans="1:19" ht="28.5" x14ac:dyDescent="0.55000000000000004">
      <c r="A93" s="26" t="s">
        <v>82</v>
      </c>
      <c r="B93" s="27">
        <f>BSP!B65</f>
        <v>0</v>
      </c>
      <c r="C93" s="591" t="str">
        <f>BSP!C65</f>
        <v xml:space="preserve"> BF  Limestone</v>
      </c>
      <c r="D93" s="591"/>
      <c r="E93" s="591"/>
      <c r="F93" s="591"/>
      <c r="I93" s="26" t="s">
        <v>83</v>
      </c>
      <c r="J93" s="27">
        <f>BSP!J65</f>
        <v>0</v>
      </c>
      <c r="K93" s="591" t="str">
        <f>BSL!C65</f>
        <v xml:space="preserve"> BF  Limestone</v>
      </c>
      <c r="L93" s="591"/>
      <c r="M93" s="591"/>
      <c r="N93" s="591"/>
    </row>
    <row r="94" spans="1:19" ht="24" thickBot="1" x14ac:dyDescent="0.6">
      <c r="A94" s="28">
        <f>BSP!A66</f>
        <v>0</v>
      </c>
      <c r="B94" s="28">
        <f>BSP!B66</f>
        <v>0</v>
      </c>
      <c r="C94" s="28">
        <f>BSP!C66</f>
        <v>0</v>
      </c>
      <c r="D94" s="28">
        <f>BSP!D66</f>
        <v>0</v>
      </c>
      <c r="E94" s="28">
        <f>BSP!E66</f>
        <v>0</v>
      </c>
      <c r="F94" s="28">
        <f>BSP!F66</f>
        <v>0</v>
      </c>
      <c r="I94" s="28">
        <f>BSP!I66</f>
        <v>0</v>
      </c>
      <c r="J94" s="28">
        <f>BSP!J66</f>
        <v>0</v>
      </c>
      <c r="K94" s="28">
        <f>BSP!K66</f>
        <v>0</v>
      </c>
      <c r="L94" s="28">
        <f>BSP!L66</f>
        <v>0</v>
      </c>
      <c r="M94" s="28">
        <f>BSP!M66</f>
        <v>0</v>
      </c>
      <c r="N94" s="28">
        <f>BSP!N66</f>
        <v>0</v>
      </c>
    </row>
    <row r="95" spans="1:19" ht="29" thickBot="1" x14ac:dyDescent="0.7">
      <c r="A95" s="33">
        <f>BSP!A67</f>
        <v>0</v>
      </c>
      <c r="B95" s="34" t="str">
        <f>BSP!B67</f>
        <v>CaO</v>
      </c>
      <c r="C95" s="35" t="str">
        <f>BSP!C67</f>
        <v>MgO</v>
      </c>
      <c r="D95" s="35" t="str">
        <f>BSP!D67</f>
        <v>SiO2</v>
      </c>
      <c r="E95" s="35" t="str">
        <f>BSP!E67</f>
        <v>OS</v>
      </c>
      <c r="F95" s="36" t="str">
        <f>BSP!F67</f>
        <v>US</v>
      </c>
      <c r="I95" s="33">
        <f>BSL!A67</f>
        <v>0</v>
      </c>
      <c r="J95" s="34" t="str">
        <f>BSL!B67</f>
        <v>CaO</v>
      </c>
      <c r="K95" s="35" t="str">
        <f>BSL!C67</f>
        <v>MgO</v>
      </c>
      <c r="L95" s="35" t="str">
        <f>BSL!D67</f>
        <v>SiO2</v>
      </c>
      <c r="M95" s="35" t="str">
        <f>BSL!E67</f>
        <v>OS</v>
      </c>
      <c r="N95" s="36" t="str">
        <f>BSL!F67</f>
        <v>US</v>
      </c>
    </row>
    <row r="96" spans="1:19" ht="29" thickBot="1" x14ac:dyDescent="0.7">
      <c r="A96" s="40" t="str">
        <f>BSP!A68</f>
        <v>Act 20-21</v>
      </c>
      <c r="B96" s="41">
        <f>BSP!B68</f>
        <v>49.81</v>
      </c>
      <c r="C96" s="42">
        <f>BSP!C68</f>
        <v>2.23</v>
      </c>
      <c r="D96" s="42">
        <f>BSP!D68</f>
        <v>3.85</v>
      </c>
      <c r="E96" s="42">
        <f>BSP!E68</f>
        <v>8.24</v>
      </c>
      <c r="F96" s="43">
        <f>BSP!F68</f>
        <v>16</v>
      </c>
      <c r="I96" s="40" t="str">
        <f>BSL!A68</f>
        <v>Act 20-21</v>
      </c>
      <c r="J96" s="41">
        <f>BSL!B68</f>
        <v>43.27</v>
      </c>
      <c r="K96" s="42">
        <f>BSL!C68</f>
        <v>4.7300000000000004</v>
      </c>
      <c r="L96" s="42">
        <f>BSL!D68</f>
        <v>3.9</v>
      </c>
      <c r="M96" s="42">
        <f>BSL!E68</f>
        <v>7.25</v>
      </c>
      <c r="N96" s="43">
        <f>BSL!F68</f>
        <v>27.43</v>
      </c>
    </row>
    <row r="97" spans="1:14" ht="29" thickBot="1" x14ac:dyDescent="0.7">
      <c r="A97" s="47" t="str">
        <f>BSP!A69</f>
        <v>APP 21-22</v>
      </c>
      <c r="B97" s="34">
        <f>BSP!B69</f>
        <v>50</v>
      </c>
      <c r="C97" s="35">
        <f>BSP!C69</f>
        <v>2.25</v>
      </c>
      <c r="D97" s="35">
        <f>BSP!D69</f>
        <v>3.5</v>
      </c>
      <c r="E97" s="35">
        <f>BSP!E69</f>
        <v>5</v>
      </c>
      <c r="F97" s="36">
        <f>BSP!F69</f>
        <v>5</v>
      </c>
      <c r="I97" s="47" t="str">
        <f>BSL!A69</f>
        <v>APP 21-22</v>
      </c>
      <c r="J97" s="34">
        <f>BSL!B69</f>
        <v>50</v>
      </c>
      <c r="K97" s="35">
        <f>BSL!C69</f>
        <v>2.25</v>
      </c>
      <c r="L97" s="35">
        <f>BSL!D69</f>
        <v>3.5</v>
      </c>
      <c r="M97" s="35">
        <f>BSL!E69</f>
        <v>5</v>
      </c>
      <c r="N97" s="36">
        <f>BSL!F69</f>
        <v>5</v>
      </c>
    </row>
    <row r="98" spans="1:14" ht="28.5" x14ac:dyDescent="0.65">
      <c r="A98" s="52">
        <f>BSP!A70</f>
        <v>44287</v>
      </c>
      <c r="B98" s="53">
        <f>BSP!B70</f>
        <v>49.01</v>
      </c>
      <c r="C98" s="54">
        <f>BSP!C70</f>
        <v>2.5</v>
      </c>
      <c r="D98" s="54">
        <f>BSP!D70</f>
        <v>4.16</v>
      </c>
      <c r="E98" s="54">
        <f>BSP!E70</f>
        <v>8.9</v>
      </c>
      <c r="F98" s="55">
        <f>BSP!F70</f>
        <v>16.170000000000002</v>
      </c>
      <c r="I98" s="52">
        <f>BSL!A70</f>
        <v>44287</v>
      </c>
      <c r="J98" s="53">
        <f>BSL!B70</f>
        <v>42.81</v>
      </c>
      <c r="K98" s="54">
        <f>BSL!C70</f>
        <v>4.33</v>
      </c>
      <c r="L98" s="54">
        <f>BSL!D70</f>
        <v>4.03</v>
      </c>
      <c r="M98" s="54">
        <f>BSL!E70</f>
        <v>5.6</v>
      </c>
      <c r="N98" s="55">
        <f>BSL!F70</f>
        <v>30.2</v>
      </c>
    </row>
    <row r="99" spans="1:14" ht="28.5" x14ac:dyDescent="0.65">
      <c r="A99" s="33">
        <f>BSP!A71</f>
        <v>44317</v>
      </c>
      <c r="B99" s="57">
        <f>BSP!B71</f>
        <v>0</v>
      </c>
      <c r="C99" s="58">
        <f>BSP!C71</f>
        <v>0</v>
      </c>
      <c r="D99" s="58">
        <f>BSP!D71</f>
        <v>0</v>
      </c>
      <c r="E99" s="58">
        <f>BSP!E71</f>
        <v>0</v>
      </c>
      <c r="F99" s="59">
        <f>BSP!F71</f>
        <v>0</v>
      </c>
      <c r="I99" s="33">
        <f>BSL!A71</f>
        <v>44317</v>
      </c>
      <c r="J99" s="57">
        <f>BSL!B71</f>
        <v>0</v>
      </c>
      <c r="K99" s="58">
        <f>BSL!C71</f>
        <v>0</v>
      </c>
      <c r="L99" s="58">
        <f>BSL!D71</f>
        <v>0</v>
      </c>
      <c r="M99" s="58">
        <f>BSL!E71</f>
        <v>0</v>
      </c>
      <c r="N99" s="59">
        <f>BSL!F71</f>
        <v>0</v>
      </c>
    </row>
    <row r="100" spans="1:14" ht="28.5" x14ac:dyDescent="0.65">
      <c r="A100" s="33">
        <f>BSP!A72</f>
        <v>44348</v>
      </c>
      <c r="B100" s="57">
        <f>BSP!B72</f>
        <v>0</v>
      </c>
      <c r="C100" s="58">
        <f>BSP!C72</f>
        <v>0</v>
      </c>
      <c r="D100" s="58">
        <f>BSP!D72</f>
        <v>0</v>
      </c>
      <c r="E100" s="58">
        <f>BSP!E72</f>
        <v>0</v>
      </c>
      <c r="F100" s="59">
        <f>BSP!F72</f>
        <v>0</v>
      </c>
      <c r="I100" s="33">
        <f>BSL!A72</f>
        <v>44348</v>
      </c>
      <c r="J100" s="57">
        <f>BSL!B72</f>
        <v>0</v>
      </c>
      <c r="K100" s="58">
        <f>BSL!C72</f>
        <v>0</v>
      </c>
      <c r="L100" s="58">
        <f>BSL!D72</f>
        <v>0</v>
      </c>
      <c r="M100" s="58">
        <f>BSL!E72</f>
        <v>0</v>
      </c>
      <c r="N100" s="59">
        <f>BSL!F72</f>
        <v>0</v>
      </c>
    </row>
    <row r="101" spans="1:14" ht="28.5" x14ac:dyDescent="0.65">
      <c r="A101" s="33">
        <f>BSP!A73</f>
        <v>44378</v>
      </c>
      <c r="B101" s="57">
        <f>BSP!B73</f>
        <v>0</v>
      </c>
      <c r="C101" s="58">
        <f>BSP!C73</f>
        <v>0</v>
      </c>
      <c r="D101" s="58">
        <f>BSP!D73</f>
        <v>0</v>
      </c>
      <c r="E101" s="58">
        <f>BSP!E73</f>
        <v>0</v>
      </c>
      <c r="F101" s="59">
        <f>BSP!F73</f>
        <v>0</v>
      </c>
      <c r="I101" s="33">
        <f>BSL!A73</f>
        <v>44378</v>
      </c>
      <c r="J101" s="57">
        <f>BSL!B73</f>
        <v>0</v>
      </c>
      <c r="K101" s="58">
        <f>BSL!C73</f>
        <v>0</v>
      </c>
      <c r="L101" s="58">
        <f>BSL!D73</f>
        <v>0</v>
      </c>
      <c r="M101" s="58">
        <f>BSL!E73</f>
        <v>0</v>
      </c>
      <c r="N101" s="59">
        <f>BSL!F73</f>
        <v>0</v>
      </c>
    </row>
    <row r="102" spans="1:14" ht="28.5" x14ac:dyDescent="0.65">
      <c r="A102" s="33">
        <f>BSP!A74</f>
        <v>44409</v>
      </c>
      <c r="B102" s="57">
        <f>BSP!B74</f>
        <v>0</v>
      </c>
      <c r="C102" s="58">
        <f>BSP!C74</f>
        <v>0</v>
      </c>
      <c r="D102" s="58">
        <f>BSP!D74</f>
        <v>0</v>
      </c>
      <c r="E102" s="58">
        <f>BSP!E74</f>
        <v>0</v>
      </c>
      <c r="F102" s="59">
        <f>BSP!F74</f>
        <v>0</v>
      </c>
      <c r="I102" s="33">
        <f>BSL!A74</f>
        <v>44409</v>
      </c>
      <c r="J102" s="57">
        <f>BSL!B74</f>
        <v>0</v>
      </c>
      <c r="K102" s="58">
        <f>BSL!C74</f>
        <v>0</v>
      </c>
      <c r="L102" s="58">
        <f>BSL!D74</f>
        <v>0</v>
      </c>
      <c r="M102" s="58">
        <f>BSL!E74</f>
        <v>0</v>
      </c>
      <c r="N102" s="59">
        <f>BSL!F74</f>
        <v>0</v>
      </c>
    </row>
    <row r="103" spans="1:14" ht="28.5" x14ac:dyDescent="0.65">
      <c r="A103" s="33">
        <f>BSP!A75</f>
        <v>44440</v>
      </c>
      <c r="B103" s="57">
        <f>BSP!B75</f>
        <v>0</v>
      </c>
      <c r="C103" s="58">
        <f>BSP!C75</f>
        <v>0</v>
      </c>
      <c r="D103" s="58">
        <f>BSP!D75</f>
        <v>0</v>
      </c>
      <c r="E103" s="58">
        <f>BSP!E75</f>
        <v>0</v>
      </c>
      <c r="F103" s="59">
        <f>BSP!F75</f>
        <v>0</v>
      </c>
      <c r="I103" s="33">
        <f>BSL!A75</f>
        <v>44440</v>
      </c>
      <c r="J103" s="57">
        <f>BSL!B75</f>
        <v>0</v>
      </c>
      <c r="K103" s="58">
        <f>BSL!C75</f>
        <v>0</v>
      </c>
      <c r="L103" s="58">
        <f>BSL!D75</f>
        <v>0</v>
      </c>
      <c r="M103" s="58">
        <f>BSL!E75</f>
        <v>0</v>
      </c>
      <c r="N103" s="59">
        <f>BSL!F75</f>
        <v>0</v>
      </c>
    </row>
    <row r="104" spans="1:14" ht="28.5" x14ac:dyDescent="0.65">
      <c r="A104" s="33">
        <f>BSP!A76</f>
        <v>44470</v>
      </c>
      <c r="B104" s="57">
        <f>BSP!B76</f>
        <v>0</v>
      </c>
      <c r="C104" s="58">
        <f>BSP!C76</f>
        <v>0</v>
      </c>
      <c r="D104" s="58">
        <f>BSP!D76</f>
        <v>0</v>
      </c>
      <c r="E104" s="58">
        <f>BSP!E76</f>
        <v>0</v>
      </c>
      <c r="F104" s="59">
        <f>BSP!F76</f>
        <v>0</v>
      </c>
      <c r="I104" s="33">
        <f>BSL!A76</f>
        <v>44470</v>
      </c>
      <c r="J104" s="57">
        <f>BSL!B76</f>
        <v>0</v>
      </c>
      <c r="K104" s="58">
        <f>BSL!C76</f>
        <v>0</v>
      </c>
      <c r="L104" s="58">
        <f>BSL!D76</f>
        <v>0</v>
      </c>
      <c r="M104" s="58">
        <f>BSL!E76</f>
        <v>0</v>
      </c>
      <c r="N104" s="59">
        <f>BSL!F76</f>
        <v>0</v>
      </c>
    </row>
    <row r="105" spans="1:14" ht="28.5" x14ac:dyDescent="0.65">
      <c r="A105" s="33">
        <f>BSP!A77</f>
        <v>44501</v>
      </c>
      <c r="B105" s="60">
        <f>BSP!B77</f>
        <v>0</v>
      </c>
      <c r="C105" s="58">
        <f>BSP!C77</f>
        <v>0</v>
      </c>
      <c r="D105" s="58">
        <f>BSP!D77</f>
        <v>0</v>
      </c>
      <c r="E105" s="58">
        <f>BSP!E77</f>
        <v>0</v>
      </c>
      <c r="F105" s="61">
        <f>BSP!F77</f>
        <v>0</v>
      </c>
      <c r="I105" s="33">
        <f>BSL!A77</f>
        <v>44501</v>
      </c>
      <c r="J105" s="60">
        <f>BSL!B77</f>
        <v>0</v>
      </c>
      <c r="K105" s="58">
        <f>BSL!C77</f>
        <v>0</v>
      </c>
      <c r="L105" s="58">
        <f>BSL!D77</f>
        <v>0</v>
      </c>
      <c r="M105" s="58">
        <f>BSL!E77</f>
        <v>0</v>
      </c>
      <c r="N105" s="61">
        <f>BSL!F77</f>
        <v>0</v>
      </c>
    </row>
    <row r="106" spans="1:14" ht="28.5" x14ac:dyDescent="0.65">
      <c r="A106" s="33">
        <f>BSP!A78</f>
        <v>44531</v>
      </c>
      <c r="B106" s="60">
        <f>BSP!B78</f>
        <v>0</v>
      </c>
      <c r="C106" s="58">
        <f>BSP!C78</f>
        <v>0</v>
      </c>
      <c r="D106" s="58">
        <f>BSP!D78</f>
        <v>0</v>
      </c>
      <c r="E106" s="58">
        <f>BSP!E78</f>
        <v>0</v>
      </c>
      <c r="F106" s="61">
        <f>BSP!F78</f>
        <v>0</v>
      </c>
      <c r="I106" s="33">
        <f>BSL!A78</f>
        <v>44531</v>
      </c>
      <c r="J106" s="60">
        <f>BSL!B78</f>
        <v>0</v>
      </c>
      <c r="K106" s="58">
        <f>BSL!C78</f>
        <v>0</v>
      </c>
      <c r="L106" s="58">
        <f>BSL!D78</f>
        <v>0</v>
      </c>
      <c r="M106" s="58">
        <f>BSL!E78</f>
        <v>0</v>
      </c>
      <c r="N106" s="61">
        <f>BSL!F78</f>
        <v>0</v>
      </c>
    </row>
    <row r="107" spans="1:14" ht="28.5" x14ac:dyDescent="0.65">
      <c r="A107" s="33">
        <f>BSP!A79</f>
        <v>44562</v>
      </c>
      <c r="B107" s="60">
        <f>BSP!B79</f>
        <v>0</v>
      </c>
      <c r="C107" s="58">
        <f>BSP!C79</f>
        <v>0</v>
      </c>
      <c r="D107" s="58">
        <f>BSP!D79</f>
        <v>0</v>
      </c>
      <c r="E107" s="58">
        <f>BSP!E79</f>
        <v>0</v>
      </c>
      <c r="F107" s="61">
        <f>BSP!F79</f>
        <v>0</v>
      </c>
      <c r="I107" s="33">
        <f>BSL!A79</f>
        <v>44562</v>
      </c>
      <c r="J107" s="60">
        <f>BSL!B79</f>
        <v>0</v>
      </c>
      <c r="K107" s="58">
        <f>BSL!C79</f>
        <v>0</v>
      </c>
      <c r="L107" s="58">
        <f>BSL!D79</f>
        <v>0</v>
      </c>
      <c r="M107" s="58">
        <f>BSL!E79</f>
        <v>0</v>
      </c>
      <c r="N107" s="61">
        <f>BSL!F79</f>
        <v>0</v>
      </c>
    </row>
    <row r="108" spans="1:14" ht="28.5" x14ac:dyDescent="0.65">
      <c r="A108" s="33">
        <f>BSP!A80</f>
        <v>44593</v>
      </c>
      <c r="B108" s="60">
        <f>BSP!B80</f>
        <v>0</v>
      </c>
      <c r="C108" s="58">
        <f>BSP!C80</f>
        <v>0</v>
      </c>
      <c r="D108" s="58">
        <f>BSP!D80</f>
        <v>0</v>
      </c>
      <c r="E108" s="58">
        <f>BSP!E80</f>
        <v>0</v>
      </c>
      <c r="F108" s="61">
        <f>BSP!F80</f>
        <v>0</v>
      </c>
      <c r="I108" s="33">
        <f>BSL!A80</f>
        <v>44593</v>
      </c>
      <c r="J108" s="60">
        <f>BSL!B80</f>
        <v>0</v>
      </c>
      <c r="K108" s="58">
        <f>BSL!C80</f>
        <v>0</v>
      </c>
      <c r="L108" s="58">
        <f>BSL!D80</f>
        <v>0</v>
      </c>
      <c r="M108" s="58">
        <f>BSL!E80</f>
        <v>0</v>
      </c>
      <c r="N108" s="61">
        <f>BSL!F80</f>
        <v>0</v>
      </c>
    </row>
    <row r="109" spans="1:14" ht="29" thickBot="1" x14ac:dyDescent="0.7">
      <c r="A109" s="40">
        <f>BSP!A81</f>
        <v>44621</v>
      </c>
      <c r="B109" s="62">
        <f>BSP!B81</f>
        <v>0</v>
      </c>
      <c r="C109" s="63">
        <f>BSP!C81</f>
        <v>0</v>
      </c>
      <c r="D109" s="63">
        <f>BSP!D81</f>
        <v>0</v>
      </c>
      <c r="E109" s="63">
        <f>BSP!E81</f>
        <v>0</v>
      </c>
      <c r="F109" s="64">
        <f>BSP!F81</f>
        <v>0</v>
      </c>
      <c r="I109" s="40">
        <f>BSL!A81</f>
        <v>44621</v>
      </c>
      <c r="J109" s="62">
        <f>BSL!B81</f>
        <v>0</v>
      </c>
      <c r="K109" s="63">
        <f>BSL!C81</f>
        <v>0</v>
      </c>
      <c r="L109" s="63">
        <f>BSL!D81</f>
        <v>0</v>
      </c>
      <c r="M109" s="63">
        <f>BSL!E81</f>
        <v>0</v>
      </c>
      <c r="N109" s="64">
        <f>BSL!F81</f>
        <v>0</v>
      </c>
    </row>
    <row r="110" spans="1:14" ht="29" thickBot="1" x14ac:dyDescent="0.7">
      <c r="A110" s="47" t="str">
        <f>BSP!A82</f>
        <v>CUMML</v>
      </c>
      <c r="B110" s="34">
        <f>BSP!B82</f>
        <v>49.01</v>
      </c>
      <c r="C110" s="35">
        <f>BSP!C82</f>
        <v>2.5</v>
      </c>
      <c r="D110" s="35">
        <f>BSP!D82</f>
        <v>4.16</v>
      </c>
      <c r="E110" s="35">
        <f>BSP!E82</f>
        <v>8.9</v>
      </c>
      <c r="F110" s="36">
        <f>BSP!F82</f>
        <v>16.170000000000002</v>
      </c>
      <c r="I110" s="47" t="str">
        <f>BSL!A82</f>
        <v>CUMML</v>
      </c>
      <c r="J110" s="34">
        <f>BSL!B82</f>
        <v>0</v>
      </c>
      <c r="K110" s="35">
        <f>BSL!C82</f>
        <v>0</v>
      </c>
      <c r="L110" s="35">
        <f>BSL!D82</f>
        <v>0</v>
      </c>
      <c r="M110" s="35">
        <f>BSL!E82</f>
        <v>0</v>
      </c>
      <c r="N110" s="36">
        <f>BSL!F82</f>
        <v>0</v>
      </c>
    </row>
    <row r="114" spans="1:17" ht="28.5" x14ac:dyDescent="0.55000000000000004">
      <c r="A114" s="26" t="s">
        <v>84</v>
      </c>
      <c r="B114" s="27">
        <f>BSP!B86</f>
        <v>0</v>
      </c>
      <c r="C114" s="591" t="str">
        <f>RSP!C65</f>
        <v xml:space="preserve"> BF  Limestone</v>
      </c>
      <c r="D114" s="591"/>
      <c r="E114" s="591"/>
      <c r="F114" s="591"/>
      <c r="I114" s="26" t="s">
        <v>49</v>
      </c>
      <c r="J114" s="599" t="s">
        <v>85</v>
      </c>
      <c r="K114" s="599"/>
      <c r="L114" s="599"/>
      <c r="M114" s="599"/>
      <c r="N114" s="599"/>
    </row>
    <row r="115" spans="1:17" ht="24" thickBot="1" x14ac:dyDescent="0.6">
      <c r="A115" s="28">
        <f>BSP!A87</f>
        <v>0</v>
      </c>
      <c r="B115" s="28">
        <f>BSP!B87</f>
        <v>0</v>
      </c>
      <c r="C115" s="28">
        <f>BSP!C87</f>
        <v>0</v>
      </c>
      <c r="D115" s="28">
        <f>BSP!D87</f>
        <v>0</v>
      </c>
      <c r="E115" s="28">
        <f>BSP!E87</f>
        <v>0</v>
      </c>
      <c r="F115" s="28">
        <f>BSP!F87</f>
        <v>0</v>
      </c>
      <c r="I115" s="28">
        <f>BSP!I87</f>
        <v>0</v>
      </c>
      <c r="J115" s="28">
        <f>BSP!J87</f>
        <v>0</v>
      </c>
      <c r="K115" s="28">
        <f>BSP!K87</f>
        <v>0</v>
      </c>
      <c r="L115" s="28">
        <f>BSP!L87</f>
        <v>0</v>
      </c>
      <c r="M115" s="28">
        <f>BSP!M87</f>
        <v>0</v>
      </c>
      <c r="N115" s="28">
        <f>BSP!N87</f>
        <v>0</v>
      </c>
    </row>
    <row r="116" spans="1:17" ht="29" thickBot="1" x14ac:dyDescent="0.7">
      <c r="A116" s="33">
        <f>RSP!A67</f>
        <v>0</v>
      </c>
      <c r="B116" s="34" t="str">
        <f>RSP!B67</f>
        <v>CaO</v>
      </c>
      <c r="C116" s="35" t="str">
        <f>RSP!C67</f>
        <v>MgO</v>
      </c>
      <c r="D116" s="35" t="str">
        <f>RSP!D67</f>
        <v>SiO2</v>
      </c>
      <c r="E116" s="35" t="str">
        <f>RSP!E67</f>
        <v>OS</v>
      </c>
      <c r="F116" s="36" t="str">
        <f>RSP!F67</f>
        <v>US</v>
      </c>
      <c r="I116" s="33">
        <f>A116</f>
        <v>0</v>
      </c>
      <c r="J116" s="34" t="str">
        <f t="shared" ref="J116:N118" si="4">B116</f>
        <v>CaO</v>
      </c>
      <c r="K116" s="35" t="str">
        <f t="shared" si="4"/>
        <v>MgO</v>
      </c>
      <c r="L116" s="35" t="str">
        <f t="shared" si="4"/>
        <v>SiO2</v>
      </c>
      <c r="M116" s="35" t="str">
        <f t="shared" si="4"/>
        <v>OS</v>
      </c>
      <c r="N116" s="36" t="str">
        <f t="shared" si="4"/>
        <v>US</v>
      </c>
    </row>
    <row r="117" spans="1:17" ht="29" thickBot="1" x14ac:dyDescent="0.7">
      <c r="A117" s="40" t="str">
        <f>RSP!A68</f>
        <v>Act 20-21</v>
      </c>
      <c r="B117" s="41">
        <f>RSP!B68</f>
        <v>49.25</v>
      </c>
      <c r="C117" s="42">
        <f>RSP!C68</f>
        <v>2.95</v>
      </c>
      <c r="D117" s="42">
        <f>RSP!D68</f>
        <v>3.45</v>
      </c>
      <c r="E117" s="42">
        <f>RSP!E68</f>
        <v>0</v>
      </c>
      <c r="F117" s="43">
        <f>RSP!F68</f>
        <v>0</v>
      </c>
      <c r="I117" s="40" t="str">
        <f t="shared" ref="I117:I131" si="5">A117</f>
        <v>Act 20-21</v>
      </c>
      <c r="J117" s="41">
        <f>(B96+J96+B117)/3</f>
        <v>47.443333333333335</v>
      </c>
      <c r="K117" s="41">
        <f t="shared" ref="K117:N117" si="6">(C96+K96+C117)/3</f>
        <v>3.3033333333333332</v>
      </c>
      <c r="L117" s="41">
        <f t="shared" si="6"/>
        <v>3.7333333333333329</v>
      </c>
      <c r="M117" s="41">
        <f t="shared" si="6"/>
        <v>5.1633333333333331</v>
      </c>
      <c r="N117" s="41">
        <f t="shared" si="6"/>
        <v>14.476666666666667</v>
      </c>
    </row>
    <row r="118" spans="1:17" ht="29" thickBot="1" x14ac:dyDescent="0.7">
      <c r="A118" s="47" t="str">
        <f>RSP!A69</f>
        <v>APP 21-22</v>
      </c>
      <c r="B118" s="34">
        <f>RSP!B69</f>
        <v>50</v>
      </c>
      <c r="C118" s="35">
        <f>RSP!C69</f>
        <v>2.25</v>
      </c>
      <c r="D118" s="35">
        <f>RSP!D69</f>
        <v>3.5</v>
      </c>
      <c r="E118" s="35">
        <f>RSP!E69</f>
        <v>5</v>
      </c>
      <c r="F118" s="36">
        <f>RSP!F69</f>
        <v>5</v>
      </c>
      <c r="I118" s="47" t="str">
        <f t="shared" si="5"/>
        <v>APP 21-22</v>
      </c>
      <c r="J118" s="34">
        <f t="shared" si="4"/>
        <v>50</v>
      </c>
      <c r="K118" s="35">
        <f t="shared" si="4"/>
        <v>2.25</v>
      </c>
      <c r="L118" s="35">
        <f t="shared" si="4"/>
        <v>3.5</v>
      </c>
      <c r="M118" s="35">
        <f t="shared" si="4"/>
        <v>5</v>
      </c>
      <c r="N118" s="36">
        <f t="shared" si="4"/>
        <v>5</v>
      </c>
    </row>
    <row r="119" spans="1:17" ht="28.5" x14ac:dyDescent="0.65">
      <c r="A119" s="52">
        <f>RSP!A70</f>
        <v>44287</v>
      </c>
      <c r="B119" s="53">
        <f>RSP!B70</f>
        <v>49.48</v>
      </c>
      <c r="C119" s="54">
        <f>RSP!C70</f>
        <v>2.73</v>
      </c>
      <c r="D119" s="54">
        <f>RSP!D70</f>
        <v>3.49</v>
      </c>
      <c r="E119" s="54">
        <f>RSP!E70</f>
        <v>0</v>
      </c>
      <c r="F119" s="55">
        <f>RSP!F70</f>
        <v>6</v>
      </c>
      <c r="I119" s="52">
        <f t="shared" si="5"/>
        <v>44287</v>
      </c>
      <c r="J119" s="57">
        <f>(BSP!B70*BSP!$G$70+BSL!B70*BSL!$G$70+DSP!B70*DSP!$G$70+RSP!B70*RSP!$G$70)/(BSP!$G$70+BSL!$G$70+DSP!$G$70+RSP!$G$70)</f>
        <v>45.696553991307901</v>
      </c>
      <c r="K119" s="57">
        <f>(BSP!C70*BSP!$G$70+BSL!C70*BSL!$G$70+DSP!C70*DSP!$G$70+RSP!C70*RSP!$G$70)/(BSP!$G$70+BSL!$G$70+DSP!$G$70+RSP!$G$70)</f>
        <v>3.5515425380434107</v>
      </c>
      <c r="L119" s="57">
        <f>(BSP!D70*BSP!$G$70+BSL!D70*BSL!$G$70+DSP!D70*DSP!$G$70+RSP!D70*RSP!$G$70)/(BSP!$G$70+BSL!$G$70+DSP!$G$70+RSP!$G$70)</f>
        <v>3.9549289897601625</v>
      </c>
      <c r="M119" s="57">
        <f>(BSP!E70*BSP!$G$70+BSL!E70*BSL!$G$70+DSP!E70*DSP!$G$70+RSP!E70*RSP!$G$70)/(BSP!$G$70+BSL!$G$70+DSP!$G$70+RSP!$G$70)</f>
        <v>5.3114124041949902</v>
      </c>
      <c r="N119" s="57">
        <f>(BSP!F70*BSP!$G$70+BSL!F70*BSL!$G$70+DSP!F70*DSP!$G$70+RSP!F70*RSP!$G$70)/(BSP!$G$70+BSL!$G$70+DSP!$G$70+RSP!$G$70)</f>
        <v>21.851749439718681</v>
      </c>
      <c r="Q119" s="438">
        <f>BSP!G70+BSL!G70+DSP!G70+RSP!G70+ISP!G70</f>
        <v>80763</v>
      </c>
    </row>
    <row r="120" spans="1:17" ht="28.5" x14ac:dyDescent="0.65">
      <c r="A120" s="33">
        <f>RSP!A71</f>
        <v>44317</v>
      </c>
      <c r="B120" s="57">
        <f>RSP!B71</f>
        <v>0</v>
      </c>
      <c r="C120" s="58">
        <f>RSP!C71</f>
        <v>0</v>
      </c>
      <c r="D120" s="58">
        <f>RSP!D71</f>
        <v>0</v>
      </c>
      <c r="E120" s="58">
        <f>RSP!E71</f>
        <v>0</v>
      </c>
      <c r="F120" s="59">
        <f>RSP!F71</f>
        <v>0</v>
      </c>
      <c r="I120" s="33">
        <f t="shared" si="5"/>
        <v>44317</v>
      </c>
      <c r="J120" s="57" t="e">
        <f>(BSP!B71*BSP!$G$71+BSL!B71*BSL!$G$71+DSP!B71*DSP!$G$71+RSP!B71*RSP!$G$71)/(BSP!$G$71+BSL!$G$71+DSP!$G$71+RSP!$G$71)</f>
        <v>#DIV/0!</v>
      </c>
      <c r="K120" s="57" t="e">
        <f>(BSP!C71*BSP!$G$71+BSL!C71*BSL!$G$71+DSP!C71*DSP!$G$71+RSP!C71*RSP!$G$71)/(BSP!$G$71+BSL!$G$71+DSP!$G$71+RSP!$G$71)</f>
        <v>#DIV/0!</v>
      </c>
      <c r="L120" s="57" t="e">
        <f>(BSP!D71*BSP!$G$71+BSL!D71*BSL!$G$71+DSP!D71*DSP!$G$71+RSP!D71*RSP!$G$71)/(BSP!$G$71+BSL!$G$71+DSP!$G$71+RSP!$G$71)</f>
        <v>#DIV/0!</v>
      </c>
      <c r="M120" s="57" t="e">
        <f>(BSP!E71*BSP!$G$71+BSL!E71*BSL!$G$71+DSP!E71*DSP!$G$71+RSP!E71*RSP!$G$71)/(BSP!$G$71+BSL!$G$71+DSP!$G$71+RSP!$G$71)</f>
        <v>#DIV/0!</v>
      </c>
      <c r="N120" s="57" t="e">
        <f>(BSP!F71*BSP!$G$71+BSL!F71*BSL!$G$71+DSP!F71*DSP!$G$71+RSP!F71*RSP!$G$71)/(BSP!$G$71+BSL!$G$71+DSP!$G$71+RSP!$G$71)</f>
        <v>#DIV/0!</v>
      </c>
      <c r="Q120" s="438">
        <f>BSP!G71+BSL!G71+DSP!G71+RSP!G71+ISP!G71</f>
        <v>0</v>
      </c>
    </row>
    <row r="121" spans="1:17" ht="28.5" x14ac:dyDescent="0.65">
      <c r="A121" s="33">
        <f>RSP!A72</f>
        <v>44348</v>
      </c>
      <c r="B121" s="57">
        <f>RSP!B72</f>
        <v>0</v>
      </c>
      <c r="C121" s="58">
        <f>RSP!C72</f>
        <v>0</v>
      </c>
      <c r="D121" s="58">
        <f>RSP!D72</f>
        <v>0</v>
      </c>
      <c r="E121" s="58">
        <f>RSP!E72</f>
        <v>0</v>
      </c>
      <c r="F121" s="59">
        <f>RSP!F72</f>
        <v>0</v>
      </c>
      <c r="I121" s="33">
        <f t="shared" si="5"/>
        <v>44348</v>
      </c>
      <c r="J121" s="57" t="e">
        <f>(BSP!B72*BSP!$G$72+BSL!B72*BSL!$G$72+DSP!B72*DSP!$G$72+RSP!B72*RSP!$G$72)/(BSP!$G$72+BSL!$G$72+DSP!$G$72+RSP!$G$72)</f>
        <v>#DIV/0!</v>
      </c>
      <c r="K121" s="57" t="e">
        <f>(BSP!C72*BSP!$G$72+BSL!C72*BSL!$G$72+DSP!C72*DSP!$G$72+RSP!C72*RSP!$G$72)/(BSP!$G$72+BSL!$G$72+DSP!$G$72+RSP!$G$72)</f>
        <v>#DIV/0!</v>
      </c>
      <c r="L121" s="57" t="e">
        <f>(BSP!D72*BSP!$G$72+BSL!D72*BSL!$G$72+DSP!D72*DSP!$G$72+RSP!D72*RSP!$G$72)/(BSP!$G$72+BSL!$G$72+DSP!$G$72+RSP!$G$72)</f>
        <v>#DIV/0!</v>
      </c>
      <c r="M121" s="57" t="e">
        <f>(BSP!E72*BSP!$G$72+BSL!E72*BSL!$G$72+DSP!E72*DSP!$G$72+RSP!E72*RSP!$G$72)/(BSP!$G$72+BSL!$G$72+DSP!$G$72+RSP!$G$72)</f>
        <v>#DIV/0!</v>
      </c>
      <c r="N121" s="57" t="e">
        <f>(BSP!F72*BSP!$G$72+BSL!F72*BSL!$G$72+DSP!F72*DSP!$G$72+RSP!F72*RSP!$G$72)/(BSP!$G$72+BSL!$G$72+DSP!$G$72+RSP!$G$72)</f>
        <v>#DIV/0!</v>
      </c>
      <c r="Q121" s="438">
        <f>BSP!G72+BSL!G72+DSP!G72+RSP!G72+ISP!G72</f>
        <v>0</v>
      </c>
    </row>
    <row r="122" spans="1:17" ht="28.5" x14ac:dyDescent="0.65">
      <c r="A122" s="33">
        <f>RSP!A73</f>
        <v>44378</v>
      </c>
      <c r="B122" s="57">
        <f>RSP!B73</f>
        <v>0</v>
      </c>
      <c r="C122" s="58">
        <f>RSP!C73</f>
        <v>0</v>
      </c>
      <c r="D122" s="58">
        <f>RSP!D73</f>
        <v>0</v>
      </c>
      <c r="E122" s="58">
        <f>RSP!E73</f>
        <v>0</v>
      </c>
      <c r="F122" s="59">
        <f>RSP!F73</f>
        <v>0</v>
      </c>
      <c r="I122" s="33">
        <f t="shared" si="5"/>
        <v>44378</v>
      </c>
      <c r="J122" s="57" t="e">
        <f>(BSP!B73*BSP!$G$73+BSL!B73*BSL!$G$73+DSP!B73*DSP!$G$73+RSP!B73*RSP!$G$73)/(BSP!$G$73+BSL!$G$73+DSP!$G$73+RSP!$G$73)</f>
        <v>#DIV/0!</v>
      </c>
      <c r="K122" s="57" t="e">
        <f>(BSP!C73*BSP!$G$73+BSL!C73*BSL!$G$73+DSP!C73*DSP!$G$73+RSP!C73*RSP!$G$73)/(BSP!$G$73+BSL!$G$73+DSP!$G$73+RSP!$G$73)</f>
        <v>#DIV/0!</v>
      </c>
      <c r="L122" s="57" t="e">
        <f>(BSP!D73*BSP!$G$73+BSL!D73*BSL!$G$73+DSP!D73*DSP!$G$73+RSP!D73*RSP!$G$73)/(BSP!$G$73+BSL!$G$73+DSP!$G$73+RSP!$G$73)</f>
        <v>#DIV/0!</v>
      </c>
      <c r="M122" s="57" t="e">
        <f>(BSP!E73*BSP!$G$73+BSL!E73*BSL!$G$73+DSP!E73*DSP!$G$73+RSP!E73*RSP!$G$73)/(BSP!$G$73+BSL!$G$73+DSP!$G$73+RSP!$G$73)</f>
        <v>#DIV/0!</v>
      </c>
      <c r="N122" s="57" t="e">
        <f>(BSP!F73*BSP!$G$73+BSL!F73*BSL!$G$73+DSP!F73*DSP!$G$73+RSP!F73*RSP!$G$73)/(BSP!$G$73+BSL!$G$73+DSP!$G$73+RSP!$G$73)</f>
        <v>#DIV/0!</v>
      </c>
      <c r="Q122" s="438">
        <f>BSP!G73+BSL!G73+DSP!G73+RSP!G73+ISP!G73</f>
        <v>0</v>
      </c>
    </row>
    <row r="123" spans="1:17" ht="28.5" x14ac:dyDescent="0.65">
      <c r="A123" s="33">
        <f>RSP!A74</f>
        <v>44409</v>
      </c>
      <c r="B123" s="57">
        <f>RSP!B74</f>
        <v>0</v>
      </c>
      <c r="C123" s="58">
        <f>RSP!C74</f>
        <v>0</v>
      </c>
      <c r="D123" s="58">
        <f>RSP!D74</f>
        <v>0</v>
      </c>
      <c r="E123" s="58">
        <f>RSP!E74</f>
        <v>0</v>
      </c>
      <c r="F123" s="59">
        <f>RSP!F74</f>
        <v>0</v>
      </c>
      <c r="I123" s="33">
        <f t="shared" si="5"/>
        <v>44409</v>
      </c>
      <c r="J123" s="57" t="e">
        <f>(BSP!B74*BSP!$G$73+BSL!B74*BSL!$G$73+DSP!B74*DSP!$G$73+RSP!B74*RSP!$G$73)/(BSP!$G$73+BSL!$G$73+DSP!$G$73+RSP!$G$73)</f>
        <v>#DIV/0!</v>
      </c>
      <c r="K123" s="57" t="e">
        <f>(BSP!C74*BSP!$G$73+BSL!C74*BSL!$G$73+DSP!C74*DSP!$G$73+RSP!C74*RSP!$G$73)/(BSP!$G$73+BSL!$G$73+DSP!$G$73+RSP!$G$73)</f>
        <v>#DIV/0!</v>
      </c>
      <c r="L123" s="57" t="e">
        <f>(BSP!D74*BSP!$G$73+BSL!D74*BSL!$G$73+DSP!D74*DSP!$G$73+RSP!D74*RSP!$G$73)/(BSP!$G$73+BSL!$G$73+DSP!$G$73+RSP!$G$73)</f>
        <v>#DIV/0!</v>
      </c>
      <c r="M123" s="57" t="e">
        <f>(BSP!E74*BSP!$G$73+BSL!E74*BSL!$G$73+DSP!E74*DSP!$G$73+RSP!E74*RSP!$G$73)/(BSP!$G$73+BSL!$G$73+DSP!$G$73+RSP!$G$73)</f>
        <v>#DIV/0!</v>
      </c>
      <c r="N123" s="57" t="e">
        <f>(BSP!F74*BSP!$G$73+BSL!F74*BSL!$G$73+DSP!F74*DSP!$G$73+RSP!F74*RSP!$G$73)/(BSP!$G$73+BSL!$G$73+DSP!$G$73+RSP!$G$73)</f>
        <v>#DIV/0!</v>
      </c>
      <c r="Q123" s="438">
        <f>BSP!G74+BSL!G74+DSP!G74+RSP!G74+ISP!G74</f>
        <v>0</v>
      </c>
    </row>
    <row r="124" spans="1:17" ht="28.5" x14ac:dyDescent="0.65">
      <c r="A124" s="33">
        <f>RSP!A75</f>
        <v>44440</v>
      </c>
      <c r="B124" s="57">
        <f>RSP!B75</f>
        <v>0</v>
      </c>
      <c r="C124" s="58">
        <f>RSP!C75</f>
        <v>0</v>
      </c>
      <c r="D124" s="58">
        <f>RSP!D75</f>
        <v>0</v>
      </c>
      <c r="E124" s="58">
        <f>RSP!E75</f>
        <v>0</v>
      </c>
      <c r="F124" s="59">
        <f>RSP!F75</f>
        <v>0</v>
      </c>
      <c r="I124" s="33">
        <f t="shared" si="5"/>
        <v>44440</v>
      </c>
      <c r="J124" s="57" t="e">
        <f>(BSP!B75*BSP!$G$73+BSL!B75*BSL!$G$73+DSP!B75*DSP!$G$73+RSP!B75*RSP!$G$73)/(BSP!$G$73+BSL!$G$73+DSP!$G$73+RSP!$G$73)</f>
        <v>#DIV/0!</v>
      </c>
      <c r="K124" s="57" t="e">
        <f>(BSP!C75*BSP!$G$73+BSL!C75*BSL!$G$73+DSP!C75*DSP!$G$73+RSP!C75*RSP!$G$73)/(BSP!$G$73+BSL!$G$73+DSP!$G$73+RSP!$G$73)</f>
        <v>#DIV/0!</v>
      </c>
      <c r="L124" s="57" t="e">
        <f>(BSP!D75*BSP!$G$73+BSL!D75*BSL!$G$73+DSP!D75*DSP!$G$73+RSP!D75*RSP!$G$73)/(BSP!$G$73+BSL!$G$73+DSP!$G$73+RSP!$G$73)</f>
        <v>#DIV/0!</v>
      </c>
      <c r="M124" s="57" t="e">
        <f>(BSP!E75*BSP!$G$73+BSL!E75*BSL!$G$73+DSP!E75*DSP!$G$73+RSP!E75*RSP!$G$73)/(BSP!$G$73+BSL!$G$73+DSP!$G$73+RSP!$G$73)</f>
        <v>#DIV/0!</v>
      </c>
      <c r="N124" s="57" t="e">
        <f>(BSP!F75*BSP!$G$73+BSL!F75*BSL!$G$73+DSP!F75*DSP!$G$73+RSP!F75*RSP!$G$73)/(BSP!$G$73+BSL!$G$73+DSP!$G$73+RSP!$G$73)</f>
        <v>#DIV/0!</v>
      </c>
      <c r="Q124" s="438">
        <f>BSP!G75+BSL!G75+DSP!G75+RSP!G75+ISP!G75</f>
        <v>0</v>
      </c>
    </row>
    <row r="125" spans="1:17" ht="28.5" x14ac:dyDescent="0.65">
      <c r="A125" s="33">
        <f>RSP!A76</f>
        <v>44470</v>
      </c>
      <c r="B125" s="57">
        <f>RSP!B76</f>
        <v>0</v>
      </c>
      <c r="C125" s="58">
        <f>RSP!C76</f>
        <v>0</v>
      </c>
      <c r="D125" s="58">
        <f>RSP!D76</f>
        <v>0</v>
      </c>
      <c r="E125" s="58">
        <f>RSP!E76</f>
        <v>0</v>
      </c>
      <c r="F125" s="59">
        <f>RSP!F76</f>
        <v>0</v>
      </c>
      <c r="I125" s="33">
        <f t="shared" si="5"/>
        <v>44470</v>
      </c>
      <c r="J125" s="57" t="e">
        <f>(BSP!B76*BSP!$G$73+BSL!B76*BSL!$G$73+DSP!B76*DSP!$G$73+RSP!B76*RSP!$G$73)/(BSP!$G$73+BSL!$G$73+DSP!$G$73+RSP!$G$73)</f>
        <v>#DIV/0!</v>
      </c>
      <c r="K125" s="57" t="e">
        <f>(BSP!C76*BSP!$G$73+BSL!C76*BSL!$G$73+DSP!C76*DSP!$G$73+RSP!C76*RSP!$G$73)/(BSP!$G$73+BSL!$G$73+DSP!$G$73+RSP!$G$73)</f>
        <v>#DIV/0!</v>
      </c>
      <c r="L125" s="57" t="e">
        <f>(BSP!D76*BSP!$G$73+BSL!D76*BSL!$G$73+DSP!D76*DSP!$G$73+RSP!D76*RSP!$G$73)/(BSP!$G$73+BSL!$G$73+DSP!$G$73+RSP!$G$73)</f>
        <v>#DIV/0!</v>
      </c>
      <c r="M125" s="57" t="e">
        <f>(BSP!E76*BSP!$G$73+BSL!E76*BSL!$G$73+DSP!E76*DSP!$G$73+RSP!E76*RSP!$G$73)/(BSP!$G$73+BSL!$G$73+DSP!$G$73+RSP!$G$73)</f>
        <v>#DIV/0!</v>
      </c>
      <c r="N125" s="57" t="e">
        <f>(BSP!F76*BSP!$G$73+BSL!F76*BSL!$G$73+DSP!F76*DSP!$G$73+RSP!F76*RSP!$G$73)/(BSP!$G$73+BSL!$G$73+DSP!$G$73+RSP!$G$73)</f>
        <v>#DIV/0!</v>
      </c>
      <c r="Q125" s="438">
        <f>BSP!G76+BSL!G76+DSP!G76+RSP!G76+ISP!G76</f>
        <v>0</v>
      </c>
    </row>
    <row r="126" spans="1:17" ht="28.5" x14ac:dyDescent="0.65">
      <c r="A126" s="33">
        <f>RSP!A77</f>
        <v>44501</v>
      </c>
      <c r="B126" s="60">
        <f>RSP!B77</f>
        <v>0</v>
      </c>
      <c r="C126" s="58">
        <f>RSP!C77</f>
        <v>0</v>
      </c>
      <c r="D126" s="58">
        <f>RSP!D77</f>
        <v>0</v>
      </c>
      <c r="E126" s="58">
        <f>RSP!E77</f>
        <v>0</v>
      </c>
      <c r="F126" s="61">
        <f>RSP!F77</f>
        <v>0</v>
      </c>
      <c r="I126" s="33">
        <f t="shared" si="5"/>
        <v>44501</v>
      </c>
      <c r="J126" s="57" t="e">
        <f>(BSP!B77*BSP!$G$73+BSL!B77*BSL!$G$73+DSP!B77*DSP!$G$73+RSP!B77*RSP!$G$73)/(BSP!$G$73+BSL!$G$73+DSP!$G$73+RSP!$G$73)</f>
        <v>#DIV/0!</v>
      </c>
      <c r="K126" s="57" t="e">
        <f>(BSP!C77*BSP!$G$73+BSL!C77*BSL!$G$73+DSP!C77*DSP!$G$73+RSP!C77*RSP!$G$73)/(BSP!$G$73+BSL!$G$73+DSP!$G$73+RSP!$G$73)</f>
        <v>#DIV/0!</v>
      </c>
      <c r="L126" s="57" t="e">
        <f>(BSP!D77*BSP!$G$73+BSL!D77*BSL!$G$73+DSP!D77*DSP!$G$73+RSP!D77*RSP!$G$73)/(BSP!$G$73+BSL!$G$73+DSP!$G$73+RSP!$G$73)</f>
        <v>#DIV/0!</v>
      </c>
      <c r="M126" s="57" t="e">
        <f>(BSP!E77*BSP!$G$73+BSL!E77*BSL!$G$73+DSP!E77*DSP!$G$73+RSP!E77*RSP!$G$73)/(BSP!$G$73+BSL!$G$73+DSP!$G$73+RSP!$G$73)</f>
        <v>#DIV/0!</v>
      </c>
      <c r="N126" s="57" t="e">
        <f>(BSP!F77*BSP!$G$73+BSL!F77*BSL!$G$73+DSP!F77*DSP!$G$73+RSP!F77*RSP!$G$73)/(BSP!$G$73+BSL!$G$73+DSP!$G$73+RSP!$G$73)</f>
        <v>#DIV/0!</v>
      </c>
      <c r="Q126" s="438">
        <f>BSP!G77+BSL!G77+DSP!G77+RSP!G77+ISP!G77</f>
        <v>0</v>
      </c>
    </row>
    <row r="127" spans="1:17" ht="28.5" x14ac:dyDescent="0.65">
      <c r="A127" s="33">
        <f>RSP!A78</f>
        <v>44531</v>
      </c>
      <c r="B127" s="60">
        <f>RSP!B78</f>
        <v>0</v>
      </c>
      <c r="C127" s="58">
        <f>RSP!C78</f>
        <v>0</v>
      </c>
      <c r="D127" s="58">
        <f>RSP!D78</f>
        <v>0</v>
      </c>
      <c r="E127" s="58">
        <f>RSP!E78</f>
        <v>0</v>
      </c>
      <c r="F127" s="61">
        <f>RSP!F78</f>
        <v>0</v>
      </c>
      <c r="I127" s="33">
        <f t="shared" si="5"/>
        <v>44531</v>
      </c>
      <c r="J127" s="57" t="e">
        <f>(BSP!B78*BSP!$G$73+BSL!B78*BSL!$G$73+DSP!B78*DSP!$G$73+RSP!B78*RSP!$G$73)/(BSP!$G$73+BSL!$G$73+DSP!$G$73+RSP!$G$73)</f>
        <v>#DIV/0!</v>
      </c>
      <c r="K127" s="57" t="e">
        <f>(BSP!C78*BSP!$G$73+BSL!C78*BSL!$G$73+DSP!C78*DSP!$G$73+RSP!C78*RSP!$G$73)/(BSP!$G$73+BSL!$G$73+DSP!$G$73+RSP!$G$73)</f>
        <v>#DIV/0!</v>
      </c>
      <c r="L127" s="57" t="e">
        <f>(BSP!D78*BSP!$G$73+BSL!D78*BSL!$G$73+DSP!D78*DSP!$G$73+RSP!D78*RSP!$G$73)/(BSP!$G$73+BSL!$G$73+DSP!$G$73+RSP!$G$73)</f>
        <v>#DIV/0!</v>
      </c>
      <c r="M127" s="57" t="e">
        <f>(BSP!E78*BSP!$G$73+BSL!E78*BSL!$G$73+DSP!E78*DSP!$G$73+RSP!E78*RSP!$G$73)/(BSP!$G$73+BSL!$G$73+DSP!$G$73+RSP!$G$73)</f>
        <v>#DIV/0!</v>
      </c>
      <c r="N127" s="57" t="e">
        <f>(BSP!F78*BSP!$G$73+BSL!F78*BSL!$G$73+DSP!F78*DSP!$G$73+RSP!F78*RSP!$G$73)/(BSP!$G$73+BSL!$G$73+DSP!$G$73+RSP!$G$73)</f>
        <v>#DIV/0!</v>
      </c>
      <c r="Q127" s="438">
        <f>BSP!G78+BSL!G78+DSP!G78+RSP!G78+ISP!G78</f>
        <v>0</v>
      </c>
    </row>
    <row r="128" spans="1:17" ht="28.5" x14ac:dyDescent="0.65">
      <c r="A128" s="33">
        <f>RSP!A79</f>
        <v>44562</v>
      </c>
      <c r="B128" s="60">
        <f>RSP!B79</f>
        <v>0</v>
      </c>
      <c r="C128" s="58">
        <f>RSP!C79</f>
        <v>0</v>
      </c>
      <c r="D128" s="58">
        <f>RSP!D79</f>
        <v>0</v>
      </c>
      <c r="E128" s="58">
        <f>RSP!E79</f>
        <v>0</v>
      </c>
      <c r="F128" s="61">
        <f>RSP!F79</f>
        <v>0</v>
      </c>
      <c r="I128" s="33">
        <f t="shared" si="5"/>
        <v>44562</v>
      </c>
      <c r="J128" s="57" t="e">
        <f>(BSP!B79*BSP!$G$73+BSL!B79*BSL!$G$73+DSP!B79*DSP!$G$73+RSP!B79*RSP!$G$73)/(BSP!$G$73+BSL!$G$73+DSP!$G$73+RSP!$G$73)</f>
        <v>#DIV/0!</v>
      </c>
      <c r="K128" s="57" t="e">
        <f>(BSP!C79*BSP!$G$73+BSL!C79*BSL!$G$73+DSP!C79*DSP!$G$73+RSP!C79*RSP!$G$73)/(BSP!$G$73+BSL!$G$73+DSP!$G$73+RSP!$G$73)</f>
        <v>#DIV/0!</v>
      </c>
      <c r="L128" s="57" t="e">
        <f>(BSP!D79*BSP!$G$73+BSL!D79*BSL!$G$73+DSP!D79*DSP!$G$73+RSP!D79*RSP!$G$73)/(BSP!$G$73+BSL!$G$73+DSP!$G$73+RSP!$G$73)</f>
        <v>#DIV/0!</v>
      </c>
      <c r="M128" s="57" t="e">
        <f>(BSP!E79*BSP!$G$73+BSL!E79*BSL!$G$73+DSP!E79*DSP!$G$73+RSP!E79*RSP!$G$73)/(BSP!$G$73+BSL!$G$73+DSP!$G$73+RSP!$G$73)</f>
        <v>#DIV/0!</v>
      </c>
      <c r="N128" s="57" t="e">
        <f>(BSP!F79*BSP!$G$73+BSL!F79*BSL!$G$73+DSP!F79*DSP!$G$73+RSP!F79*RSP!$G$73)/(BSP!$G$73+BSL!$G$73+DSP!$G$73+RSP!$G$73)</f>
        <v>#DIV/0!</v>
      </c>
      <c r="Q128" s="438">
        <f>BSP!G79+BSL!G79+DSP!G79+RSP!G79+ISP!G79</f>
        <v>0</v>
      </c>
    </row>
    <row r="129" spans="1:17" ht="28.5" x14ac:dyDescent="0.65">
      <c r="A129" s="33">
        <f>RSP!A80</f>
        <v>44593</v>
      </c>
      <c r="B129" s="60">
        <f>RSP!B80</f>
        <v>0</v>
      </c>
      <c r="C129" s="58">
        <f>RSP!C80</f>
        <v>0</v>
      </c>
      <c r="D129" s="58">
        <f>RSP!D80</f>
        <v>0</v>
      </c>
      <c r="E129" s="58">
        <f>RSP!E80</f>
        <v>0</v>
      </c>
      <c r="F129" s="61">
        <f>RSP!F80</f>
        <v>0</v>
      </c>
      <c r="I129" s="33">
        <f t="shared" si="5"/>
        <v>44593</v>
      </c>
      <c r="J129" s="57" t="e">
        <f>(BSP!B80*BSP!$G$73+BSL!B80*BSL!$G$73+DSP!B80*DSP!$G$73+RSP!B80*RSP!$G$73)/(BSP!$G$73+BSL!$G$73+DSP!$G$73+RSP!$G$73)</f>
        <v>#DIV/0!</v>
      </c>
      <c r="K129" s="57" t="e">
        <f>(BSP!C80*BSP!$G$73+BSL!C80*BSL!$G$73+DSP!C80*DSP!$G$73+RSP!C80*RSP!$G$73)/(BSP!$G$73+BSL!$G$73+DSP!$G$73+RSP!$G$73)</f>
        <v>#DIV/0!</v>
      </c>
      <c r="L129" s="57" t="e">
        <f>(BSP!D80*BSP!$G$73+BSL!D80*BSL!$G$73+DSP!D80*DSP!$G$73+RSP!D80*RSP!$G$73)/(BSP!$G$73+BSL!$G$73+DSP!$G$73+RSP!$G$73)</f>
        <v>#DIV/0!</v>
      </c>
      <c r="M129" s="57" t="e">
        <f>(BSP!E80*BSP!$G$73+BSL!E80*BSL!$G$73+DSP!E80*DSP!$G$73+RSP!E80*RSP!$G$73)/(BSP!$G$73+BSL!$G$73+DSP!$G$73+RSP!$G$73)</f>
        <v>#DIV/0!</v>
      </c>
      <c r="N129" s="57" t="e">
        <f>(BSP!F80*BSP!$G$73+BSL!F80*BSL!$G$73+DSP!F80*DSP!$G$73+RSP!F80*RSP!$G$73)/(BSP!$G$73+BSL!$G$73+DSP!$G$73+RSP!$G$73)</f>
        <v>#DIV/0!</v>
      </c>
      <c r="Q129" s="438">
        <f>BSP!G80+BSL!G80+DSP!G80+RSP!G80+ISP!G80</f>
        <v>0</v>
      </c>
    </row>
    <row r="130" spans="1:17" ht="29" thickBot="1" x14ac:dyDescent="0.7">
      <c r="A130" s="40">
        <f>RSP!A81</f>
        <v>44621</v>
      </c>
      <c r="B130" s="62">
        <f>RSP!B81</f>
        <v>0</v>
      </c>
      <c r="C130" s="63">
        <f>RSP!C81</f>
        <v>0</v>
      </c>
      <c r="D130" s="63">
        <f>RSP!D81</f>
        <v>0</v>
      </c>
      <c r="E130" s="63">
        <f>RSP!E81</f>
        <v>0</v>
      </c>
      <c r="F130" s="64">
        <f>RSP!F81</f>
        <v>0</v>
      </c>
      <c r="I130" s="40">
        <f t="shared" si="5"/>
        <v>44621</v>
      </c>
      <c r="J130" s="57" t="e">
        <f>(BSP!B81*BSP!$G$73+BSL!B81*BSL!$G$73+DSP!B81*DSP!$G$73+RSP!B81*RSP!$G$73)/(BSP!$G$73+BSL!$G$73+DSP!$G$73+RSP!$G$73)</f>
        <v>#DIV/0!</v>
      </c>
      <c r="K130" s="57" t="e">
        <f>(BSP!C81*BSP!$G$73+BSL!C81*BSL!$G$73+DSP!C81*DSP!$G$73+RSP!C81*RSP!$G$73)/(BSP!$G$73+BSL!$G$73+DSP!$G$73+RSP!$G$73)</f>
        <v>#DIV/0!</v>
      </c>
      <c r="L130" s="57" t="e">
        <f>(BSP!D81*BSP!$G$73+BSL!D81*BSL!$G$73+DSP!D81*DSP!$G$73+RSP!D81*RSP!$G$73)/(BSP!$G$73+BSL!$G$73+DSP!$G$73+RSP!$G$73)</f>
        <v>#DIV/0!</v>
      </c>
      <c r="M130" s="57" t="e">
        <f>(BSP!E81*BSP!$G$73+BSL!E81*BSL!$G$73+DSP!E81*DSP!$G$73+RSP!E81*RSP!$G$73)/(BSP!$G$73+BSL!$G$73+DSP!$G$73+RSP!$G$73)</f>
        <v>#DIV/0!</v>
      </c>
      <c r="N130" s="57" t="e">
        <f>(BSP!F81*BSP!$G$73+BSL!F81*BSL!$G$73+DSP!F81*DSP!$G$73+RSP!F81*RSP!$G$73)/(BSP!$G$73+BSL!$G$73+DSP!$G$73+RSP!$G$73)</f>
        <v>#DIV/0!</v>
      </c>
      <c r="Q130" s="438">
        <f>BSP!G81+BSL!G81+DSP!G81+RSP!G81+ISP!G81</f>
        <v>0</v>
      </c>
    </row>
    <row r="131" spans="1:17" ht="29" thickBot="1" x14ac:dyDescent="0.7">
      <c r="A131" s="47" t="str">
        <f>RSP!A82</f>
        <v>CUMML</v>
      </c>
      <c r="B131" s="34">
        <f>RSP!B82</f>
        <v>0</v>
      </c>
      <c r="C131" s="35">
        <f>RSP!C82</f>
        <v>0</v>
      </c>
      <c r="D131" s="35">
        <f>RSP!D82</f>
        <v>0</v>
      </c>
      <c r="E131" s="35">
        <f>RSP!E82</f>
        <v>0</v>
      </c>
      <c r="F131" s="36">
        <f>RSP!F82</f>
        <v>0</v>
      </c>
      <c r="I131" s="47" t="str">
        <f t="shared" si="5"/>
        <v>CUMML</v>
      </c>
      <c r="J131" s="34">
        <f>(BSP!B82*BSP!$G$82+BSL!B82*BSL!$G$82+DSP!B82*DSP!$G$82+RSP!B82*RSP!$G$82)/BLEND!$Q$131</f>
        <v>12.301805529759914</v>
      </c>
      <c r="K131" s="34">
        <f>(BSP!C82*BSP!$G$82+BSL!C82*BSL!$G$82+DSP!C82*DSP!$G$82+RSP!C82*RSP!$G$82)/BLEND!$Q$131</f>
        <v>0.62751507497245029</v>
      </c>
      <c r="L131" s="34">
        <f>(BSP!D82*BSP!$G$82+BSL!D82*BSL!$G$82+DSP!D82*DSP!$G$82+RSP!D82*RSP!$G$82)/BLEND!$Q$131</f>
        <v>1.0441850847541572</v>
      </c>
      <c r="M131" s="34">
        <f>(BSP!E82*BSP!$G$82+BSL!E82*BSL!$G$82+DSP!E82*DSP!$G$82+RSP!E82*RSP!$G$82)/BLEND!$Q$131</f>
        <v>2.2339536669019231</v>
      </c>
      <c r="N131" s="34">
        <f>(BSP!F82*BSP!$G$82+BSL!F82*BSL!$G$82+DSP!F82*DSP!$G$82+RSP!F82*RSP!$G$82)/BLEND!$Q$131</f>
        <v>4.0587675049218088</v>
      </c>
      <c r="O131" s="435">
        <f>BSP!G82+BSL!G82+DSP!G82+RSP!G82+ISP!G82</f>
        <v>80763</v>
      </c>
      <c r="Q131" s="439">
        <f>SUM(Q119:Q130)</f>
        <v>80763</v>
      </c>
    </row>
    <row r="133" spans="1:17" ht="30" customHeight="1" x14ac:dyDescent="0.6">
      <c r="A133" s="597" t="s">
        <v>86</v>
      </c>
      <c r="B133" s="597"/>
      <c r="C133" s="597"/>
      <c r="D133" s="597"/>
      <c r="E133" s="597"/>
      <c r="F133" s="597"/>
      <c r="G133" s="597"/>
      <c r="H133" s="597"/>
      <c r="I133" s="597"/>
      <c r="J133" s="597"/>
      <c r="K133" s="597"/>
      <c r="L133" s="597"/>
      <c r="M133" s="597"/>
      <c r="N133" s="597"/>
    </row>
  </sheetData>
  <mergeCells count="8">
    <mergeCell ref="A133:N133"/>
    <mergeCell ref="A1:R1"/>
    <mergeCell ref="A70:I70"/>
    <mergeCell ref="K70:S70"/>
    <mergeCell ref="C93:F93"/>
    <mergeCell ref="K93:N93"/>
    <mergeCell ref="C114:F114"/>
    <mergeCell ref="J114:N114"/>
  </mergeCells>
  <printOptions horizontalCentered="1" verticalCentered="1"/>
  <pageMargins left="0.18" right="0.17" top="0.2" bottom="0.2" header="0.27" footer="0.2"/>
  <pageSetup paperSize="9" scale="49" orientation="landscape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90"/>
  <sheetViews>
    <sheetView workbookViewId="0">
      <selection activeCell="B45" sqref="B45"/>
    </sheetView>
  </sheetViews>
  <sheetFormatPr defaultRowHeight="14.5" x14ac:dyDescent="0.35"/>
  <cols>
    <col min="1" max="1" width="13.453125" customWidth="1"/>
    <col min="2" max="2" width="15.26953125" customWidth="1"/>
    <col min="3" max="7" width="6.81640625" customWidth="1"/>
    <col min="8" max="8" width="9.81640625" customWidth="1"/>
    <col min="9" max="9" width="7.81640625" customWidth="1"/>
    <col min="10" max="11" width="8.81640625" customWidth="1"/>
    <col min="12" max="13" width="7.81640625" customWidth="1"/>
    <col min="14" max="14" width="10.81640625" customWidth="1"/>
    <col min="15" max="27" width="6.81640625" customWidth="1"/>
    <col min="28" max="31" width="7.81640625" customWidth="1"/>
    <col min="32" max="33" width="6.81640625" customWidth="1"/>
    <col min="34" max="34" width="8.81640625" customWidth="1"/>
    <col min="35" max="35" width="10.81640625" customWidth="1"/>
    <col min="36" max="39" width="7.81640625" customWidth="1"/>
    <col min="40" max="40" width="8.81640625" customWidth="1"/>
    <col min="41" max="41" width="10.81640625" bestFit="1" customWidth="1"/>
  </cols>
  <sheetData>
    <row r="1" spans="1:41" x14ac:dyDescent="0.35">
      <c r="A1" s="440" t="s">
        <v>0</v>
      </c>
      <c r="B1" t="s">
        <v>23</v>
      </c>
    </row>
    <row r="3" spans="1:41" x14ac:dyDescent="0.35">
      <c r="A3" s="440" t="s">
        <v>95</v>
      </c>
      <c r="B3" s="440" t="s">
        <v>94</v>
      </c>
    </row>
    <row r="4" spans="1:41" x14ac:dyDescent="0.35">
      <c r="B4" t="s">
        <v>22</v>
      </c>
      <c r="N4" t="s">
        <v>96</v>
      </c>
      <c r="O4" t="s">
        <v>27</v>
      </c>
      <c r="AA4" t="s">
        <v>97</v>
      </c>
      <c r="AB4" t="s">
        <v>101</v>
      </c>
      <c r="AN4" t="s">
        <v>102</v>
      </c>
      <c r="AO4" t="s">
        <v>93</v>
      </c>
    </row>
    <row r="5" spans="1:41" x14ac:dyDescent="0.35">
      <c r="A5" s="440" t="s">
        <v>92</v>
      </c>
      <c r="B5" t="s">
        <v>118</v>
      </c>
      <c r="C5" t="s">
        <v>119</v>
      </c>
      <c r="D5" t="s">
        <v>121</v>
      </c>
      <c r="E5" t="s">
        <v>130</v>
      </c>
      <c r="F5" t="s">
        <v>132</v>
      </c>
      <c r="G5" t="s">
        <v>184</v>
      </c>
      <c r="H5" t="s">
        <v>199</v>
      </c>
      <c r="I5" t="s">
        <v>202</v>
      </c>
      <c r="J5" t="s">
        <v>208</v>
      </c>
      <c r="K5" t="s">
        <v>209</v>
      </c>
      <c r="L5" t="s">
        <v>211</v>
      </c>
      <c r="M5" t="s">
        <v>212</v>
      </c>
      <c r="O5" t="s">
        <v>118</v>
      </c>
      <c r="P5" t="s">
        <v>119</v>
      </c>
      <c r="Q5" t="s">
        <v>121</v>
      </c>
      <c r="R5" t="s">
        <v>130</v>
      </c>
      <c r="S5" t="s">
        <v>132</v>
      </c>
      <c r="T5" t="s">
        <v>184</v>
      </c>
      <c r="U5" t="s">
        <v>199</v>
      </c>
      <c r="V5" t="s">
        <v>202</v>
      </c>
      <c r="W5" t="s">
        <v>208</v>
      </c>
      <c r="X5" t="s">
        <v>209</v>
      </c>
      <c r="Y5" t="s">
        <v>211</v>
      </c>
      <c r="Z5" t="s">
        <v>212</v>
      </c>
      <c r="AB5" t="s">
        <v>118</v>
      </c>
      <c r="AC5" t="s">
        <v>119</v>
      </c>
      <c r="AD5" t="s">
        <v>121</v>
      </c>
      <c r="AE5" t="s">
        <v>130</v>
      </c>
      <c r="AF5" t="s">
        <v>132</v>
      </c>
      <c r="AG5" t="s">
        <v>184</v>
      </c>
      <c r="AH5" t="s">
        <v>199</v>
      </c>
      <c r="AI5" t="s">
        <v>202</v>
      </c>
      <c r="AJ5" t="s">
        <v>208</v>
      </c>
      <c r="AK5" t="s">
        <v>209</v>
      </c>
      <c r="AL5" t="s">
        <v>211</v>
      </c>
      <c r="AM5" t="s">
        <v>212</v>
      </c>
    </row>
    <row r="6" spans="1:41" x14ac:dyDescent="0.35">
      <c r="A6" s="441" t="s">
        <v>15</v>
      </c>
      <c r="B6" s="442">
        <v>1501</v>
      </c>
      <c r="C6" s="442">
        <v>33928</v>
      </c>
      <c r="D6" s="442">
        <v>7931</v>
      </c>
      <c r="E6" s="442">
        <v>6500</v>
      </c>
      <c r="F6" s="442">
        <v>16766</v>
      </c>
      <c r="G6" s="442"/>
      <c r="H6" s="442">
        <v>14685.8</v>
      </c>
      <c r="I6" s="442">
        <v>21107</v>
      </c>
      <c r="J6" s="442"/>
      <c r="K6" s="442">
        <v>3023.6</v>
      </c>
      <c r="L6" s="442">
        <v>12896.7</v>
      </c>
      <c r="M6" s="442">
        <v>12259.6</v>
      </c>
      <c r="N6" s="442">
        <v>130598.70000000001</v>
      </c>
      <c r="O6" s="442">
        <v>1784</v>
      </c>
      <c r="P6" s="442">
        <v>27018</v>
      </c>
      <c r="Q6" s="442">
        <v>6135</v>
      </c>
      <c r="R6" s="442">
        <v>4523</v>
      </c>
      <c r="S6" s="442">
        <v>19207</v>
      </c>
      <c r="T6" s="442"/>
      <c r="U6" s="442">
        <v>11069.8</v>
      </c>
      <c r="V6" s="442"/>
      <c r="W6" s="442"/>
      <c r="X6" s="442"/>
      <c r="Y6" s="442">
        <v>1244</v>
      </c>
      <c r="Z6" s="442">
        <v>1502.8</v>
      </c>
      <c r="AA6" s="442">
        <v>72483.600000000006</v>
      </c>
      <c r="AB6" s="442"/>
      <c r="AC6" s="442"/>
      <c r="AD6" s="442"/>
      <c r="AE6" s="442"/>
      <c r="AF6" s="442"/>
      <c r="AG6" s="442"/>
      <c r="AH6" s="442"/>
      <c r="AI6" s="442"/>
      <c r="AJ6" s="442"/>
      <c r="AK6" s="442"/>
      <c r="AL6" s="442"/>
      <c r="AM6" s="442"/>
      <c r="AN6" s="442"/>
      <c r="AO6" s="442">
        <v>203082.3</v>
      </c>
    </row>
    <row r="7" spans="1:41" x14ac:dyDescent="0.35">
      <c r="A7" s="441" t="s">
        <v>9</v>
      </c>
      <c r="B7" s="442"/>
      <c r="C7" s="442"/>
      <c r="D7" s="442"/>
      <c r="E7" s="442"/>
      <c r="F7" s="442">
        <v>15909</v>
      </c>
      <c r="G7" s="442">
        <v>34624</v>
      </c>
      <c r="H7" s="442">
        <v>27269.38</v>
      </c>
      <c r="I7" s="442">
        <v>7819.9</v>
      </c>
      <c r="J7" s="442"/>
      <c r="K7" s="442"/>
      <c r="L7" s="442"/>
      <c r="M7" s="442"/>
      <c r="N7" s="442">
        <v>85622.28</v>
      </c>
      <c r="O7" s="442">
        <v>48485</v>
      </c>
      <c r="P7" s="442">
        <v>18706</v>
      </c>
      <c r="Q7" s="442">
        <v>22903</v>
      </c>
      <c r="R7" s="442">
        <v>3785</v>
      </c>
      <c r="S7" s="442">
        <v>3493</v>
      </c>
      <c r="T7" s="442"/>
      <c r="U7" s="442"/>
      <c r="V7" s="442"/>
      <c r="W7" s="442"/>
      <c r="X7" s="442"/>
      <c r="Y7" s="442">
        <v>7585</v>
      </c>
      <c r="Z7" s="442">
        <v>0</v>
      </c>
      <c r="AA7" s="442">
        <v>104957</v>
      </c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2">
        <v>190579.28</v>
      </c>
    </row>
    <row r="8" spans="1:41" x14ac:dyDescent="0.35">
      <c r="A8" s="441" t="s">
        <v>10</v>
      </c>
      <c r="B8" s="442">
        <v>55645</v>
      </c>
      <c r="C8" s="442">
        <v>77143</v>
      </c>
      <c r="D8" s="442">
        <v>70613</v>
      </c>
      <c r="E8" s="442">
        <v>47951</v>
      </c>
      <c r="F8" s="442">
        <v>83934</v>
      </c>
      <c r="G8" s="442">
        <v>59308</v>
      </c>
      <c r="H8" s="442">
        <v>105419.18</v>
      </c>
      <c r="I8" s="442">
        <v>90341.8</v>
      </c>
      <c r="J8" s="442">
        <v>46933.8</v>
      </c>
      <c r="K8" s="442">
        <v>56517.599999999999</v>
      </c>
      <c r="L8" s="442">
        <v>61890.9</v>
      </c>
      <c r="M8" s="442">
        <v>87215.4</v>
      </c>
      <c r="N8" s="442">
        <v>842912.68</v>
      </c>
      <c r="O8" s="442">
        <v>27637</v>
      </c>
      <c r="P8" s="442">
        <v>57164</v>
      </c>
      <c r="Q8" s="442">
        <v>57534</v>
      </c>
      <c r="R8" s="442">
        <v>42939</v>
      </c>
      <c r="S8" s="442">
        <v>106272</v>
      </c>
      <c r="T8" s="442">
        <v>68201</v>
      </c>
      <c r="U8" s="442">
        <v>85397.69</v>
      </c>
      <c r="V8" s="442">
        <v>30111.59</v>
      </c>
      <c r="W8" s="442">
        <v>43592.46</v>
      </c>
      <c r="X8" s="442">
        <v>63698.15</v>
      </c>
      <c r="Y8" s="442">
        <v>72153.5</v>
      </c>
      <c r="Z8" s="442">
        <v>70274.399999999994</v>
      </c>
      <c r="AA8" s="442">
        <v>724974.79</v>
      </c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2">
        <v>1567887.47</v>
      </c>
    </row>
    <row r="9" spans="1:41" x14ac:dyDescent="0.35">
      <c r="A9" s="441" t="s">
        <v>11</v>
      </c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>
        <v>28231</v>
      </c>
      <c r="P9" s="442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42">
        <v>28231</v>
      </c>
      <c r="AB9" s="442"/>
      <c r="AC9" s="442"/>
      <c r="AD9" s="442"/>
      <c r="AE9" s="442"/>
      <c r="AF9" s="442"/>
      <c r="AG9" s="442"/>
      <c r="AH9" s="442"/>
      <c r="AI9" s="442"/>
      <c r="AJ9" s="442"/>
      <c r="AK9" s="442"/>
      <c r="AL9" s="442"/>
      <c r="AM9" s="442"/>
      <c r="AN9" s="442"/>
      <c r="AO9" s="442">
        <v>28231</v>
      </c>
    </row>
    <row r="10" spans="1:41" x14ac:dyDescent="0.35">
      <c r="A10" s="441" t="s">
        <v>12</v>
      </c>
      <c r="B10" s="442">
        <v>99799</v>
      </c>
      <c r="C10" s="442">
        <v>68146</v>
      </c>
      <c r="D10" s="442">
        <v>116788</v>
      </c>
      <c r="E10" s="442">
        <v>165905</v>
      </c>
      <c r="F10" s="442">
        <v>134743</v>
      </c>
      <c r="G10" s="442">
        <v>101502</v>
      </c>
      <c r="H10" s="442">
        <v>104439.2</v>
      </c>
      <c r="I10" s="442">
        <v>120169.2</v>
      </c>
      <c r="J10" s="442">
        <v>147760</v>
      </c>
      <c r="K10" s="442">
        <v>119770.1</v>
      </c>
      <c r="L10" s="442">
        <v>102105.8</v>
      </c>
      <c r="M10" s="442">
        <v>117003.6</v>
      </c>
      <c r="N10" s="442">
        <v>1398130.9000000001</v>
      </c>
      <c r="O10" s="442">
        <v>56045</v>
      </c>
      <c r="P10" s="442">
        <v>46459</v>
      </c>
      <c r="Q10" s="442">
        <v>62630</v>
      </c>
      <c r="R10" s="442">
        <v>104950</v>
      </c>
      <c r="S10" s="442">
        <v>58442</v>
      </c>
      <c r="T10" s="442">
        <v>58533</v>
      </c>
      <c r="U10" s="442">
        <v>50327.3</v>
      </c>
      <c r="V10" s="442">
        <v>75710.100000000006</v>
      </c>
      <c r="W10" s="442">
        <v>74888.899999999994</v>
      </c>
      <c r="X10" s="442">
        <v>93390.9</v>
      </c>
      <c r="Y10" s="442">
        <v>86851.6</v>
      </c>
      <c r="Z10" s="442">
        <v>86045.4</v>
      </c>
      <c r="AA10" s="442">
        <v>854273.20000000007</v>
      </c>
      <c r="AB10" s="442"/>
      <c r="AC10" s="442"/>
      <c r="AD10" s="442"/>
      <c r="AE10" s="442"/>
      <c r="AF10" s="442"/>
      <c r="AG10" s="442"/>
      <c r="AH10" s="442"/>
      <c r="AI10" s="442"/>
      <c r="AJ10" s="442"/>
      <c r="AK10" s="442"/>
      <c r="AL10" s="442"/>
      <c r="AM10" s="442"/>
      <c r="AN10" s="442"/>
      <c r="AO10" s="442">
        <v>2252404.1</v>
      </c>
    </row>
    <row r="11" spans="1:41" x14ac:dyDescent="0.35">
      <c r="A11" s="441" t="s">
        <v>13</v>
      </c>
      <c r="B11" s="442">
        <v>180638</v>
      </c>
      <c r="C11" s="442">
        <v>68286</v>
      </c>
      <c r="D11" s="442">
        <v>120686</v>
      </c>
      <c r="E11" s="442">
        <v>131035</v>
      </c>
      <c r="F11" s="442">
        <v>89032</v>
      </c>
      <c r="G11" s="442">
        <v>109011</v>
      </c>
      <c r="H11" s="442">
        <v>153656</v>
      </c>
      <c r="I11" s="442">
        <v>148886.70000000001</v>
      </c>
      <c r="J11" s="442">
        <v>141443.20000000001</v>
      </c>
      <c r="K11" s="442">
        <v>176321.3</v>
      </c>
      <c r="L11" s="442">
        <v>98744.2</v>
      </c>
      <c r="M11" s="442">
        <v>159234.70000000001</v>
      </c>
      <c r="N11" s="442">
        <v>1576974.0999999999</v>
      </c>
      <c r="O11" s="442">
        <v>64728</v>
      </c>
      <c r="P11" s="442">
        <v>59821</v>
      </c>
      <c r="Q11" s="442">
        <v>79307</v>
      </c>
      <c r="R11" s="442">
        <v>90752</v>
      </c>
      <c r="S11" s="442">
        <v>60436</v>
      </c>
      <c r="T11" s="442">
        <v>92819</v>
      </c>
      <c r="U11" s="442">
        <v>85242.4</v>
      </c>
      <c r="V11" s="442">
        <v>102783.1</v>
      </c>
      <c r="W11" s="442">
        <v>96274.4</v>
      </c>
      <c r="X11" s="442">
        <v>69279.5</v>
      </c>
      <c r="Y11" s="442">
        <v>79132.5</v>
      </c>
      <c r="Z11" s="442">
        <v>111817.3</v>
      </c>
      <c r="AA11" s="442">
        <v>992392.20000000007</v>
      </c>
      <c r="AB11" s="442"/>
      <c r="AC11" s="442"/>
      <c r="AD11" s="442"/>
      <c r="AE11" s="442"/>
      <c r="AF11" s="442"/>
      <c r="AG11" s="442"/>
      <c r="AH11" s="442"/>
      <c r="AI11" s="442"/>
      <c r="AJ11" s="442"/>
      <c r="AK11" s="442"/>
      <c r="AL11" s="442"/>
      <c r="AM11" s="442"/>
      <c r="AN11" s="442"/>
      <c r="AO11" s="442">
        <v>2569366.2999999998</v>
      </c>
    </row>
    <row r="12" spans="1:41" x14ac:dyDescent="0.35">
      <c r="A12" s="441" t="s">
        <v>14</v>
      </c>
      <c r="B12" s="442">
        <v>7086</v>
      </c>
      <c r="C12" s="442">
        <v>28141</v>
      </c>
      <c r="D12" s="442">
        <v>3572</v>
      </c>
      <c r="E12" s="442"/>
      <c r="F12" s="442"/>
      <c r="G12" s="442"/>
      <c r="H12" s="442"/>
      <c r="I12" s="442"/>
      <c r="J12" s="442">
        <v>7228</v>
      </c>
      <c r="K12" s="442">
        <v>3743.3</v>
      </c>
      <c r="L12" s="442"/>
      <c r="M12" s="442"/>
      <c r="N12" s="442">
        <v>49770.3</v>
      </c>
      <c r="O12" s="442">
        <v>3340</v>
      </c>
      <c r="P12" s="442">
        <v>17229</v>
      </c>
      <c r="Q12" s="442"/>
      <c r="R12" s="442"/>
      <c r="S12" s="442"/>
      <c r="T12" s="442"/>
      <c r="U12" s="442">
        <v>3404.2</v>
      </c>
      <c r="V12" s="442"/>
      <c r="W12" s="442">
        <v>7206</v>
      </c>
      <c r="X12" s="442">
        <v>3604</v>
      </c>
      <c r="Y12" s="442"/>
      <c r="Z12" s="442"/>
      <c r="AA12" s="442">
        <v>34783.199999999997</v>
      </c>
      <c r="AB12" s="442"/>
      <c r="AC12" s="442"/>
      <c r="AD12" s="442"/>
      <c r="AE12" s="442"/>
      <c r="AF12" s="442"/>
      <c r="AG12" s="442"/>
      <c r="AH12" s="442"/>
      <c r="AI12" s="442"/>
      <c r="AJ12" s="442"/>
      <c r="AK12" s="442"/>
      <c r="AL12" s="442"/>
      <c r="AM12" s="442"/>
      <c r="AN12" s="442"/>
      <c r="AO12" s="442">
        <v>84553.5</v>
      </c>
    </row>
    <row r="13" spans="1:41" x14ac:dyDescent="0.35">
      <c r="A13" s="441" t="s">
        <v>17</v>
      </c>
      <c r="B13" s="442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442"/>
      <c r="P13" s="442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>
        <v>44383</v>
      </c>
      <c r="AC13" s="442">
        <v>36357</v>
      </c>
      <c r="AD13" s="442">
        <v>32456</v>
      </c>
      <c r="AE13" s="442">
        <v>52774</v>
      </c>
      <c r="AF13" s="442">
        <v>52082</v>
      </c>
      <c r="AG13" s="442">
        <v>52284</v>
      </c>
      <c r="AH13" s="442">
        <v>40258.199999999997</v>
      </c>
      <c r="AI13" s="442">
        <v>56865.7</v>
      </c>
      <c r="AJ13" s="442">
        <v>55465.2</v>
      </c>
      <c r="AK13" s="442">
        <v>52976.1</v>
      </c>
      <c r="AL13" s="442">
        <v>52548.3</v>
      </c>
      <c r="AM13" s="442">
        <v>56951.199999999997</v>
      </c>
      <c r="AN13" s="442">
        <v>585400.69999999995</v>
      </c>
      <c r="AO13" s="442">
        <v>585400.69999999995</v>
      </c>
    </row>
    <row r="14" spans="1:41" x14ac:dyDescent="0.35">
      <c r="A14" s="441" t="s">
        <v>24</v>
      </c>
      <c r="B14" s="442"/>
      <c r="C14" s="442"/>
      <c r="D14" s="442"/>
      <c r="E14" s="442"/>
      <c r="F14" s="442"/>
      <c r="G14" s="442"/>
      <c r="H14" s="442"/>
      <c r="I14" s="442"/>
      <c r="J14" s="442"/>
      <c r="K14" s="442"/>
      <c r="L14" s="442"/>
      <c r="M14" s="442"/>
      <c r="N14" s="442"/>
      <c r="O14" s="442"/>
      <c r="P14" s="442"/>
      <c r="Q14" s="442">
        <v>7642</v>
      </c>
      <c r="R14" s="442"/>
      <c r="S14" s="442"/>
      <c r="T14" s="442"/>
      <c r="U14" s="442"/>
      <c r="V14" s="442"/>
      <c r="W14" s="442"/>
      <c r="X14" s="442"/>
      <c r="Y14" s="442"/>
      <c r="Z14" s="442"/>
      <c r="AA14" s="442">
        <v>7642</v>
      </c>
      <c r="AB14" s="442"/>
      <c r="AC14" s="442"/>
      <c r="AD14" s="442"/>
      <c r="AE14" s="442"/>
      <c r="AF14" s="442"/>
      <c r="AG14" s="442"/>
      <c r="AH14" s="442"/>
      <c r="AI14" s="442"/>
      <c r="AJ14" s="442"/>
      <c r="AK14" s="442"/>
      <c r="AL14" s="442"/>
      <c r="AM14" s="442"/>
      <c r="AN14" s="442"/>
      <c r="AO14" s="442">
        <v>7642</v>
      </c>
    </row>
    <row r="15" spans="1:41" x14ac:dyDescent="0.35">
      <c r="A15" s="441" t="s">
        <v>93</v>
      </c>
      <c r="B15" s="442">
        <v>344669</v>
      </c>
      <c r="C15" s="442">
        <v>275644</v>
      </c>
      <c r="D15" s="442">
        <v>319590</v>
      </c>
      <c r="E15" s="442">
        <v>351391</v>
      </c>
      <c r="F15" s="442">
        <v>340384</v>
      </c>
      <c r="G15" s="442">
        <v>304445</v>
      </c>
      <c r="H15" s="442">
        <v>405469.56</v>
      </c>
      <c r="I15" s="442">
        <v>388324.60000000003</v>
      </c>
      <c r="J15" s="442">
        <v>343365</v>
      </c>
      <c r="K15" s="442">
        <v>359375.89999999997</v>
      </c>
      <c r="L15" s="442">
        <v>275637.60000000003</v>
      </c>
      <c r="M15" s="442">
        <v>375713.30000000005</v>
      </c>
      <c r="N15" s="442">
        <v>4084008.96</v>
      </c>
      <c r="O15" s="442">
        <v>230250</v>
      </c>
      <c r="P15" s="442">
        <v>226397</v>
      </c>
      <c r="Q15" s="442">
        <v>236151</v>
      </c>
      <c r="R15" s="442">
        <v>246949</v>
      </c>
      <c r="S15" s="442">
        <v>247850</v>
      </c>
      <c r="T15" s="442">
        <v>219553</v>
      </c>
      <c r="U15" s="442">
        <v>235441.39</v>
      </c>
      <c r="V15" s="442">
        <v>208604.79</v>
      </c>
      <c r="W15" s="442">
        <v>221961.75999999998</v>
      </c>
      <c r="X15" s="442">
        <v>229972.55</v>
      </c>
      <c r="Y15" s="442">
        <v>246966.6</v>
      </c>
      <c r="Z15" s="442">
        <v>269639.89999999997</v>
      </c>
      <c r="AA15" s="442">
        <v>2819736.99</v>
      </c>
      <c r="AB15" s="442">
        <v>44383</v>
      </c>
      <c r="AC15" s="442">
        <v>36357</v>
      </c>
      <c r="AD15" s="442">
        <v>32456</v>
      </c>
      <c r="AE15" s="442">
        <v>52774</v>
      </c>
      <c r="AF15" s="442">
        <v>52082</v>
      </c>
      <c r="AG15" s="442">
        <v>52284</v>
      </c>
      <c r="AH15" s="442">
        <v>40258.199999999997</v>
      </c>
      <c r="AI15" s="442">
        <v>56865.7</v>
      </c>
      <c r="AJ15" s="442">
        <v>55465.2</v>
      </c>
      <c r="AK15" s="442">
        <v>52976.1</v>
      </c>
      <c r="AL15" s="442">
        <v>52548.3</v>
      </c>
      <c r="AM15" s="442">
        <v>56951.199999999997</v>
      </c>
      <c r="AN15" s="442">
        <v>585400.69999999995</v>
      </c>
      <c r="AO15" s="442">
        <v>7489146.6500000004</v>
      </c>
    </row>
    <row r="21" spans="1:32" x14ac:dyDescent="0.35">
      <c r="A21" s="440" t="s">
        <v>0</v>
      </c>
      <c r="B21" t="s">
        <v>26</v>
      </c>
    </row>
    <row r="23" spans="1:32" x14ac:dyDescent="0.35">
      <c r="A23" s="440" t="s">
        <v>95</v>
      </c>
      <c r="B23" s="440" t="s">
        <v>94</v>
      </c>
    </row>
    <row r="24" spans="1:32" x14ac:dyDescent="0.35">
      <c r="B24" t="s">
        <v>22</v>
      </c>
      <c r="N24" t="s">
        <v>96</v>
      </c>
      <c r="O24" t="s">
        <v>27</v>
      </c>
      <c r="AA24" t="s">
        <v>97</v>
      </c>
      <c r="AB24" t="s">
        <v>101</v>
      </c>
      <c r="AE24" t="s">
        <v>102</v>
      </c>
      <c r="AF24" t="s">
        <v>93</v>
      </c>
    </row>
    <row r="25" spans="1:32" x14ac:dyDescent="0.35">
      <c r="A25" s="440" t="s">
        <v>92</v>
      </c>
      <c r="B25" t="s">
        <v>118</v>
      </c>
      <c r="C25" t="s">
        <v>119</v>
      </c>
      <c r="D25" t="s">
        <v>121</v>
      </c>
      <c r="E25" t="s">
        <v>130</v>
      </c>
      <c r="F25" t="s">
        <v>132</v>
      </c>
      <c r="G25" t="s">
        <v>184</v>
      </c>
      <c r="H25" t="s">
        <v>199</v>
      </c>
      <c r="I25" t="s">
        <v>202</v>
      </c>
      <c r="J25" t="s">
        <v>208</v>
      </c>
      <c r="K25" t="s">
        <v>209</v>
      </c>
      <c r="L25" t="s">
        <v>211</v>
      </c>
      <c r="M25" t="s">
        <v>212</v>
      </c>
      <c r="O25" t="s">
        <v>118</v>
      </c>
      <c r="P25" t="s">
        <v>119</v>
      </c>
      <c r="Q25" t="s">
        <v>121</v>
      </c>
      <c r="R25" t="s">
        <v>130</v>
      </c>
      <c r="S25" t="s">
        <v>132</v>
      </c>
      <c r="T25" t="s">
        <v>184</v>
      </c>
      <c r="U25" t="s">
        <v>199</v>
      </c>
      <c r="V25" t="s">
        <v>202</v>
      </c>
      <c r="W25" t="s">
        <v>208</v>
      </c>
      <c r="X25" t="s">
        <v>209</v>
      </c>
      <c r="Y25" t="s">
        <v>211</v>
      </c>
      <c r="Z25" t="s">
        <v>212</v>
      </c>
      <c r="AB25" t="s">
        <v>118</v>
      </c>
      <c r="AC25" t="s">
        <v>121</v>
      </c>
      <c r="AD25" t="s">
        <v>184</v>
      </c>
    </row>
    <row r="26" spans="1:32" x14ac:dyDescent="0.35">
      <c r="A26" s="441" t="s">
        <v>15</v>
      </c>
      <c r="B26" s="442">
        <v>85939</v>
      </c>
      <c r="C26" s="442">
        <v>30671</v>
      </c>
      <c r="D26" s="442"/>
      <c r="E26" s="442"/>
      <c r="F26" s="442">
        <v>2446</v>
      </c>
      <c r="G26" s="442">
        <v>6493</v>
      </c>
      <c r="H26" s="442">
        <v>1945</v>
      </c>
      <c r="I26" s="442">
        <v>6883.6</v>
      </c>
      <c r="J26" s="442">
        <v>3333</v>
      </c>
      <c r="K26" s="442">
        <v>5501.2</v>
      </c>
      <c r="L26" s="442">
        <v>2868.2</v>
      </c>
      <c r="M26" s="442">
        <v>8911.7999999999993</v>
      </c>
      <c r="N26" s="442">
        <v>154991.80000000002</v>
      </c>
      <c r="O26" s="442">
        <v>48426</v>
      </c>
      <c r="P26" s="442">
        <v>21062</v>
      </c>
      <c r="Q26" s="442"/>
      <c r="R26" s="442"/>
      <c r="S26" s="442">
        <v>1766</v>
      </c>
      <c r="T26" s="442">
        <v>5070</v>
      </c>
      <c r="U26" s="442">
        <v>1561.2</v>
      </c>
      <c r="V26" s="442">
        <v>4508</v>
      </c>
      <c r="W26" s="442">
        <v>828.6</v>
      </c>
      <c r="X26" s="442">
        <v>2760.8</v>
      </c>
      <c r="Y26" s="442">
        <v>1038.2</v>
      </c>
      <c r="Z26" s="442">
        <v>2341.3000000000002</v>
      </c>
      <c r="AA26" s="442">
        <v>89362.1</v>
      </c>
      <c r="AB26" s="442"/>
      <c r="AC26" s="442"/>
      <c r="AD26" s="442"/>
      <c r="AE26" s="442"/>
      <c r="AF26" s="442">
        <v>244353.90000000002</v>
      </c>
    </row>
    <row r="27" spans="1:32" x14ac:dyDescent="0.35">
      <c r="A27" s="441" t="s">
        <v>9</v>
      </c>
      <c r="B27" s="442"/>
      <c r="C27" s="442"/>
      <c r="D27" s="442"/>
      <c r="E27" s="442"/>
      <c r="F27" s="442"/>
      <c r="G27" s="442"/>
      <c r="H27" s="442">
        <v>19790.43</v>
      </c>
      <c r="I27" s="442">
        <v>7675.2</v>
      </c>
      <c r="J27" s="442">
        <v>0</v>
      </c>
      <c r="K27" s="442">
        <v>0</v>
      </c>
      <c r="L27" s="442">
        <v>0</v>
      </c>
      <c r="M27" s="442">
        <v>0</v>
      </c>
      <c r="N27" s="442">
        <v>27465.63</v>
      </c>
      <c r="O27" s="442"/>
      <c r="P27" s="442"/>
      <c r="Q27" s="442"/>
      <c r="R27" s="442"/>
      <c r="S27" s="442"/>
      <c r="T27" s="442"/>
      <c r="U27" s="442"/>
      <c r="V27" s="442"/>
      <c r="W27" s="442"/>
      <c r="X27" s="442"/>
      <c r="Y27" s="442"/>
      <c r="Z27" s="442"/>
      <c r="AA27" s="442"/>
      <c r="AB27" s="442"/>
      <c r="AC27" s="442"/>
      <c r="AD27" s="442"/>
      <c r="AE27" s="442"/>
      <c r="AF27" s="442">
        <v>27465.63</v>
      </c>
    </row>
    <row r="28" spans="1:32" x14ac:dyDescent="0.35">
      <c r="A28" s="441" t="s">
        <v>10</v>
      </c>
      <c r="B28" s="442">
        <v>142321</v>
      </c>
      <c r="C28" s="442">
        <v>156042</v>
      </c>
      <c r="D28" s="442">
        <v>143730</v>
      </c>
      <c r="E28" s="442">
        <v>168284</v>
      </c>
      <c r="F28" s="442">
        <v>157836</v>
      </c>
      <c r="G28" s="442">
        <v>150748</v>
      </c>
      <c r="H28" s="442">
        <v>189212.65</v>
      </c>
      <c r="I28" s="442">
        <v>161700.70000000001</v>
      </c>
      <c r="J28" s="442">
        <v>228900.3</v>
      </c>
      <c r="K28" s="442">
        <v>237278.1</v>
      </c>
      <c r="L28" s="442">
        <v>216193.9</v>
      </c>
      <c r="M28" s="442">
        <v>210179.94</v>
      </c>
      <c r="N28" s="442">
        <v>2162426.59</v>
      </c>
      <c r="O28" s="442">
        <v>91896</v>
      </c>
      <c r="P28" s="442">
        <v>112966</v>
      </c>
      <c r="Q28" s="442">
        <v>122533</v>
      </c>
      <c r="R28" s="442">
        <v>148430</v>
      </c>
      <c r="S28" s="442">
        <v>158547</v>
      </c>
      <c r="T28" s="442">
        <v>114139</v>
      </c>
      <c r="U28" s="442">
        <v>117834.09</v>
      </c>
      <c r="V28" s="442">
        <v>124635.44</v>
      </c>
      <c r="W28" s="442">
        <v>136491.94</v>
      </c>
      <c r="X28" s="442">
        <v>134306.87</v>
      </c>
      <c r="Y28" s="442">
        <v>112575.1</v>
      </c>
      <c r="Z28" s="442">
        <v>139136.76999999999</v>
      </c>
      <c r="AA28" s="442">
        <v>1513491.21</v>
      </c>
      <c r="AB28" s="442"/>
      <c r="AC28" s="442"/>
      <c r="AD28" s="442"/>
      <c r="AE28" s="442"/>
      <c r="AF28" s="442">
        <v>3675917.8</v>
      </c>
    </row>
    <row r="29" spans="1:32" x14ac:dyDescent="0.35">
      <c r="A29" s="441" t="s">
        <v>12</v>
      </c>
      <c r="B29" s="442">
        <v>3775</v>
      </c>
      <c r="C29" s="442"/>
      <c r="D29" s="442"/>
      <c r="E29" s="442"/>
      <c r="F29" s="442"/>
      <c r="G29" s="442"/>
      <c r="H29" s="442"/>
      <c r="I29" s="442"/>
      <c r="J29" s="442"/>
      <c r="K29" s="442"/>
      <c r="L29" s="442"/>
      <c r="M29" s="442"/>
      <c r="N29" s="442">
        <v>3775</v>
      </c>
      <c r="O29" s="442"/>
      <c r="P29" s="442">
        <v>4179</v>
      </c>
      <c r="Q29" s="442"/>
      <c r="R29" s="442"/>
      <c r="S29" s="442"/>
      <c r="T29" s="442"/>
      <c r="U29" s="442"/>
      <c r="V29" s="442"/>
      <c r="W29" s="442"/>
      <c r="X29" s="442"/>
      <c r="Y29" s="442"/>
      <c r="Z29" s="442"/>
      <c r="AA29" s="442">
        <v>4179</v>
      </c>
      <c r="AB29" s="442"/>
      <c r="AC29" s="442"/>
      <c r="AD29" s="442"/>
      <c r="AE29" s="442"/>
      <c r="AF29" s="442">
        <v>7954</v>
      </c>
    </row>
    <row r="30" spans="1:32" x14ac:dyDescent="0.35">
      <c r="A30" s="441" t="s">
        <v>13</v>
      </c>
      <c r="B30" s="442"/>
      <c r="C30" s="442"/>
      <c r="D30" s="442"/>
      <c r="E30" s="442">
        <v>15913</v>
      </c>
      <c r="F30" s="442">
        <v>35929</v>
      </c>
      <c r="G30" s="442">
        <v>18739</v>
      </c>
      <c r="H30" s="442">
        <v>20855.400000000001</v>
      </c>
      <c r="I30" s="442">
        <v>3358</v>
      </c>
      <c r="J30" s="442">
        <v>3550.6</v>
      </c>
      <c r="K30" s="442">
        <v>0</v>
      </c>
      <c r="L30" s="442">
        <v>0</v>
      </c>
      <c r="M30" s="442">
        <v>0</v>
      </c>
      <c r="N30" s="442">
        <v>98345</v>
      </c>
      <c r="O30" s="442">
        <v>3949</v>
      </c>
      <c r="P30" s="442"/>
      <c r="Q30" s="442"/>
      <c r="R30" s="442"/>
      <c r="S30" s="442"/>
      <c r="T30" s="442">
        <v>2771</v>
      </c>
      <c r="U30" s="442"/>
      <c r="V30" s="442">
        <v>6862.8</v>
      </c>
      <c r="W30" s="442">
        <v>0</v>
      </c>
      <c r="X30" s="442">
        <v>0</v>
      </c>
      <c r="Y30" s="442">
        <v>0</v>
      </c>
      <c r="Z30" s="442">
        <v>0</v>
      </c>
      <c r="AA30" s="442">
        <v>13582.8</v>
      </c>
      <c r="AB30" s="442"/>
      <c r="AC30" s="442"/>
      <c r="AD30" s="442"/>
      <c r="AE30" s="442"/>
      <c r="AF30" s="442">
        <v>111927.8</v>
      </c>
    </row>
    <row r="31" spans="1:32" x14ac:dyDescent="0.35">
      <c r="A31" s="441" t="s">
        <v>17</v>
      </c>
      <c r="B31" s="442"/>
      <c r="C31" s="442"/>
      <c r="D31" s="442"/>
      <c r="E31" s="442"/>
      <c r="F31" s="442"/>
      <c r="G31" s="442"/>
      <c r="H31" s="442"/>
      <c r="I31" s="442"/>
      <c r="J31" s="442"/>
      <c r="K31" s="442"/>
      <c r="L31" s="442"/>
      <c r="M31" s="442"/>
      <c r="N31" s="442"/>
      <c r="O31" s="442"/>
      <c r="P31" s="442"/>
      <c r="Q31" s="442"/>
      <c r="R31" s="442"/>
      <c r="S31" s="442"/>
      <c r="T31" s="442"/>
      <c r="U31" s="442"/>
      <c r="V31" s="442"/>
      <c r="W31" s="442"/>
      <c r="X31" s="442"/>
      <c r="Y31" s="442"/>
      <c r="Z31" s="442"/>
      <c r="AA31" s="442"/>
      <c r="AB31" s="442">
        <v>4069</v>
      </c>
      <c r="AC31" s="442">
        <v>4079</v>
      </c>
      <c r="AD31" s="442">
        <v>4152</v>
      </c>
      <c r="AE31" s="442">
        <v>12300</v>
      </c>
      <c r="AF31" s="442">
        <v>12300</v>
      </c>
    </row>
    <row r="32" spans="1:32" x14ac:dyDescent="0.35">
      <c r="A32" s="441" t="s">
        <v>93</v>
      </c>
      <c r="B32" s="442">
        <v>232035</v>
      </c>
      <c r="C32" s="442">
        <v>186713</v>
      </c>
      <c r="D32" s="442">
        <v>143730</v>
      </c>
      <c r="E32" s="442">
        <v>184197</v>
      </c>
      <c r="F32" s="442">
        <v>196211</v>
      </c>
      <c r="G32" s="442">
        <v>175980</v>
      </c>
      <c r="H32" s="442">
        <v>231803.47999999998</v>
      </c>
      <c r="I32" s="442">
        <v>179617.5</v>
      </c>
      <c r="J32" s="442">
        <v>235783.9</v>
      </c>
      <c r="K32" s="442">
        <v>242779.30000000002</v>
      </c>
      <c r="L32" s="442">
        <v>219062.1</v>
      </c>
      <c r="M32" s="442">
        <v>219091.74</v>
      </c>
      <c r="N32" s="442">
        <v>2447004.02</v>
      </c>
      <c r="O32" s="442">
        <v>144271</v>
      </c>
      <c r="P32" s="442">
        <v>138207</v>
      </c>
      <c r="Q32" s="442">
        <v>122533</v>
      </c>
      <c r="R32" s="442">
        <v>148430</v>
      </c>
      <c r="S32" s="442">
        <v>160313</v>
      </c>
      <c r="T32" s="442">
        <v>121980</v>
      </c>
      <c r="U32" s="442">
        <v>119395.29</v>
      </c>
      <c r="V32" s="442">
        <v>136006.24</v>
      </c>
      <c r="W32" s="442">
        <v>137320.54</v>
      </c>
      <c r="X32" s="442">
        <v>137067.66999999998</v>
      </c>
      <c r="Y32" s="442">
        <v>113613.3</v>
      </c>
      <c r="Z32" s="442">
        <v>141478.06999999998</v>
      </c>
      <c r="AA32" s="442">
        <v>1620615.11</v>
      </c>
      <c r="AB32" s="442">
        <v>4069</v>
      </c>
      <c r="AC32" s="442">
        <v>4079</v>
      </c>
      <c r="AD32" s="442">
        <v>4152</v>
      </c>
      <c r="AE32" s="442">
        <v>12300</v>
      </c>
      <c r="AF32" s="442">
        <v>4079919.13</v>
      </c>
    </row>
    <row r="41" spans="1:40" x14ac:dyDescent="0.35">
      <c r="A41" s="440" t="s">
        <v>0</v>
      </c>
      <c r="B41" t="s">
        <v>21</v>
      </c>
    </row>
    <row r="43" spans="1:40" x14ac:dyDescent="0.35">
      <c r="A43" s="440" t="s">
        <v>95</v>
      </c>
      <c r="B43" s="440" t="s">
        <v>94</v>
      </c>
    </row>
    <row r="44" spans="1:40" x14ac:dyDescent="0.35">
      <c r="B44" t="s">
        <v>22</v>
      </c>
      <c r="N44" t="s">
        <v>96</v>
      </c>
      <c r="O44" t="s">
        <v>27</v>
      </c>
      <c r="AA44" t="s">
        <v>97</v>
      </c>
      <c r="AB44" t="s">
        <v>101</v>
      </c>
      <c r="AM44" t="s">
        <v>102</v>
      </c>
      <c r="AN44" t="s">
        <v>93</v>
      </c>
    </row>
    <row r="45" spans="1:40" x14ac:dyDescent="0.35">
      <c r="A45" s="440" t="s">
        <v>92</v>
      </c>
      <c r="B45" t="s">
        <v>118</v>
      </c>
      <c r="C45" t="s">
        <v>119</v>
      </c>
      <c r="D45" t="s">
        <v>121</v>
      </c>
      <c r="E45" t="s">
        <v>130</v>
      </c>
      <c r="F45" t="s">
        <v>132</v>
      </c>
      <c r="G45" t="s">
        <v>184</v>
      </c>
      <c r="H45" t="s">
        <v>199</v>
      </c>
      <c r="I45" t="s">
        <v>202</v>
      </c>
      <c r="J45" t="s">
        <v>208</v>
      </c>
      <c r="K45" t="s">
        <v>209</v>
      </c>
      <c r="L45" t="s">
        <v>211</v>
      </c>
      <c r="M45" t="s">
        <v>212</v>
      </c>
      <c r="O45" t="s">
        <v>118</v>
      </c>
      <c r="P45" t="s">
        <v>119</v>
      </c>
      <c r="Q45" t="s">
        <v>121</v>
      </c>
      <c r="R45" t="s">
        <v>130</v>
      </c>
      <c r="S45" t="s">
        <v>132</v>
      </c>
      <c r="T45" t="s">
        <v>184</v>
      </c>
      <c r="U45" t="s">
        <v>199</v>
      </c>
      <c r="V45" t="s">
        <v>202</v>
      </c>
      <c r="W45" t="s">
        <v>208</v>
      </c>
      <c r="X45" t="s">
        <v>209</v>
      </c>
      <c r="Y45" t="s">
        <v>211</v>
      </c>
      <c r="Z45" t="s">
        <v>212</v>
      </c>
      <c r="AB45" t="s">
        <v>118</v>
      </c>
      <c r="AC45" t="s">
        <v>119</v>
      </c>
      <c r="AD45" t="s">
        <v>121</v>
      </c>
      <c r="AE45" t="s">
        <v>130</v>
      </c>
      <c r="AF45" t="s">
        <v>184</v>
      </c>
      <c r="AG45" t="s">
        <v>199</v>
      </c>
      <c r="AH45" t="s">
        <v>202</v>
      </c>
      <c r="AI45" t="s">
        <v>208</v>
      </c>
      <c r="AJ45" t="s">
        <v>209</v>
      </c>
      <c r="AK45" t="s">
        <v>211</v>
      </c>
      <c r="AL45" t="s">
        <v>212</v>
      </c>
    </row>
    <row r="46" spans="1:40" x14ac:dyDescent="0.35">
      <c r="A46" s="441" t="s">
        <v>9</v>
      </c>
      <c r="B46" s="442">
        <v>68383</v>
      </c>
      <c r="C46" s="442">
        <v>115806</v>
      </c>
      <c r="D46" s="442">
        <v>54345</v>
      </c>
      <c r="E46" s="442">
        <v>21729</v>
      </c>
      <c r="F46" s="442">
        <v>101302</v>
      </c>
      <c r="G46" s="442">
        <v>85600</v>
      </c>
      <c r="H46" s="442">
        <v>82365.710000000006</v>
      </c>
      <c r="I46" s="442">
        <v>92557.9</v>
      </c>
      <c r="J46" s="442">
        <v>104415</v>
      </c>
      <c r="K46" s="442">
        <v>100240.8</v>
      </c>
      <c r="L46" s="442">
        <v>75885.100000000006</v>
      </c>
      <c r="M46" s="442">
        <v>125678.39999999999</v>
      </c>
      <c r="N46" s="442">
        <v>1028307.91</v>
      </c>
      <c r="O46" s="442">
        <v>25501</v>
      </c>
      <c r="P46" s="442">
        <v>38629</v>
      </c>
      <c r="Q46" s="442">
        <v>25539</v>
      </c>
      <c r="R46" s="442">
        <v>46761</v>
      </c>
      <c r="S46" s="442">
        <v>42735</v>
      </c>
      <c r="T46" s="442">
        <v>49598</v>
      </c>
      <c r="U46" s="442">
        <v>44550.53</v>
      </c>
      <c r="V46" s="442">
        <v>47276</v>
      </c>
      <c r="W46" s="442">
        <v>70353.100000000006</v>
      </c>
      <c r="X46" s="442">
        <v>53757.5</v>
      </c>
      <c r="Y46" s="442">
        <v>66411.5</v>
      </c>
      <c r="Z46" s="442">
        <v>90075.3</v>
      </c>
      <c r="AA46" s="442">
        <v>601186.93000000005</v>
      </c>
      <c r="AB46" s="442"/>
      <c r="AC46" s="442"/>
      <c r="AD46" s="442"/>
      <c r="AE46" s="442"/>
      <c r="AF46" s="442"/>
      <c r="AG46" s="442"/>
      <c r="AH46" s="442"/>
      <c r="AI46" s="442"/>
      <c r="AJ46" s="442"/>
      <c r="AK46" s="442"/>
      <c r="AL46" s="442"/>
      <c r="AM46" s="442"/>
      <c r="AN46" s="442">
        <v>1629494.8400000003</v>
      </c>
    </row>
    <row r="47" spans="1:40" x14ac:dyDescent="0.35">
      <c r="A47" s="441" t="s">
        <v>10</v>
      </c>
      <c r="B47" s="442"/>
      <c r="C47" s="442"/>
      <c r="D47" s="442"/>
      <c r="E47" s="442"/>
      <c r="F47" s="442"/>
      <c r="G47" s="442"/>
      <c r="H47" s="442"/>
      <c r="I47" s="442"/>
      <c r="J47" s="442"/>
      <c r="K47" s="442"/>
      <c r="L47" s="442"/>
      <c r="M47" s="442"/>
      <c r="N47" s="442"/>
      <c r="O47" s="442"/>
      <c r="P47" s="442"/>
      <c r="Q47" s="442"/>
      <c r="R47" s="442">
        <v>6777</v>
      </c>
      <c r="S47" s="442"/>
      <c r="T47" s="442"/>
      <c r="U47" s="442"/>
      <c r="V47" s="442"/>
      <c r="W47" s="442"/>
      <c r="X47" s="442"/>
      <c r="Y47" s="442"/>
      <c r="Z47" s="442"/>
      <c r="AA47" s="442">
        <v>6777</v>
      </c>
      <c r="AB47" s="442"/>
      <c r="AC47" s="442"/>
      <c r="AD47" s="442"/>
      <c r="AE47" s="442"/>
      <c r="AF47" s="442"/>
      <c r="AG47" s="442"/>
      <c r="AH47" s="442"/>
      <c r="AI47" s="442"/>
      <c r="AJ47" s="442"/>
      <c r="AK47" s="442"/>
      <c r="AL47" s="442"/>
      <c r="AM47" s="442"/>
      <c r="AN47" s="442">
        <v>6777</v>
      </c>
    </row>
    <row r="48" spans="1:40" x14ac:dyDescent="0.35">
      <c r="A48" s="441" t="s">
        <v>11</v>
      </c>
      <c r="B48" s="442">
        <v>143043.9</v>
      </c>
      <c r="C48" s="442">
        <v>114004.9</v>
      </c>
      <c r="D48" s="442">
        <v>40694.300000000003</v>
      </c>
      <c r="E48" s="442">
        <v>207253.9</v>
      </c>
      <c r="F48" s="442">
        <v>181008.9</v>
      </c>
      <c r="G48" s="442">
        <v>173397.2</v>
      </c>
      <c r="H48" s="442">
        <v>209031.1</v>
      </c>
      <c r="I48" s="442">
        <v>195558.2</v>
      </c>
      <c r="J48" s="442">
        <v>176815.3</v>
      </c>
      <c r="K48" s="442">
        <v>185442.5</v>
      </c>
      <c r="L48" s="442">
        <v>130194.2</v>
      </c>
      <c r="M48" s="442">
        <v>86077.6</v>
      </c>
      <c r="N48" s="442">
        <v>1842522.0000000002</v>
      </c>
      <c r="O48" s="442">
        <v>121642.9</v>
      </c>
      <c r="P48" s="442">
        <v>135426.5</v>
      </c>
      <c r="Q48" s="442">
        <v>55378.5</v>
      </c>
      <c r="R48" s="442">
        <v>137310.6</v>
      </c>
      <c r="S48" s="442">
        <v>95691.4</v>
      </c>
      <c r="T48" s="442">
        <v>94563</v>
      </c>
      <c r="U48" s="442">
        <v>99961.5</v>
      </c>
      <c r="V48" s="442">
        <v>114924.1</v>
      </c>
      <c r="W48" s="442">
        <v>128173.1</v>
      </c>
      <c r="X48" s="442">
        <v>118652.9</v>
      </c>
      <c r="Y48" s="442">
        <v>118876.2</v>
      </c>
      <c r="Z48" s="442">
        <v>99106.6</v>
      </c>
      <c r="AA48" s="442">
        <v>1319707.3</v>
      </c>
      <c r="AB48" s="442"/>
      <c r="AC48" s="442"/>
      <c r="AD48" s="442"/>
      <c r="AE48" s="442"/>
      <c r="AF48" s="442"/>
      <c r="AG48" s="442"/>
      <c r="AH48" s="442"/>
      <c r="AI48" s="442"/>
      <c r="AJ48" s="442"/>
      <c r="AK48" s="442"/>
      <c r="AL48" s="442"/>
      <c r="AM48" s="442"/>
      <c r="AN48" s="442">
        <v>3162229.3000000007</v>
      </c>
    </row>
    <row r="49" spans="1:40" x14ac:dyDescent="0.35">
      <c r="A49" s="441" t="s">
        <v>12</v>
      </c>
      <c r="B49" s="442">
        <v>35799</v>
      </c>
      <c r="C49" s="442">
        <v>14147</v>
      </c>
      <c r="D49" s="442">
        <v>55284</v>
      </c>
      <c r="E49" s="442">
        <v>3626</v>
      </c>
      <c r="F49" s="442">
        <v>29887</v>
      </c>
      <c r="G49" s="442">
        <v>33473</v>
      </c>
      <c r="H49" s="442">
        <v>36606.699999999997</v>
      </c>
      <c r="I49" s="442">
        <v>108649.3</v>
      </c>
      <c r="J49" s="442">
        <v>123481.2</v>
      </c>
      <c r="K49" s="442">
        <v>112696.1</v>
      </c>
      <c r="L49" s="442">
        <v>114517.7</v>
      </c>
      <c r="M49" s="442">
        <v>93379</v>
      </c>
      <c r="N49" s="442">
        <v>761546</v>
      </c>
      <c r="O49" s="442"/>
      <c r="P49" s="442">
        <v>3761</v>
      </c>
      <c r="Q49" s="442">
        <v>10333</v>
      </c>
      <c r="R49" s="442">
        <v>0</v>
      </c>
      <c r="S49" s="442">
        <v>39212</v>
      </c>
      <c r="T49" s="442">
        <v>37393</v>
      </c>
      <c r="U49" s="442">
        <v>54309.8</v>
      </c>
      <c r="V49" s="442">
        <v>10854.4</v>
      </c>
      <c r="W49" s="442">
        <v>3639.8</v>
      </c>
      <c r="X49" s="442">
        <v>0</v>
      </c>
      <c r="Y49" s="442">
        <v>0</v>
      </c>
      <c r="Z49" s="442">
        <v>14250.1</v>
      </c>
      <c r="AA49" s="442">
        <v>173753.09999999998</v>
      </c>
      <c r="AB49" s="442"/>
      <c r="AC49" s="442"/>
      <c r="AD49" s="442"/>
      <c r="AE49" s="442"/>
      <c r="AF49" s="442"/>
      <c r="AG49" s="442"/>
      <c r="AH49" s="442"/>
      <c r="AI49" s="442"/>
      <c r="AJ49" s="442"/>
      <c r="AK49" s="442"/>
      <c r="AL49" s="442"/>
      <c r="AM49" s="442"/>
      <c r="AN49" s="442">
        <v>935299.10000000009</v>
      </c>
    </row>
    <row r="50" spans="1:40" x14ac:dyDescent="0.35">
      <c r="A50" s="441" t="s">
        <v>13</v>
      </c>
      <c r="B50" s="442">
        <v>60142</v>
      </c>
      <c r="C50" s="442">
        <v>36238</v>
      </c>
      <c r="D50" s="442">
        <v>63624</v>
      </c>
      <c r="E50" s="442">
        <v>29377</v>
      </c>
      <c r="F50" s="442">
        <v>21417</v>
      </c>
      <c r="G50" s="442"/>
      <c r="H50" s="442">
        <v>7405.2</v>
      </c>
      <c r="I50" s="442">
        <v>40851</v>
      </c>
      <c r="J50" s="442">
        <v>66604.5</v>
      </c>
      <c r="K50" s="442">
        <v>35348.800000000003</v>
      </c>
      <c r="L50" s="442">
        <v>29043.9</v>
      </c>
      <c r="M50" s="442">
        <v>25828.7</v>
      </c>
      <c r="N50" s="442">
        <v>415880.10000000003</v>
      </c>
      <c r="O50" s="442">
        <v>7379</v>
      </c>
      <c r="P50" s="442"/>
      <c r="Q50" s="442">
        <v>7803</v>
      </c>
      <c r="R50" s="442">
        <v>4495</v>
      </c>
      <c r="S50" s="442">
        <v>32467</v>
      </c>
      <c r="T50" s="442">
        <v>23581</v>
      </c>
      <c r="U50" s="442">
        <v>13051.2</v>
      </c>
      <c r="V50" s="442">
        <v>15221.8</v>
      </c>
      <c r="W50" s="442">
        <v>0</v>
      </c>
      <c r="X50" s="442">
        <v>18140.5</v>
      </c>
      <c r="Y50" s="442">
        <v>0</v>
      </c>
      <c r="Z50" s="442">
        <v>21754.799999999999</v>
      </c>
      <c r="AA50" s="442">
        <v>143893.29999999999</v>
      </c>
      <c r="AB50" s="442"/>
      <c r="AC50" s="442"/>
      <c r="AD50" s="442"/>
      <c r="AE50" s="442"/>
      <c r="AF50" s="442"/>
      <c r="AG50" s="442"/>
      <c r="AH50" s="442"/>
      <c r="AI50" s="442"/>
      <c r="AJ50" s="442"/>
      <c r="AK50" s="442"/>
      <c r="AL50" s="442"/>
      <c r="AM50" s="442"/>
      <c r="AN50" s="442">
        <v>559773.40000000014</v>
      </c>
    </row>
    <row r="51" spans="1:40" x14ac:dyDescent="0.35">
      <c r="A51" s="441" t="s">
        <v>16</v>
      </c>
      <c r="B51" s="442">
        <v>99125</v>
      </c>
      <c r="C51" s="442">
        <v>91102</v>
      </c>
      <c r="D51" s="442">
        <v>80261</v>
      </c>
      <c r="E51" s="442">
        <v>90871</v>
      </c>
      <c r="F51" s="442">
        <v>103429</v>
      </c>
      <c r="G51" s="442">
        <v>95655</v>
      </c>
      <c r="H51" s="442">
        <v>121213.8</v>
      </c>
      <c r="I51" s="442">
        <v>81590.399999999994</v>
      </c>
      <c r="J51" s="442">
        <v>29324</v>
      </c>
      <c r="K51" s="442">
        <v>29603.599999999999</v>
      </c>
      <c r="L51" s="442">
        <v>37044.1</v>
      </c>
      <c r="M51" s="442">
        <v>44209.7</v>
      </c>
      <c r="N51" s="442">
        <v>903428.6</v>
      </c>
      <c r="O51" s="442">
        <v>51437</v>
      </c>
      <c r="P51" s="442">
        <v>43372</v>
      </c>
      <c r="Q51" s="442">
        <v>33330</v>
      </c>
      <c r="R51" s="442">
        <v>56042</v>
      </c>
      <c r="S51" s="442">
        <v>29374</v>
      </c>
      <c r="T51" s="442">
        <v>27310</v>
      </c>
      <c r="U51" s="442">
        <v>15062.8</v>
      </c>
      <c r="V51" s="442">
        <v>37197.300000000003</v>
      </c>
      <c r="W51" s="442">
        <v>25614.400000000001</v>
      </c>
      <c r="X51" s="442">
        <v>22142.9</v>
      </c>
      <c r="Y51" s="442">
        <v>29782.6</v>
      </c>
      <c r="Z51" s="442">
        <v>40347.9</v>
      </c>
      <c r="AA51" s="442">
        <v>411012.9</v>
      </c>
      <c r="AB51" s="442"/>
      <c r="AC51" s="442"/>
      <c r="AD51" s="442"/>
      <c r="AE51" s="442"/>
      <c r="AF51" s="442"/>
      <c r="AG51" s="442"/>
      <c r="AH51" s="442"/>
      <c r="AI51" s="442"/>
      <c r="AJ51" s="442"/>
      <c r="AK51" s="442"/>
      <c r="AL51" s="442"/>
      <c r="AM51" s="442"/>
      <c r="AN51" s="442">
        <v>1314441.5</v>
      </c>
    </row>
    <row r="52" spans="1:40" x14ac:dyDescent="0.35">
      <c r="A52" s="441" t="s">
        <v>17</v>
      </c>
      <c r="B52" s="442"/>
      <c r="C52" s="442"/>
      <c r="D52" s="442"/>
      <c r="E52" s="442"/>
      <c r="F52" s="442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42"/>
      <c r="T52" s="442"/>
      <c r="U52" s="442"/>
      <c r="V52" s="442"/>
      <c r="W52" s="442"/>
      <c r="X52" s="442"/>
      <c r="Y52" s="442"/>
      <c r="Z52" s="442"/>
      <c r="AA52" s="442"/>
      <c r="AB52" s="442">
        <v>16108</v>
      </c>
      <c r="AC52" s="442">
        <v>16417</v>
      </c>
      <c r="AD52" s="442">
        <v>8223</v>
      </c>
      <c r="AE52" s="442">
        <v>12219</v>
      </c>
      <c r="AF52" s="442">
        <v>8153</v>
      </c>
      <c r="AG52" s="442">
        <v>12195.7</v>
      </c>
      <c r="AH52" s="442">
        <v>8144.1</v>
      </c>
      <c r="AI52" s="442">
        <v>12203.7</v>
      </c>
      <c r="AJ52" s="442">
        <v>12273.8</v>
      </c>
      <c r="AK52" s="442">
        <v>8127.8</v>
      </c>
      <c r="AL52" s="442">
        <v>8162.9</v>
      </c>
      <c r="AM52" s="442">
        <v>122228</v>
      </c>
      <c r="AN52" s="442">
        <v>122228</v>
      </c>
    </row>
    <row r="53" spans="1:40" x14ac:dyDescent="0.35">
      <c r="A53" s="441" t="s">
        <v>24</v>
      </c>
      <c r="B53" s="442"/>
      <c r="C53" s="442"/>
      <c r="D53" s="442"/>
      <c r="E53" s="442"/>
      <c r="F53" s="442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>
        <v>6512</v>
      </c>
      <c r="R53" s="442"/>
      <c r="S53" s="442"/>
      <c r="T53" s="442">
        <v>7644.1</v>
      </c>
      <c r="U53" s="442"/>
      <c r="V53" s="442"/>
      <c r="W53" s="442"/>
      <c r="X53" s="442"/>
      <c r="Y53" s="442"/>
      <c r="Z53" s="442"/>
      <c r="AA53" s="442">
        <v>14156.1</v>
      </c>
      <c r="AB53" s="442"/>
      <c r="AC53" s="442"/>
      <c r="AD53" s="442"/>
      <c r="AE53" s="442"/>
      <c r="AF53" s="442"/>
      <c r="AG53" s="442"/>
      <c r="AH53" s="442"/>
      <c r="AI53" s="442"/>
      <c r="AJ53" s="442"/>
      <c r="AK53" s="442"/>
      <c r="AL53" s="442"/>
      <c r="AM53" s="442"/>
      <c r="AN53" s="442">
        <v>14156.1</v>
      </c>
    </row>
    <row r="54" spans="1:40" x14ac:dyDescent="0.35">
      <c r="A54" s="441" t="s">
        <v>200</v>
      </c>
      <c r="B54" s="442"/>
      <c r="C54" s="442"/>
      <c r="D54" s="442"/>
      <c r="E54" s="442"/>
      <c r="F54" s="442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42"/>
      <c r="S54" s="442"/>
      <c r="T54" s="442"/>
      <c r="U54" s="442">
        <v>20000</v>
      </c>
      <c r="V54" s="442"/>
      <c r="W54" s="442"/>
      <c r="X54" s="442"/>
      <c r="Y54" s="442"/>
      <c r="Z54" s="442"/>
      <c r="AA54" s="442">
        <v>20000</v>
      </c>
      <c r="AB54" s="442"/>
      <c r="AC54" s="442"/>
      <c r="AD54" s="442"/>
      <c r="AE54" s="442"/>
      <c r="AF54" s="442"/>
      <c r="AG54" s="442"/>
      <c r="AH54" s="442"/>
      <c r="AI54" s="442"/>
      <c r="AJ54" s="442"/>
      <c r="AK54" s="442"/>
      <c r="AL54" s="442"/>
      <c r="AM54" s="442"/>
      <c r="AN54" s="442">
        <v>20000</v>
      </c>
    </row>
    <row r="55" spans="1:40" x14ac:dyDescent="0.35">
      <c r="A55" s="441" t="s">
        <v>93</v>
      </c>
      <c r="B55" s="442">
        <v>406492.9</v>
      </c>
      <c r="C55" s="442">
        <v>371297.9</v>
      </c>
      <c r="D55" s="442">
        <v>294208.3</v>
      </c>
      <c r="E55" s="442">
        <v>352856.9</v>
      </c>
      <c r="F55" s="442">
        <v>437043.9</v>
      </c>
      <c r="G55" s="442">
        <v>388125.2</v>
      </c>
      <c r="H55" s="442">
        <v>456622.51</v>
      </c>
      <c r="I55" s="442">
        <v>519206.79999999993</v>
      </c>
      <c r="J55" s="442">
        <v>500640</v>
      </c>
      <c r="K55" s="442">
        <v>463331.8</v>
      </c>
      <c r="L55" s="442">
        <v>386685</v>
      </c>
      <c r="M55" s="442">
        <v>375173.4</v>
      </c>
      <c r="N55" s="442">
        <v>4951684.6100000003</v>
      </c>
      <c r="O55" s="442">
        <v>205959.9</v>
      </c>
      <c r="P55" s="442">
        <v>221188.5</v>
      </c>
      <c r="Q55" s="442">
        <v>138895.5</v>
      </c>
      <c r="R55" s="442">
        <v>251385.60000000001</v>
      </c>
      <c r="S55" s="442">
        <v>239479.4</v>
      </c>
      <c r="T55" s="442">
        <v>240089.1</v>
      </c>
      <c r="U55" s="442">
        <v>246935.83000000002</v>
      </c>
      <c r="V55" s="442">
        <v>225473.59999999998</v>
      </c>
      <c r="W55" s="442">
        <v>227780.4</v>
      </c>
      <c r="X55" s="442">
        <v>212693.8</v>
      </c>
      <c r="Y55" s="442">
        <v>215070.30000000002</v>
      </c>
      <c r="Z55" s="442">
        <v>265534.7</v>
      </c>
      <c r="AA55" s="442">
        <v>2690486.63</v>
      </c>
      <c r="AB55" s="442">
        <v>16108</v>
      </c>
      <c r="AC55" s="442">
        <v>16417</v>
      </c>
      <c r="AD55" s="442">
        <v>8223</v>
      </c>
      <c r="AE55" s="442">
        <v>12219</v>
      </c>
      <c r="AF55" s="442">
        <v>8153</v>
      </c>
      <c r="AG55" s="442">
        <v>12195.7</v>
      </c>
      <c r="AH55" s="442">
        <v>8144.1</v>
      </c>
      <c r="AI55" s="442">
        <v>12203.7</v>
      </c>
      <c r="AJ55" s="442">
        <v>12273.8</v>
      </c>
      <c r="AK55" s="442">
        <v>8127.8</v>
      </c>
      <c r="AL55" s="442">
        <v>8162.9</v>
      </c>
      <c r="AM55" s="442">
        <v>122228</v>
      </c>
      <c r="AN55" s="442">
        <v>7764399.2400000002</v>
      </c>
    </row>
    <row r="61" spans="1:40" x14ac:dyDescent="0.35">
      <c r="A61" s="440" t="s">
        <v>0</v>
      </c>
      <c r="B61" t="s">
        <v>25</v>
      </c>
    </row>
    <row r="63" spans="1:40" x14ac:dyDescent="0.35">
      <c r="A63" s="440" t="s">
        <v>95</v>
      </c>
      <c r="B63" s="440" t="s">
        <v>94</v>
      </c>
    </row>
    <row r="64" spans="1:40" x14ac:dyDescent="0.35">
      <c r="B64" t="s">
        <v>22</v>
      </c>
      <c r="N64" t="s">
        <v>96</v>
      </c>
      <c r="O64" t="s">
        <v>27</v>
      </c>
      <c r="AA64" t="s">
        <v>97</v>
      </c>
      <c r="AB64" t="s">
        <v>93</v>
      </c>
    </row>
    <row r="65" spans="1:28" x14ac:dyDescent="0.35">
      <c r="A65" s="440" t="s">
        <v>92</v>
      </c>
      <c r="B65" t="s">
        <v>118</v>
      </c>
      <c r="C65" t="s">
        <v>119</v>
      </c>
      <c r="D65" t="s">
        <v>121</v>
      </c>
      <c r="E65" t="s">
        <v>130</v>
      </c>
      <c r="F65" t="s">
        <v>132</v>
      </c>
      <c r="G65" t="s">
        <v>184</v>
      </c>
      <c r="H65" t="s">
        <v>199</v>
      </c>
      <c r="I65" t="s">
        <v>202</v>
      </c>
      <c r="J65" t="s">
        <v>208</v>
      </c>
      <c r="K65" t="s">
        <v>209</v>
      </c>
      <c r="L65" t="s">
        <v>211</v>
      </c>
      <c r="M65" t="s">
        <v>212</v>
      </c>
      <c r="O65" t="s">
        <v>118</v>
      </c>
      <c r="P65" t="s">
        <v>119</v>
      </c>
      <c r="Q65" t="s">
        <v>121</v>
      </c>
      <c r="R65" t="s">
        <v>130</v>
      </c>
      <c r="S65" t="s">
        <v>132</v>
      </c>
      <c r="T65" t="s">
        <v>184</v>
      </c>
      <c r="U65" t="s">
        <v>199</v>
      </c>
      <c r="V65" t="s">
        <v>202</v>
      </c>
      <c r="W65" t="s">
        <v>208</v>
      </c>
      <c r="X65" t="s">
        <v>209</v>
      </c>
      <c r="Y65" t="s">
        <v>211</v>
      </c>
      <c r="Z65" t="s">
        <v>212</v>
      </c>
    </row>
    <row r="66" spans="1:28" x14ac:dyDescent="0.35">
      <c r="A66" s="441" t="s">
        <v>15</v>
      </c>
      <c r="B66" s="442">
        <v>162189</v>
      </c>
      <c r="C66" s="442">
        <v>159763</v>
      </c>
      <c r="D66" s="442">
        <v>206668</v>
      </c>
      <c r="E66" s="442">
        <v>225389</v>
      </c>
      <c r="F66" s="442">
        <v>220622</v>
      </c>
      <c r="G66" s="442">
        <v>190347</v>
      </c>
      <c r="H66" s="442">
        <v>191668.93</v>
      </c>
      <c r="I66" s="442">
        <v>183540.67</v>
      </c>
      <c r="J66" s="442">
        <v>233534.92</v>
      </c>
      <c r="K66" s="442">
        <v>230170.4</v>
      </c>
      <c r="L66" s="442">
        <v>212992.4</v>
      </c>
      <c r="M66" s="442">
        <v>263264.40000000002</v>
      </c>
      <c r="N66" s="442">
        <v>2480149.7199999997</v>
      </c>
      <c r="O66" s="442">
        <v>38630</v>
      </c>
      <c r="P66" s="442">
        <v>48167</v>
      </c>
      <c r="Q66" s="442">
        <v>86412</v>
      </c>
      <c r="R66" s="442">
        <v>75896</v>
      </c>
      <c r="S66" s="442">
        <v>73792</v>
      </c>
      <c r="T66" s="442">
        <v>74018</v>
      </c>
      <c r="U66" s="442">
        <v>83966.97</v>
      </c>
      <c r="V66" s="442">
        <v>93246.43</v>
      </c>
      <c r="W66" s="442">
        <v>102835.98</v>
      </c>
      <c r="X66" s="442">
        <v>96763.199999999997</v>
      </c>
      <c r="Y66" s="442">
        <v>85431.4</v>
      </c>
      <c r="Z66" s="442">
        <v>94229.6</v>
      </c>
      <c r="AA66" s="442">
        <v>953388.57999999984</v>
      </c>
      <c r="AB66" s="442">
        <v>3433538.3000000003</v>
      </c>
    </row>
    <row r="67" spans="1:28" x14ac:dyDescent="0.35">
      <c r="A67" s="441" t="s">
        <v>9</v>
      </c>
      <c r="B67" s="442"/>
      <c r="C67" s="442"/>
      <c r="D67" s="442"/>
      <c r="E67" s="442"/>
      <c r="F67" s="442"/>
      <c r="G67" s="442"/>
      <c r="H67" s="442">
        <v>23968.880000000001</v>
      </c>
      <c r="I67" s="442">
        <v>3514.8</v>
      </c>
      <c r="J67" s="442">
        <v>0</v>
      </c>
      <c r="K67" s="442">
        <v>0</v>
      </c>
      <c r="L67" s="442">
        <v>0</v>
      </c>
      <c r="M67" s="442">
        <v>0</v>
      </c>
      <c r="N67" s="442">
        <v>27483.68</v>
      </c>
      <c r="O67" s="442"/>
      <c r="P67" s="442"/>
      <c r="Q67" s="442"/>
      <c r="R67" s="442"/>
      <c r="S67" s="442"/>
      <c r="T67" s="442"/>
      <c r="U67" s="442"/>
      <c r="V67" s="442"/>
      <c r="W67" s="442"/>
      <c r="X67" s="442"/>
      <c r="Y67" s="442"/>
      <c r="Z67" s="442"/>
      <c r="AA67" s="442"/>
      <c r="AB67" s="442">
        <v>27483.68</v>
      </c>
    </row>
    <row r="68" spans="1:28" x14ac:dyDescent="0.35">
      <c r="A68" s="441" t="s">
        <v>10</v>
      </c>
      <c r="B68" s="442">
        <v>7186</v>
      </c>
      <c r="C68" s="442">
        <v>46997</v>
      </c>
      <c r="D68" s="442">
        <v>11562</v>
      </c>
      <c r="E68" s="442">
        <v>46106</v>
      </c>
      <c r="F68" s="442">
        <v>21934</v>
      </c>
      <c r="G68" s="442">
        <v>25802</v>
      </c>
      <c r="H68" s="442">
        <v>25017.21</v>
      </c>
      <c r="I68" s="442">
        <v>49254.8</v>
      </c>
      <c r="J68" s="442">
        <v>46874.6</v>
      </c>
      <c r="K68" s="442">
        <v>41022</v>
      </c>
      <c r="L68" s="442">
        <v>18693.099999999999</v>
      </c>
      <c r="M68" s="442">
        <v>53832.6</v>
      </c>
      <c r="N68" s="442">
        <v>394281.30999999994</v>
      </c>
      <c r="O68" s="442">
        <v>4574</v>
      </c>
      <c r="P68" s="442">
        <v>12516</v>
      </c>
      <c r="Q68" s="442">
        <v>3552</v>
      </c>
      <c r="R68" s="442">
        <v>34166</v>
      </c>
      <c r="S68" s="442">
        <v>37824</v>
      </c>
      <c r="T68" s="442">
        <v>21850</v>
      </c>
      <c r="U68" s="442">
        <v>23555.03</v>
      </c>
      <c r="V68" s="442">
        <v>47623.39</v>
      </c>
      <c r="W68" s="442">
        <v>25101.919999999998</v>
      </c>
      <c r="X68" s="442">
        <v>27293.88</v>
      </c>
      <c r="Y68" s="442">
        <v>15903.21</v>
      </c>
      <c r="Z68" s="442">
        <v>1927.8</v>
      </c>
      <c r="AA68" s="442">
        <v>255887.22999999995</v>
      </c>
      <c r="AB68" s="442">
        <v>650168.54</v>
      </c>
    </row>
    <row r="69" spans="1:28" x14ac:dyDescent="0.35">
      <c r="A69" s="441" t="s">
        <v>13</v>
      </c>
      <c r="B69" s="442"/>
      <c r="C69" s="442"/>
      <c r="D69" s="442">
        <v>30826</v>
      </c>
      <c r="E69" s="442">
        <v>51194</v>
      </c>
      <c r="F69" s="442">
        <v>81116</v>
      </c>
      <c r="G69" s="442">
        <v>88892</v>
      </c>
      <c r="H69" s="442">
        <v>31653.8</v>
      </c>
      <c r="I69" s="442">
        <v>40344.199999999997</v>
      </c>
      <c r="J69" s="442">
        <v>47783.8</v>
      </c>
      <c r="K69" s="442">
        <v>34707</v>
      </c>
      <c r="L69" s="442">
        <v>41347.800000000003</v>
      </c>
      <c r="M69" s="442">
        <v>29503.9</v>
      </c>
      <c r="N69" s="442">
        <v>477368.5</v>
      </c>
      <c r="O69" s="442"/>
      <c r="P69" s="442"/>
      <c r="Q69" s="442"/>
      <c r="R69" s="442"/>
      <c r="S69" s="442"/>
      <c r="T69" s="442"/>
      <c r="U69" s="442"/>
      <c r="V69" s="442"/>
      <c r="W69" s="442"/>
      <c r="X69" s="442"/>
      <c r="Y69" s="442"/>
      <c r="Z69" s="442"/>
      <c r="AA69" s="442"/>
      <c r="AB69" s="442">
        <v>477368.5</v>
      </c>
    </row>
    <row r="70" spans="1:28" x14ac:dyDescent="0.35">
      <c r="A70" s="441" t="s">
        <v>93</v>
      </c>
      <c r="B70" s="442">
        <v>169375</v>
      </c>
      <c r="C70" s="442">
        <v>206760</v>
      </c>
      <c r="D70" s="442">
        <v>249056</v>
      </c>
      <c r="E70" s="442">
        <v>322689</v>
      </c>
      <c r="F70" s="442">
        <v>323672</v>
      </c>
      <c r="G70" s="442">
        <v>305041</v>
      </c>
      <c r="H70" s="442">
        <v>272308.82</v>
      </c>
      <c r="I70" s="442">
        <v>276654.47000000003</v>
      </c>
      <c r="J70" s="442">
        <v>328193.32</v>
      </c>
      <c r="K70" s="442">
        <v>305899.40000000002</v>
      </c>
      <c r="L70" s="442">
        <v>273033.3</v>
      </c>
      <c r="M70" s="442">
        <v>346600.9</v>
      </c>
      <c r="N70" s="442">
        <v>3379283.21</v>
      </c>
      <c r="O70" s="442">
        <v>43204</v>
      </c>
      <c r="P70" s="442">
        <v>60683</v>
      </c>
      <c r="Q70" s="442">
        <v>89964</v>
      </c>
      <c r="R70" s="442">
        <v>110062</v>
      </c>
      <c r="S70" s="442">
        <v>111616</v>
      </c>
      <c r="T70" s="442">
        <v>95868</v>
      </c>
      <c r="U70" s="442">
        <v>107522</v>
      </c>
      <c r="V70" s="442">
        <v>140869.82</v>
      </c>
      <c r="W70" s="442">
        <v>127937.9</v>
      </c>
      <c r="X70" s="442">
        <v>124057.08</v>
      </c>
      <c r="Y70" s="442">
        <v>101334.60999999999</v>
      </c>
      <c r="Z70" s="442">
        <v>96157.400000000009</v>
      </c>
      <c r="AA70" s="442">
        <v>1209275.8099999998</v>
      </c>
      <c r="AB70" s="442">
        <v>4588559.0200000005</v>
      </c>
    </row>
    <row r="81" spans="1:35" x14ac:dyDescent="0.35">
      <c r="A81" s="440" t="s">
        <v>0</v>
      </c>
      <c r="B81" t="s">
        <v>24</v>
      </c>
    </row>
    <row r="83" spans="1:35" x14ac:dyDescent="0.35">
      <c r="A83" s="440" t="s">
        <v>95</v>
      </c>
      <c r="B83" s="440" t="s">
        <v>94</v>
      </c>
    </row>
    <row r="84" spans="1:35" x14ac:dyDescent="0.35">
      <c r="B84" t="s">
        <v>22</v>
      </c>
      <c r="N84" t="s">
        <v>96</v>
      </c>
      <c r="O84" t="s">
        <v>27</v>
      </c>
      <c r="U84" t="s">
        <v>97</v>
      </c>
      <c r="V84" t="s">
        <v>101</v>
      </c>
      <c r="AH84" t="s">
        <v>102</v>
      </c>
      <c r="AI84" t="s">
        <v>93</v>
      </c>
    </row>
    <row r="85" spans="1:35" x14ac:dyDescent="0.35">
      <c r="A85" s="440" t="s">
        <v>92</v>
      </c>
      <c r="B85" t="s">
        <v>118</v>
      </c>
      <c r="C85" t="s">
        <v>119</v>
      </c>
      <c r="D85" t="s">
        <v>121</v>
      </c>
      <c r="E85" t="s">
        <v>130</v>
      </c>
      <c r="F85" t="s">
        <v>132</v>
      </c>
      <c r="G85" t="s">
        <v>184</v>
      </c>
      <c r="H85" t="s">
        <v>199</v>
      </c>
      <c r="I85" t="s">
        <v>202</v>
      </c>
      <c r="J85" t="s">
        <v>208</v>
      </c>
      <c r="K85" t="s">
        <v>209</v>
      </c>
      <c r="L85" t="s">
        <v>211</v>
      </c>
      <c r="M85" t="s">
        <v>212</v>
      </c>
      <c r="O85" t="s">
        <v>118</v>
      </c>
      <c r="P85" t="s">
        <v>202</v>
      </c>
      <c r="Q85" t="s">
        <v>208</v>
      </c>
      <c r="R85" t="s">
        <v>209</v>
      </c>
      <c r="S85" t="s">
        <v>211</v>
      </c>
      <c r="T85" t="s">
        <v>212</v>
      </c>
      <c r="V85" t="s">
        <v>118</v>
      </c>
      <c r="W85" t="s">
        <v>119</v>
      </c>
      <c r="X85" t="s">
        <v>121</v>
      </c>
      <c r="Y85" t="s">
        <v>130</v>
      </c>
      <c r="Z85" t="s">
        <v>132</v>
      </c>
      <c r="AA85" t="s">
        <v>184</v>
      </c>
      <c r="AB85" t="s">
        <v>199</v>
      </c>
      <c r="AC85" t="s">
        <v>202</v>
      </c>
      <c r="AD85" t="s">
        <v>208</v>
      </c>
      <c r="AE85" t="s">
        <v>209</v>
      </c>
      <c r="AF85" t="s">
        <v>211</v>
      </c>
      <c r="AG85" t="s">
        <v>212</v>
      </c>
    </row>
    <row r="86" spans="1:35" x14ac:dyDescent="0.35">
      <c r="A86" s="441" t="s">
        <v>9</v>
      </c>
      <c r="B86" s="442"/>
      <c r="C86" s="442"/>
      <c r="D86" s="442"/>
      <c r="E86" s="442"/>
      <c r="F86" s="442">
        <v>7758</v>
      </c>
      <c r="G86" s="442"/>
      <c r="H86" s="442">
        <v>19604.96</v>
      </c>
      <c r="I86" s="442">
        <v>15191.9</v>
      </c>
      <c r="J86" s="442">
        <v>7062.76</v>
      </c>
      <c r="K86" s="442">
        <v>3006.82</v>
      </c>
      <c r="L86" s="442">
        <v>0</v>
      </c>
      <c r="M86" s="442">
        <v>0</v>
      </c>
      <c r="N86" s="442">
        <v>52624.44</v>
      </c>
      <c r="O86" s="442"/>
      <c r="P86" s="442"/>
      <c r="Q86" s="442">
        <v>0</v>
      </c>
      <c r="R86" s="442">
        <v>0</v>
      </c>
      <c r="S86" s="442"/>
      <c r="T86" s="442"/>
      <c r="U86" s="442">
        <v>0</v>
      </c>
      <c r="V86" s="442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42"/>
      <c r="AI86" s="442">
        <v>52624.44</v>
      </c>
    </row>
    <row r="87" spans="1:35" x14ac:dyDescent="0.35">
      <c r="A87" s="441" t="s">
        <v>12</v>
      </c>
      <c r="B87" s="442">
        <v>96739</v>
      </c>
      <c r="C87" s="442">
        <v>93978</v>
      </c>
      <c r="D87" s="442">
        <v>77336</v>
      </c>
      <c r="E87" s="442">
        <v>105977</v>
      </c>
      <c r="F87" s="442">
        <v>90346</v>
      </c>
      <c r="G87" s="442">
        <v>98047</v>
      </c>
      <c r="H87" s="442">
        <v>97555.5</v>
      </c>
      <c r="I87" s="442">
        <v>51900.3</v>
      </c>
      <c r="J87" s="442">
        <v>63299.4</v>
      </c>
      <c r="K87" s="442">
        <v>64251.1</v>
      </c>
      <c r="L87" s="442">
        <v>57274.2</v>
      </c>
      <c r="M87" s="442">
        <v>66889.2</v>
      </c>
      <c r="N87" s="442">
        <v>963592.7</v>
      </c>
      <c r="O87" s="442">
        <v>3844</v>
      </c>
      <c r="P87" s="442"/>
      <c r="Q87" s="442"/>
      <c r="R87" s="442"/>
      <c r="S87" s="442"/>
      <c r="T87" s="442"/>
      <c r="U87" s="442">
        <v>3844</v>
      </c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2"/>
      <c r="AH87" s="442"/>
      <c r="AI87" s="442">
        <v>967436.7</v>
      </c>
    </row>
    <row r="88" spans="1:35" x14ac:dyDescent="0.35">
      <c r="A88" s="441" t="s">
        <v>13</v>
      </c>
      <c r="B88" s="442"/>
      <c r="C88" s="442"/>
      <c r="D88" s="442"/>
      <c r="E88" s="442"/>
      <c r="F88" s="442"/>
      <c r="G88" s="442"/>
      <c r="H88" s="442">
        <v>3506.9</v>
      </c>
      <c r="I88" s="442">
        <v>7190.9</v>
      </c>
      <c r="J88" s="442">
        <v>4121.2</v>
      </c>
      <c r="K88" s="442">
        <v>3725.8</v>
      </c>
      <c r="L88" s="442">
        <v>0</v>
      </c>
      <c r="M88" s="442">
        <v>0</v>
      </c>
      <c r="N88" s="442">
        <v>18544.8</v>
      </c>
      <c r="O88" s="442"/>
      <c r="P88" s="442">
        <v>3004.8</v>
      </c>
      <c r="Q88" s="442">
        <v>0</v>
      </c>
      <c r="R88" s="442">
        <v>0</v>
      </c>
      <c r="S88" s="442">
        <v>0</v>
      </c>
      <c r="T88" s="442">
        <v>0</v>
      </c>
      <c r="U88" s="442">
        <v>3004.8</v>
      </c>
      <c r="V88" s="442"/>
      <c r="W88" s="442"/>
      <c r="X88" s="442"/>
      <c r="Y88" s="442"/>
      <c r="Z88" s="442"/>
      <c r="AA88" s="442"/>
      <c r="AB88" s="442"/>
      <c r="AC88" s="442"/>
      <c r="AD88" s="442"/>
      <c r="AE88" s="442"/>
      <c r="AF88" s="442"/>
      <c r="AG88" s="442"/>
      <c r="AH88" s="442"/>
      <c r="AI88" s="442">
        <v>21549.599999999999</v>
      </c>
    </row>
    <row r="89" spans="1:35" x14ac:dyDescent="0.35">
      <c r="A89" s="441" t="s">
        <v>17</v>
      </c>
      <c r="B89" s="442"/>
      <c r="C89" s="442"/>
      <c r="D89" s="442"/>
      <c r="E89" s="442"/>
      <c r="F89" s="442"/>
      <c r="G89" s="442"/>
      <c r="H89" s="442"/>
      <c r="I89" s="442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2"/>
      <c r="V89" s="442">
        <v>20272</v>
      </c>
      <c r="W89" s="442">
        <v>12238</v>
      </c>
      <c r="X89" s="442">
        <v>8097</v>
      </c>
      <c r="Y89" s="442">
        <v>40130</v>
      </c>
      <c r="Z89" s="442">
        <v>28527</v>
      </c>
      <c r="AA89" s="442">
        <v>36293</v>
      </c>
      <c r="AB89" s="442">
        <v>32285.599999999999</v>
      </c>
      <c r="AC89" s="442">
        <v>28486.400000000001</v>
      </c>
      <c r="AD89" s="442">
        <v>24426.7</v>
      </c>
      <c r="AE89" s="442">
        <v>12186.4</v>
      </c>
      <c r="AF89" s="442">
        <v>4102.3</v>
      </c>
      <c r="AG89" s="442">
        <v>8262.9</v>
      </c>
      <c r="AH89" s="442">
        <v>255307.3</v>
      </c>
      <c r="AI89" s="442">
        <v>255307.3</v>
      </c>
    </row>
    <row r="90" spans="1:35" x14ac:dyDescent="0.35">
      <c r="A90" s="441" t="s">
        <v>93</v>
      </c>
      <c r="B90" s="442">
        <v>96739</v>
      </c>
      <c r="C90" s="442">
        <v>93978</v>
      </c>
      <c r="D90" s="442">
        <v>77336</v>
      </c>
      <c r="E90" s="442">
        <v>105977</v>
      </c>
      <c r="F90" s="442">
        <v>98104</v>
      </c>
      <c r="G90" s="442">
        <v>98047</v>
      </c>
      <c r="H90" s="442">
        <v>120667.35999999999</v>
      </c>
      <c r="I90" s="442">
        <v>74283.099999999991</v>
      </c>
      <c r="J90" s="442">
        <v>74483.360000000001</v>
      </c>
      <c r="K90" s="442">
        <v>70983.72</v>
      </c>
      <c r="L90" s="442">
        <v>57274.2</v>
      </c>
      <c r="M90" s="442">
        <v>66889.2</v>
      </c>
      <c r="N90" s="442">
        <v>1034761.94</v>
      </c>
      <c r="O90" s="442">
        <v>3844</v>
      </c>
      <c r="P90" s="442">
        <v>3004.8</v>
      </c>
      <c r="Q90" s="442">
        <v>0</v>
      </c>
      <c r="R90" s="442">
        <v>0</v>
      </c>
      <c r="S90" s="442">
        <v>0</v>
      </c>
      <c r="T90" s="442">
        <v>0</v>
      </c>
      <c r="U90" s="442">
        <v>6848.8</v>
      </c>
      <c r="V90" s="442">
        <v>20272</v>
      </c>
      <c r="W90" s="442">
        <v>12238</v>
      </c>
      <c r="X90" s="442">
        <v>8097</v>
      </c>
      <c r="Y90" s="442">
        <v>40130</v>
      </c>
      <c r="Z90" s="442">
        <v>28527</v>
      </c>
      <c r="AA90" s="442">
        <v>36293</v>
      </c>
      <c r="AB90" s="442">
        <v>32285.599999999999</v>
      </c>
      <c r="AC90" s="442">
        <v>28486.400000000001</v>
      </c>
      <c r="AD90" s="442">
        <v>24426.7</v>
      </c>
      <c r="AE90" s="442">
        <v>12186.4</v>
      </c>
      <c r="AF90" s="442">
        <v>4102.3</v>
      </c>
      <c r="AG90" s="442">
        <v>8262.9</v>
      </c>
      <c r="AH90" s="442">
        <v>255307.3</v>
      </c>
      <c r="AI90" s="442">
        <v>1296918.0399999998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N528"/>
  <sheetViews>
    <sheetView topLeftCell="A31" zoomScale="85" zoomScaleNormal="85" workbookViewId="0">
      <selection activeCell="U44" sqref="U44:V44"/>
    </sheetView>
  </sheetViews>
  <sheetFormatPr defaultRowHeight="14.5" x14ac:dyDescent="0.35"/>
  <cols>
    <col min="1" max="1" width="7.36328125" customWidth="1"/>
    <col min="2" max="2" width="8.7265625" customWidth="1"/>
    <col min="3" max="3" width="7" customWidth="1"/>
    <col min="4" max="4" width="7.1796875" customWidth="1"/>
    <col min="5" max="5" width="8.7265625" customWidth="1"/>
    <col min="6" max="6" width="10.54296875" customWidth="1"/>
    <col min="8" max="8" width="9.7265625" bestFit="1" customWidth="1"/>
    <col min="9" max="9" width="4.453125" customWidth="1"/>
    <col min="10" max="10" width="4.81640625" customWidth="1"/>
    <col min="11" max="11" width="7.36328125" customWidth="1"/>
    <col min="12" max="12" width="6.08984375" customWidth="1"/>
    <col min="13" max="13" width="6.26953125" customWidth="1"/>
    <col min="14" max="14" width="5.1796875" customWidth="1"/>
    <col min="15" max="15" width="5.6328125" customWidth="1"/>
    <col min="16" max="17" width="6.26953125" customWidth="1"/>
    <col min="18" max="18" width="6.54296875" customWidth="1"/>
    <col min="19" max="19" width="8.26953125" customWidth="1"/>
    <col min="20" max="20" width="9.453125" customWidth="1"/>
    <col min="21" max="22" width="6.81640625" customWidth="1"/>
    <col min="37" max="37" width="4.453125" customWidth="1"/>
    <col min="38" max="38" width="4.81640625" customWidth="1"/>
    <col min="39" max="39" width="7.36328125" customWidth="1"/>
    <col min="40" max="40" width="6.08984375" customWidth="1"/>
    <col min="41" max="42" width="6.26953125" customWidth="1"/>
    <col min="43" max="43" width="7.453125" customWidth="1"/>
    <col min="44" max="45" width="6.26953125" customWidth="1"/>
    <col min="47" max="47" width="4.453125" customWidth="1"/>
    <col min="48" max="48" width="4.36328125" customWidth="1"/>
    <col min="49" max="50" width="6.08984375" customWidth="1"/>
    <col min="51" max="51" width="3.81640625" customWidth="1"/>
    <col min="52" max="52" width="4.54296875" customWidth="1"/>
    <col min="53" max="53" width="4.453125" customWidth="1"/>
    <col min="54" max="55" width="2.90625" customWidth="1"/>
    <col min="56" max="56" width="6.54296875" customWidth="1"/>
    <col min="57" max="57" width="8.26953125" customWidth="1"/>
    <col min="58" max="58" width="6.54296875" customWidth="1"/>
    <col min="59" max="59" width="6.81640625" bestFit="1" customWidth="1"/>
    <col min="60" max="60" width="8.1796875" customWidth="1"/>
    <col min="61" max="61" width="8.26953125" customWidth="1"/>
    <col min="62" max="62" width="7.81640625" customWidth="1"/>
    <col min="63" max="63" width="8.54296875" customWidth="1"/>
    <col min="64" max="64" width="8.26953125" customWidth="1"/>
    <col min="65" max="66" width="6.81640625" customWidth="1"/>
    <col min="67" max="67" width="4.453125" customWidth="1"/>
    <col min="68" max="68" width="4.36328125" customWidth="1"/>
    <col min="69" max="70" width="6.08984375" customWidth="1"/>
    <col min="71" max="71" width="5.6328125" customWidth="1"/>
    <col min="72" max="72" width="6.36328125" customWidth="1"/>
    <col min="73" max="73" width="6.26953125" customWidth="1"/>
    <col min="74" max="75" width="4.7265625" customWidth="1"/>
  </cols>
  <sheetData>
    <row r="1" spans="1:92" ht="21" x14ac:dyDescent="0.5">
      <c r="H1" s="580">
        <v>202203</v>
      </c>
      <c r="AK1">
        <f>H1</f>
        <v>202203</v>
      </c>
    </row>
    <row r="2" spans="1:92" x14ac:dyDescent="0.35">
      <c r="A2" t="s">
        <v>19</v>
      </c>
      <c r="B2" t="s">
        <v>2</v>
      </c>
      <c r="C2" t="s">
        <v>1</v>
      </c>
      <c r="D2" t="s">
        <v>0</v>
      </c>
      <c r="E2" t="s">
        <v>3</v>
      </c>
      <c r="F2" t="s">
        <v>20</v>
      </c>
      <c r="I2" t="s">
        <v>0</v>
      </c>
      <c r="J2" t="s">
        <v>1</v>
      </c>
      <c r="K2" t="s">
        <v>2</v>
      </c>
      <c r="L2" t="s">
        <v>3</v>
      </c>
      <c r="M2" t="s">
        <v>87</v>
      </c>
      <c r="N2" t="s">
        <v>88</v>
      </c>
      <c r="O2" t="s">
        <v>89</v>
      </c>
      <c r="P2" t="s">
        <v>90</v>
      </c>
      <c r="Q2" t="s">
        <v>91</v>
      </c>
      <c r="S2" s="1" t="s">
        <v>0</v>
      </c>
      <c r="T2" s="2" t="s">
        <v>1</v>
      </c>
      <c r="U2" s="2" t="s">
        <v>2</v>
      </c>
      <c r="V2" s="2" t="s">
        <v>3</v>
      </c>
      <c r="AK2" t="s">
        <v>0</v>
      </c>
      <c r="AL2" t="s">
        <v>1</v>
      </c>
      <c r="AM2" t="s">
        <v>2</v>
      </c>
      <c r="AN2" t="s">
        <v>3</v>
      </c>
      <c r="AO2" t="s">
        <v>4</v>
      </c>
      <c r="AP2" t="s">
        <v>5</v>
      </c>
      <c r="AQ2" t="s">
        <v>6</v>
      </c>
      <c r="AR2" t="s">
        <v>7</v>
      </c>
      <c r="AS2" t="s">
        <v>8</v>
      </c>
      <c r="AU2" t="s">
        <v>0</v>
      </c>
      <c r="AV2" t="s">
        <v>1</v>
      </c>
      <c r="AW2" t="s">
        <v>2</v>
      </c>
      <c r="AX2" t="s">
        <v>3</v>
      </c>
      <c r="AY2" t="s">
        <v>103</v>
      </c>
      <c r="AZ2" t="s">
        <v>104</v>
      </c>
      <c r="BA2" t="s">
        <v>88</v>
      </c>
      <c r="BB2" t="s">
        <v>90</v>
      </c>
      <c r="BC2" t="s">
        <v>91</v>
      </c>
      <c r="BF2" s="443" t="s">
        <v>0</v>
      </c>
      <c r="BG2" s="443" t="s">
        <v>2</v>
      </c>
      <c r="BH2" s="443" t="s">
        <v>1</v>
      </c>
      <c r="BI2" s="443"/>
      <c r="BJ2" s="443"/>
      <c r="BK2" s="443"/>
      <c r="BL2" s="443"/>
      <c r="BM2" s="443"/>
      <c r="BO2" t="s">
        <v>0</v>
      </c>
      <c r="BP2" t="s">
        <v>1</v>
      </c>
      <c r="BQ2" t="s">
        <v>2</v>
      </c>
      <c r="BR2" t="s">
        <v>3</v>
      </c>
      <c r="BS2" t="s">
        <v>105</v>
      </c>
      <c r="BT2" t="s">
        <v>106</v>
      </c>
      <c r="BU2" t="s">
        <v>5</v>
      </c>
      <c r="BV2" t="s">
        <v>7</v>
      </c>
      <c r="BW2" t="s">
        <v>8</v>
      </c>
      <c r="CB2" s="1" t="s">
        <v>0</v>
      </c>
      <c r="CC2" s="2" t="s">
        <v>2</v>
      </c>
      <c r="CD2" s="2" t="s">
        <v>3</v>
      </c>
      <c r="CF2" t="s">
        <v>0</v>
      </c>
      <c r="CG2" t="s">
        <v>1</v>
      </c>
      <c r="CH2" t="s">
        <v>2</v>
      </c>
      <c r="CI2" t="s">
        <v>3</v>
      </c>
      <c r="CJ2" t="s">
        <v>87</v>
      </c>
      <c r="CK2" t="s">
        <v>88</v>
      </c>
      <c r="CL2" t="s">
        <v>89</v>
      </c>
      <c r="CM2" t="s">
        <v>90</v>
      </c>
      <c r="CN2" t="s">
        <v>91</v>
      </c>
    </row>
    <row r="3" spans="1:92" x14ac:dyDescent="0.35">
      <c r="A3">
        <v>3435</v>
      </c>
      <c r="B3" t="s">
        <v>118</v>
      </c>
      <c r="C3" t="s">
        <v>12</v>
      </c>
      <c r="D3" t="s">
        <v>23</v>
      </c>
      <c r="E3" t="s">
        <v>27</v>
      </c>
      <c r="F3">
        <v>56045</v>
      </c>
      <c r="I3" t="s">
        <v>23</v>
      </c>
      <c r="J3" t="s">
        <v>10</v>
      </c>
      <c r="K3" t="s">
        <v>212</v>
      </c>
      <c r="L3" t="s">
        <v>27</v>
      </c>
      <c r="M3">
        <v>62.02</v>
      </c>
      <c r="N3">
        <v>3.98</v>
      </c>
      <c r="O3">
        <v>2.75</v>
      </c>
      <c r="P3">
        <v>13.81</v>
      </c>
      <c r="Q3">
        <v>27.5</v>
      </c>
      <c r="S3" t="s">
        <v>24</v>
      </c>
      <c r="T3" t="s">
        <v>14</v>
      </c>
      <c r="U3" s="441">
        <f>+AI8</f>
        <v>202203</v>
      </c>
      <c r="V3" t="s">
        <v>22</v>
      </c>
      <c r="AK3" t="s">
        <v>23</v>
      </c>
      <c r="AL3" t="s">
        <v>10</v>
      </c>
      <c r="AM3" t="s">
        <v>212</v>
      </c>
      <c r="AN3" t="s">
        <v>27</v>
      </c>
      <c r="AO3">
        <v>61.64</v>
      </c>
      <c r="AP3">
        <v>4.2300000000000004</v>
      </c>
      <c r="AQ3">
        <v>2.71</v>
      </c>
      <c r="AR3">
        <v>17.12</v>
      </c>
      <c r="AS3">
        <v>26.54</v>
      </c>
      <c r="BF3" t="s">
        <v>26</v>
      </c>
      <c r="BG3">
        <f>+U3</f>
        <v>202203</v>
      </c>
      <c r="BH3" t="s">
        <v>107</v>
      </c>
      <c r="CB3">
        <f>'Month-Analysis'!U37</f>
        <v>0</v>
      </c>
      <c r="CC3">
        <f>'Month-Analysis'!V37</f>
        <v>0</v>
      </c>
      <c r="CD3">
        <f>'Month-Analysis'!W37</f>
        <v>0</v>
      </c>
      <c r="CF3" t="s">
        <v>23</v>
      </c>
      <c r="CG3" t="s">
        <v>10</v>
      </c>
      <c r="CH3" t="s">
        <v>132</v>
      </c>
      <c r="CI3" t="s">
        <v>22</v>
      </c>
      <c r="CJ3">
        <v>61.06</v>
      </c>
      <c r="CK3">
        <v>4.9800000000000004</v>
      </c>
      <c r="CL3">
        <v>2.89</v>
      </c>
      <c r="CM3">
        <v>4.87</v>
      </c>
      <c r="CN3">
        <v>43.41</v>
      </c>
    </row>
    <row r="4" spans="1:92" x14ac:dyDescent="0.35">
      <c r="A4">
        <v>3436</v>
      </c>
      <c r="B4" t="s">
        <v>118</v>
      </c>
      <c r="C4" t="s">
        <v>12</v>
      </c>
      <c r="D4" t="s">
        <v>24</v>
      </c>
      <c r="E4" t="s">
        <v>27</v>
      </c>
      <c r="F4">
        <v>3844</v>
      </c>
      <c r="I4" t="s">
        <v>23</v>
      </c>
      <c r="J4" t="s">
        <v>10</v>
      </c>
      <c r="K4" t="s">
        <v>212</v>
      </c>
      <c r="L4" t="s">
        <v>22</v>
      </c>
      <c r="M4">
        <v>61.2</v>
      </c>
      <c r="N4">
        <v>5.45</v>
      </c>
      <c r="O4">
        <v>2.77</v>
      </c>
      <c r="P4">
        <v>5.57</v>
      </c>
      <c r="Q4">
        <v>41.74</v>
      </c>
      <c r="S4" s="443"/>
      <c r="T4" s="443"/>
      <c r="U4" s="443"/>
      <c r="AK4" t="s">
        <v>23</v>
      </c>
      <c r="AL4" t="s">
        <v>10</v>
      </c>
      <c r="AM4" t="s">
        <v>212</v>
      </c>
      <c r="AN4" t="s">
        <v>22</v>
      </c>
      <c r="AO4">
        <v>60.96</v>
      </c>
      <c r="AP4">
        <v>5.18</v>
      </c>
      <c r="AQ4">
        <v>2.88</v>
      </c>
      <c r="AR4">
        <v>5.35</v>
      </c>
      <c r="AS4">
        <v>41.22</v>
      </c>
      <c r="CF4" t="s">
        <v>23</v>
      </c>
      <c r="CG4" t="s">
        <v>15</v>
      </c>
      <c r="CH4" t="s">
        <v>132</v>
      </c>
      <c r="CI4" t="s">
        <v>22</v>
      </c>
      <c r="CJ4">
        <v>61.02</v>
      </c>
      <c r="CK4">
        <v>5.26</v>
      </c>
      <c r="CL4">
        <v>2.69</v>
      </c>
      <c r="CM4">
        <v>1.67</v>
      </c>
      <c r="CN4">
        <v>47.2</v>
      </c>
    </row>
    <row r="5" spans="1:92" x14ac:dyDescent="0.35">
      <c r="A5">
        <v>3437</v>
      </c>
      <c r="B5" t="s">
        <v>118</v>
      </c>
      <c r="C5" t="s">
        <v>12</v>
      </c>
      <c r="D5" t="s">
        <v>23</v>
      </c>
      <c r="E5" t="s">
        <v>22</v>
      </c>
      <c r="F5">
        <v>99799</v>
      </c>
      <c r="I5" t="s">
        <v>23</v>
      </c>
      <c r="J5" t="s">
        <v>15</v>
      </c>
      <c r="K5" t="s">
        <v>212</v>
      </c>
      <c r="L5" t="s">
        <v>27</v>
      </c>
      <c r="M5">
        <v>0</v>
      </c>
      <c r="N5">
        <v>0</v>
      </c>
      <c r="O5">
        <v>0</v>
      </c>
      <c r="P5">
        <v>0</v>
      </c>
      <c r="Q5">
        <v>0</v>
      </c>
      <c r="S5" s="1" t="s">
        <v>0</v>
      </c>
      <c r="T5" s="2" t="s">
        <v>1</v>
      </c>
      <c r="U5" s="2" t="s">
        <v>2</v>
      </c>
      <c r="V5" s="2" t="s">
        <v>3</v>
      </c>
      <c r="W5" s="2" t="s">
        <v>87</v>
      </c>
      <c r="X5" s="2" t="s">
        <v>88</v>
      </c>
      <c r="Y5" s="2" t="s">
        <v>89</v>
      </c>
      <c r="Z5" s="2" t="s">
        <v>90</v>
      </c>
      <c r="AA5" s="3" t="s">
        <v>91</v>
      </c>
      <c r="AE5" t="s">
        <v>99</v>
      </c>
      <c r="AF5" t="s">
        <v>98</v>
      </c>
      <c r="AH5" t="s">
        <v>99</v>
      </c>
      <c r="AI5" t="s">
        <v>98</v>
      </c>
      <c r="AK5" t="s">
        <v>23</v>
      </c>
      <c r="AL5" t="s">
        <v>15</v>
      </c>
      <c r="AM5" t="s">
        <v>212</v>
      </c>
      <c r="AN5" t="s">
        <v>27</v>
      </c>
      <c r="AO5">
        <v>61.74</v>
      </c>
      <c r="AP5">
        <v>4.05</v>
      </c>
      <c r="AQ5">
        <v>2.71</v>
      </c>
      <c r="AR5">
        <v>11</v>
      </c>
      <c r="AS5">
        <v>27.75</v>
      </c>
      <c r="BF5" s="1" t="s">
        <v>0</v>
      </c>
      <c r="BG5" s="2" t="s">
        <v>1</v>
      </c>
      <c r="BH5" s="2" t="s">
        <v>2</v>
      </c>
      <c r="BI5" s="2" t="s">
        <v>3</v>
      </c>
      <c r="BJ5" s="2" t="s">
        <v>103</v>
      </c>
      <c r="BK5" s="2" t="s">
        <v>104</v>
      </c>
      <c r="BL5" s="2" t="s">
        <v>88</v>
      </c>
      <c r="BM5" s="2" t="s">
        <v>90</v>
      </c>
      <c r="BN5" s="3" t="s">
        <v>91</v>
      </c>
      <c r="CF5" t="s">
        <v>23</v>
      </c>
      <c r="CG5" t="s">
        <v>13</v>
      </c>
      <c r="CH5" t="s">
        <v>132</v>
      </c>
      <c r="CI5" t="s">
        <v>22</v>
      </c>
      <c r="CJ5">
        <v>60.63</v>
      </c>
      <c r="CK5">
        <v>5.7</v>
      </c>
      <c r="CL5">
        <v>2.88</v>
      </c>
      <c r="CM5">
        <v>5.23</v>
      </c>
      <c r="CN5">
        <v>42.08</v>
      </c>
    </row>
    <row r="6" spans="1:92" x14ac:dyDescent="0.35">
      <c r="A6">
        <v>3438</v>
      </c>
      <c r="B6" t="s">
        <v>118</v>
      </c>
      <c r="C6" t="s">
        <v>12</v>
      </c>
      <c r="D6" t="s">
        <v>26</v>
      </c>
      <c r="E6" t="s">
        <v>22</v>
      </c>
      <c r="F6">
        <v>3775</v>
      </c>
      <c r="I6" t="s">
        <v>23</v>
      </c>
      <c r="J6" t="s">
        <v>15</v>
      </c>
      <c r="K6" t="s">
        <v>212</v>
      </c>
      <c r="L6" t="s">
        <v>22</v>
      </c>
      <c r="M6">
        <v>60.66</v>
      </c>
      <c r="N6">
        <v>6.27</v>
      </c>
      <c r="O6">
        <v>3.08</v>
      </c>
      <c r="P6">
        <v>3.27</v>
      </c>
      <c r="Q6">
        <v>45.17</v>
      </c>
      <c r="AE6">
        <v>1</v>
      </c>
      <c r="AF6">
        <v>202104</v>
      </c>
      <c r="AH6">
        <v>12</v>
      </c>
      <c r="AK6" t="s">
        <v>23</v>
      </c>
      <c r="AL6" t="s">
        <v>15</v>
      </c>
      <c r="AM6" t="s">
        <v>212</v>
      </c>
      <c r="AN6" t="s">
        <v>22</v>
      </c>
      <c r="AO6">
        <v>60.57</v>
      </c>
      <c r="AP6">
        <v>5.56</v>
      </c>
      <c r="AQ6">
        <v>3.08</v>
      </c>
      <c r="AR6">
        <v>3.45</v>
      </c>
      <c r="AS6">
        <v>45.48</v>
      </c>
      <c r="CF6" t="s">
        <v>23</v>
      </c>
      <c r="CG6" t="s">
        <v>12</v>
      </c>
      <c r="CH6" t="s">
        <v>132</v>
      </c>
      <c r="CI6" t="s">
        <v>22</v>
      </c>
      <c r="CJ6">
        <v>61.14</v>
      </c>
      <c r="CK6">
        <v>5.0199999999999996</v>
      </c>
      <c r="CL6">
        <v>2.71</v>
      </c>
      <c r="CM6">
        <v>5.47</v>
      </c>
      <c r="CN6">
        <v>42.64</v>
      </c>
    </row>
    <row r="7" spans="1:92" x14ac:dyDescent="0.35">
      <c r="A7">
        <v>3439</v>
      </c>
      <c r="B7" t="s">
        <v>118</v>
      </c>
      <c r="C7" t="s">
        <v>12</v>
      </c>
      <c r="D7" t="s">
        <v>21</v>
      </c>
      <c r="E7" t="s">
        <v>22</v>
      </c>
      <c r="F7">
        <v>35799</v>
      </c>
      <c r="I7" t="s">
        <v>23</v>
      </c>
      <c r="J7" t="s">
        <v>13</v>
      </c>
      <c r="K7" t="s">
        <v>212</v>
      </c>
      <c r="L7" t="s">
        <v>27</v>
      </c>
      <c r="M7">
        <v>61.09</v>
      </c>
      <c r="N7">
        <v>5.41</v>
      </c>
      <c r="O7">
        <v>2.7</v>
      </c>
      <c r="P7">
        <v>12.99</v>
      </c>
      <c r="Q7">
        <v>28.94</v>
      </c>
      <c r="AE7">
        <v>2</v>
      </c>
      <c r="AF7">
        <v>202105</v>
      </c>
      <c r="AH7" t="s">
        <v>99</v>
      </c>
      <c r="AI7" t="s">
        <v>98</v>
      </c>
      <c r="AK7" t="s">
        <v>23</v>
      </c>
      <c r="AL7" t="s">
        <v>13</v>
      </c>
      <c r="AM7" t="s">
        <v>212</v>
      </c>
      <c r="AN7" t="s">
        <v>27</v>
      </c>
      <c r="AO7">
        <v>60.84</v>
      </c>
      <c r="AP7">
        <v>5.38</v>
      </c>
      <c r="AQ7">
        <v>2.64</v>
      </c>
      <c r="AR7">
        <v>14.22</v>
      </c>
      <c r="AS7">
        <v>28.42</v>
      </c>
      <c r="CF7" t="s">
        <v>23</v>
      </c>
      <c r="CG7" t="s">
        <v>9</v>
      </c>
      <c r="CH7" t="s">
        <v>132</v>
      </c>
      <c r="CI7" t="s">
        <v>22</v>
      </c>
      <c r="CJ7">
        <v>59.73</v>
      </c>
      <c r="CK7">
        <v>6.41</v>
      </c>
      <c r="CL7">
        <v>3.44</v>
      </c>
      <c r="CM7">
        <v>5.45</v>
      </c>
      <c r="CN7">
        <v>44.35</v>
      </c>
    </row>
    <row r="8" spans="1:92" x14ac:dyDescent="0.35">
      <c r="A8">
        <v>3440</v>
      </c>
      <c r="B8" t="s">
        <v>118</v>
      </c>
      <c r="C8" t="s">
        <v>12</v>
      </c>
      <c r="D8" t="s">
        <v>24</v>
      </c>
      <c r="E8" t="s">
        <v>22</v>
      </c>
      <c r="F8">
        <v>96739</v>
      </c>
      <c r="I8" t="s">
        <v>23</v>
      </c>
      <c r="J8" t="s">
        <v>13</v>
      </c>
      <c r="K8" t="s">
        <v>212</v>
      </c>
      <c r="L8" t="s">
        <v>22</v>
      </c>
      <c r="M8">
        <v>60.34</v>
      </c>
      <c r="N8">
        <v>6.65</v>
      </c>
      <c r="O8">
        <v>2.93</v>
      </c>
      <c r="P8">
        <v>4.93</v>
      </c>
      <c r="Q8">
        <v>42.97</v>
      </c>
      <c r="S8" s="443"/>
      <c r="T8" s="443"/>
      <c r="U8" s="443"/>
      <c r="V8" s="443"/>
      <c r="W8" s="443"/>
      <c r="X8" s="443"/>
      <c r="Y8" s="443"/>
      <c r="Z8" s="443"/>
      <c r="AE8">
        <v>3</v>
      </c>
      <c r="AF8">
        <v>202106</v>
      </c>
      <c r="AH8">
        <v>12</v>
      </c>
      <c r="AI8">
        <v>202203</v>
      </c>
      <c r="AK8" t="s">
        <v>23</v>
      </c>
      <c r="AL8" t="s">
        <v>13</v>
      </c>
      <c r="AM8" t="s">
        <v>212</v>
      </c>
      <c r="AN8" t="s">
        <v>22</v>
      </c>
      <c r="AO8">
        <v>60.07</v>
      </c>
      <c r="AP8">
        <v>6.66</v>
      </c>
      <c r="AQ8">
        <v>2.77</v>
      </c>
      <c r="AR8">
        <v>5.28</v>
      </c>
      <c r="AS8">
        <v>42.76</v>
      </c>
      <c r="CF8" t="s">
        <v>23</v>
      </c>
      <c r="CG8" t="s">
        <v>14</v>
      </c>
      <c r="CH8" t="s">
        <v>132</v>
      </c>
      <c r="CI8" t="s">
        <v>22</v>
      </c>
      <c r="CJ8">
        <v>0</v>
      </c>
      <c r="CK8">
        <v>0</v>
      </c>
      <c r="CL8">
        <v>0</v>
      </c>
      <c r="CM8">
        <v>0</v>
      </c>
      <c r="CN8">
        <v>0</v>
      </c>
    </row>
    <row r="9" spans="1:92" x14ac:dyDescent="0.35">
      <c r="A9">
        <v>3441</v>
      </c>
      <c r="B9" t="s">
        <v>118</v>
      </c>
      <c r="C9" t="s">
        <v>13</v>
      </c>
      <c r="D9" t="s">
        <v>23</v>
      </c>
      <c r="E9" t="s">
        <v>27</v>
      </c>
      <c r="F9">
        <v>64728</v>
      </c>
      <c r="I9" t="s">
        <v>23</v>
      </c>
      <c r="J9" t="s">
        <v>12</v>
      </c>
      <c r="K9" t="s">
        <v>212</v>
      </c>
      <c r="L9" t="s">
        <v>27</v>
      </c>
      <c r="M9">
        <v>61.85</v>
      </c>
      <c r="N9">
        <v>4.22</v>
      </c>
      <c r="O9">
        <v>2.74</v>
      </c>
      <c r="P9">
        <v>11.73</v>
      </c>
      <c r="Q9">
        <v>29.6</v>
      </c>
      <c r="S9" t="s">
        <v>0</v>
      </c>
      <c r="T9" t="s">
        <v>1</v>
      </c>
      <c r="U9" t="s">
        <v>2</v>
      </c>
      <c r="V9" t="s">
        <v>3</v>
      </c>
      <c r="W9" t="s">
        <v>4</v>
      </c>
      <c r="X9" t="s">
        <v>5</v>
      </c>
      <c r="Y9" t="s">
        <v>6</v>
      </c>
      <c r="Z9" t="s">
        <v>7</v>
      </c>
      <c r="AA9" t="s">
        <v>8</v>
      </c>
      <c r="AE9">
        <v>4</v>
      </c>
      <c r="AF9">
        <v>202107</v>
      </c>
      <c r="AK9" t="s">
        <v>23</v>
      </c>
      <c r="AL9" t="s">
        <v>12</v>
      </c>
      <c r="AM9" t="s">
        <v>212</v>
      </c>
      <c r="AN9" t="s">
        <v>27</v>
      </c>
      <c r="AO9">
        <v>61.4</v>
      </c>
      <c r="AP9">
        <v>4.49</v>
      </c>
      <c r="AQ9">
        <v>2.68</v>
      </c>
      <c r="AR9">
        <v>12.98</v>
      </c>
      <c r="AS9">
        <v>28.43</v>
      </c>
    </row>
    <row r="10" spans="1:92" x14ac:dyDescent="0.35">
      <c r="A10">
        <v>3442</v>
      </c>
      <c r="B10" t="s">
        <v>118</v>
      </c>
      <c r="C10" t="s">
        <v>13</v>
      </c>
      <c r="D10" t="s">
        <v>26</v>
      </c>
      <c r="E10" t="s">
        <v>27</v>
      </c>
      <c r="F10">
        <v>3949</v>
      </c>
      <c r="I10" t="s">
        <v>23</v>
      </c>
      <c r="J10" t="s">
        <v>12</v>
      </c>
      <c r="K10" t="s">
        <v>212</v>
      </c>
      <c r="L10" t="s">
        <v>22</v>
      </c>
      <c r="M10">
        <v>61.35</v>
      </c>
      <c r="N10">
        <v>5.16</v>
      </c>
      <c r="O10">
        <v>2.86</v>
      </c>
      <c r="P10">
        <v>5.27</v>
      </c>
      <c r="Q10">
        <v>43.26</v>
      </c>
      <c r="AE10">
        <v>5</v>
      </c>
      <c r="AF10">
        <v>202108</v>
      </c>
      <c r="AK10" t="s">
        <v>23</v>
      </c>
      <c r="AL10" t="s">
        <v>12</v>
      </c>
      <c r="AM10" t="s">
        <v>212</v>
      </c>
      <c r="AN10" t="s">
        <v>22</v>
      </c>
      <c r="AO10">
        <v>60.74</v>
      </c>
      <c r="AP10">
        <v>5.61</v>
      </c>
      <c r="AQ10">
        <v>2.78</v>
      </c>
      <c r="AR10">
        <v>5.48</v>
      </c>
      <c r="AS10">
        <v>42.76</v>
      </c>
    </row>
    <row r="11" spans="1:92" x14ac:dyDescent="0.35">
      <c r="A11">
        <v>3443</v>
      </c>
      <c r="B11" t="s">
        <v>118</v>
      </c>
      <c r="C11" t="s">
        <v>13</v>
      </c>
      <c r="D11" t="s">
        <v>21</v>
      </c>
      <c r="E11" t="s">
        <v>27</v>
      </c>
      <c r="F11">
        <v>7379</v>
      </c>
      <c r="I11" t="s">
        <v>23</v>
      </c>
      <c r="J11" t="s">
        <v>9</v>
      </c>
      <c r="K11" t="s">
        <v>212</v>
      </c>
      <c r="L11" t="s">
        <v>27</v>
      </c>
      <c r="M11">
        <v>0</v>
      </c>
      <c r="N11">
        <v>0</v>
      </c>
      <c r="O11">
        <v>0</v>
      </c>
      <c r="P11">
        <v>0</v>
      </c>
      <c r="Q11">
        <v>0</v>
      </c>
      <c r="S11" s="444"/>
      <c r="AE11">
        <v>6</v>
      </c>
      <c r="AF11">
        <v>202109</v>
      </c>
      <c r="AK11" t="s">
        <v>23</v>
      </c>
      <c r="AL11" t="s">
        <v>9</v>
      </c>
      <c r="AM11" t="s">
        <v>212</v>
      </c>
      <c r="AN11" t="s">
        <v>27</v>
      </c>
      <c r="AO11">
        <v>61.4</v>
      </c>
      <c r="AP11">
        <v>3.74</v>
      </c>
      <c r="AQ11">
        <v>3.58</v>
      </c>
      <c r="AR11">
        <v>22.87</v>
      </c>
      <c r="AS11">
        <v>22.58</v>
      </c>
    </row>
    <row r="12" spans="1:92" x14ac:dyDescent="0.35">
      <c r="A12">
        <v>3444</v>
      </c>
      <c r="B12" t="s">
        <v>118</v>
      </c>
      <c r="C12" t="s">
        <v>13</v>
      </c>
      <c r="D12" t="s">
        <v>23</v>
      </c>
      <c r="E12" t="s">
        <v>22</v>
      </c>
      <c r="F12">
        <v>180638</v>
      </c>
      <c r="I12" t="s">
        <v>23</v>
      </c>
      <c r="J12" t="s">
        <v>9</v>
      </c>
      <c r="K12" t="s">
        <v>212</v>
      </c>
      <c r="L12" t="s">
        <v>22</v>
      </c>
      <c r="M12">
        <v>0</v>
      </c>
      <c r="N12">
        <v>0</v>
      </c>
      <c r="O12">
        <v>0</v>
      </c>
      <c r="P12">
        <v>0</v>
      </c>
      <c r="Q12">
        <v>0</v>
      </c>
      <c r="S12" s="445"/>
      <c r="T12" s="445"/>
      <c r="U12" s="446"/>
      <c r="V12" s="445"/>
      <c r="W12" s="445"/>
      <c r="X12" s="445"/>
      <c r="AE12">
        <v>7</v>
      </c>
      <c r="AF12">
        <v>202110</v>
      </c>
      <c r="AK12" t="s">
        <v>23</v>
      </c>
      <c r="AL12" t="s">
        <v>9</v>
      </c>
      <c r="AM12" t="s">
        <v>212</v>
      </c>
      <c r="AN12" t="s">
        <v>22</v>
      </c>
      <c r="AO12">
        <v>59.75</v>
      </c>
      <c r="AP12">
        <v>5.79</v>
      </c>
      <c r="AQ12">
        <v>3.97</v>
      </c>
      <c r="AR12">
        <v>5.34</v>
      </c>
      <c r="AS12">
        <v>44.28</v>
      </c>
    </row>
    <row r="13" spans="1:92" x14ac:dyDescent="0.35">
      <c r="A13">
        <v>3445</v>
      </c>
      <c r="B13" t="s">
        <v>118</v>
      </c>
      <c r="C13" t="s">
        <v>13</v>
      </c>
      <c r="D13" t="s">
        <v>21</v>
      </c>
      <c r="E13" t="s">
        <v>22</v>
      </c>
      <c r="F13">
        <v>60142</v>
      </c>
      <c r="I13" t="s">
        <v>23</v>
      </c>
      <c r="J13" t="s">
        <v>11</v>
      </c>
      <c r="K13" t="s">
        <v>212</v>
      </c>
      <c r="L13" t="s">
        <v>27</v>
      </c>
      <c r="M13">
        <v>0</v>
      </c>
      <c r="N13">
        <v>0</v>
      </c>
      <c r="O13">
        <v>0</v>
      </c>
      <c r="P13">
        <v>0</v>
      </c>
      <c r="Q13">
        <v>0</v>
      </c>
      <c r="S13" s="445"/>
      <c r="T13" s="445"/>
      <c r="U13" s="445"/>
      <c r="V13" s="445"/>
      <c r="W13" s="445"/>
      <c r="X13" s="445"/>
      <c r="AE13">
        <v>8</v>
      </c>
      <c r="AF13">
        <v>202111</v>
      </c>
      <c r="AK13" t="s">
        <v>23</v>
      </c>
      <c r="AL13" t="s">
        <v>11</v>
      </c>
      <c r="AM13" t="s">
        <v>212</v>
      </c>
      <c r="AN13" t="s">
        <v>27</v>
      </c>
      <c r="AO13">
        <v>63.27</v>
      </c>
      <c r="AP13">
        <v>3.25</v>
      </c>
      <c r="AQ13">
        <v>2.2599999999999998</v>
      </c>
      <c r="AR13">
        <v>10.8</v>
      </c>
      <c r="AS13">
        <v>13.9</v>
      </c>
    </row>
    <row r="14" spans="1:92" x14ac:dyDescent="0.35">
      <c r="A14">
        <v>3446</v>
      </c>
      <c r="B14" t="s">
        <v>118</v>
      </c>
      <c r="C14" t="s">
        <v>9</v>
      </c>
      <c r="D14" t="s">
        <v>23</v>
      </c>
      <c r="E14" t="s">
        <v>27</v>
      </c>
      <c r="F14">
        <v>48485</v>
      </c>
      <c r="I14" t="s">
        <v>23</v>
      </c>
      <c r="J14" t="s">
        <v>14</v>
      </c>
      <c r="K14" t="s">
        <v>212</v>
      </c>
      <c r="L14" t="s">
        <v>27</v>
      </c>
      <c r="M14">
        <v>0</v>
      </c>
      <c r="N14">
        <v>0</v>
      </c>
      <c r="O14">
        <v>0</v>
      </c>
      <c r="P14">
        <v>0</v>
      </c>
      <c r="Q14">
        <v>0</v>
      </c>
      <c r="S14" s="445"/>
      <c r="T14" s="445"/>
      <c r="U14" s="446"/>
      <c r="V14" s="445"/>
      <c r="W14" s="445"/>
      <c r="X14" s="445"/>
      <c r="AE14">
        <v>9</v>
      </c>
      <c r="AF14">
        <v>202112</v>
      </c>
      <c r="AK14" t="s">
        <v>23</v>
      </c>
      <c r="AL14" t="s">
        <v>14</v>
      </c>
      <c r="AM14" t="s">
        <v>212</v>
      </c>
      <c r="AN14" t="s">
        <v>27</v>
      </c>
      <c r="AO14">
        <v>63.35</v>
      </c>
      <c r="AP14">
        <v>2.57</v>
      </c>
      <c r="AQ14">
        <v>2.21</v>
      </c>
      <c r="AR14">
        <v>7.5</v>
      </c>
      <c r="AS14">
        <v>12.3</v>
      </c>
    </row>
    <row r="15" spans="1:92" x14ac:dyDescent="0.35">
      <c r="A15">
        <v>3447</v>
      </c>
      <c r="B15" t="s">
        <v>118</v>
      </c>
      <c r="C15" t="s">
        <v>9</v>
      </c>
      <c r="D15" t="s">
        <v>21</v>
      </c>
      <c r="E15" t="s">
        <v>27</v>
      </c>
      <c r="F15">
        <v>25501</v>
      </c>
      <c r="I15" t="s">
        <v>23</v>
      </c>
      <c r="J15" t="s">
        <v>14</v>
      </c>
      <c r="K15" t="s">
        <v>212</v>
      </c>
      <c r="L15" t="s">
        <v>22</v>
      </c>
      <c r="M15">
        <v>0</v>
      </c>
      <c r="N15">
        <v>0</v>
      </c>
      <c r="O15">
        <v>0</v>
      </c>
      <c r="P15">
        <v>0</v>
      </c>
      <c r="Q15">
        <v>0</v>
      </c>
      <c r="S15" s="445"/>
      <c r="T15" s="445"/>
      <c r="U15" s="445"/>
      <c r="V15" s="445"/>
      <c r="W15" s="445"/>
      <c r="X15" s="445"/>
      <c r="AE15">
        <v>10</v>
      </c>
      <c r="AF15">
        <v>202201</v>
      </c>
      <c r="AK15" t="s">
        <v>23</v>
      </c>
      <c r="AL15" t="s">
        <v>14</v>
      </c>
      <c r="AM15" t="s">
        <v>212</v>
      </c>
      <c r="AN15" t="s">
        <v>22</v>
      </c>
      <c r="AO15">
        <v>63.23</v>
      </c>
      <c r="AP15">
        <v>2.64</v>
      </c>
      <c r="AQ15">
        <v>2.31</v>
      </c>
      <c r="AR15">
        <v>4.9800000000000004</v>
      </c>
      <c r="AS15">
        <v>30.86</v>
      </c>
      <c r="BF15" s="443"/>
      <c r="BG15" s="443"/>
      <c r="BH15" s="443"/>
      <c r="BI15" s="443"/>
      <c r="BJ15" s="443"/>
      <c r="BK15" s="443"/>
      <c r="BL15" s="443"/>
      <c r="BM15" s="443"/>
      <c r="BN15" s="443"/>
    </row>
    <row r="16" spans="1:92" x14ac:dyDescent="0.35">
      <c r="A16">
        <v>3448</v>
      </c>
      <c r="B16" t="s">
        <v>118</v>
      </c>
      <c r="C16" t="s">
        <v>9</v>
      </c>
      <c r="D16" t="s">
        <v>21</v>
      </c>
      <c r="E16" t="s">
        <v>22</v>
      </c>
      <c r="F16">
        <v>68383</v>
      </c>
      <c r="I16" t="s">
        <v>21</v>
      </c>
      <c r="J16" t="s">
        <v>10</v>
      </c>
      <c r="K16" t="s">
        <v>212</v>
      </c>
      <c r="L16" t="s">
        <v>27</v>
      </c>
      <c r="M16">
        <v>0</v>
      </c>
      <c r="N16">
        <v>0</v>
      </c>
      <c r="O16">
        <v>0</v>
      </c>
      <c r="P16">
        <v>0</v>
      </c>
      <c r="Q16">
        <v>0</v>
      </c>
      <c r="S16" s="445"/>
      <c r="T16" s="445"/>
      <c r="U16" s="446"/>
      <c r="V16" s="445"/>
      <c r="W16" s="445"/>
      <c r="X16" s="445"/>
      <c r="AE16">
        <v>11</v>
      </c>
      <c r="AF16">
        <v>202202</v>
      </c>
      <c r="AK16" t="s">
        <v>21</v>
      </c>
      <c r="AL16" t="s">
        <v>10</v>
      </c>
      <c r="AM16" t="s">
        <v>212</v>
      </c>
      <c r="AN16" t="s">
        <v>27</v>
      </c>
      <c r="AO16">
        <v>61.73</v>
      </c>
      <c r="AP16">
        <v>4.05</v>
      </c>
      <c r="AQ16">
        <v>2.71</v>
      </c>
      <c r="AR16">
        <v>20.5</v>
      </c>
      <c r="AS16">
        <v>14</v>
      </c>
      <c r="BF16" s="443"/>
      <c r="BG16" s="443"/>
      <c r="BH16" s="443"/>
      <c r="BI16" s="443"/>
      <c r="BJ16" s="443"/>
      <c r="BK16" s="443"/>
      <c r="BL16" s="443"/>
      <c r="BM16" s="443"/>
      <c r="BN16" s="443"/>
    </row>
    <row r="17" spans="1:66" x14ac:dyDescent="0.35">
      <c r="A17">
        <v>3449</v>
      </c>
      <c r="B17" t="s">
        <v>118</v>
      </c>
      <c r="C17" t="s">
        <v>9</v>
      </c>
      <c r="D17" t="s">
        <v>109</v>
      </c>
      <c r="E17" t="s">
        <v>22</v>
      </c>
      <c r="F17">
        <v>7848</v>
      </c>
      <c r="I17" t="s">
        <v>21</v>
      </c>
      <c r="J17" t="s">
        <v>13</v>
      </c>
      <c r="K17" t="s">
        <v>212</v>
      </c>
      <c r="L17" t="s">
        <v>27</v>
      </c>
      <c r="M17">
        <v>59.37</v>
      </c>
      <c r="N17">
        <v>7.73</v>
      </c>
      <c r="O17">
        <v>2.3199999999999998</v>
      </c>
      <c r="P17">
        <v>16.5</v>
      </c>
      <c r="Q17">
        <v>16.5</v>
      </c>
      <c r="S17" s="445"/>
      <c r="T17" s="445"/>
      <c r="U17" s="445"/>
      <c r="V17" s="445"/>
      <c r="W17" s="445"/>
      <c r="X17" s="445"/>
      <c r="AE17">
        <v>12</v>
      </c>
      <c r="AF17">
        <v>202203</v>
      </c>
      <c r="AK17" t="s">
        <v>21</v>
      </c>
      <c r="AL17" t="s">
        <v>13</v>
      </c>
      <c r="AM17" t="s">
        <v>212</v>
      </c>
      <c r="AN17" t="s">
        <v>27</v>
      </c>
      <c r="AO17">
        <v>59.21</v>
      </c>
      <c r="AP17">
        <v>7.83</v>
      </c>
      <c r="AQ17">
        <v>2.56</v>
      </c>
      <c r="AR17">
        <v>12.93</v>
      </c>
      <c r="AS17">
        <v>18.93</v>
      </c>
      <c r="BF17" s="443"/>
      <c r="BG17" s="443"/>
      <c r="BH17" s="443"/>
      <c r="BI17" s="443"/>
      <c r="BJ17" s="443"/>
      <c r="BK17" s="443"/>
      <c r="BL17" s="443"/>
      <c r="BM17" s="443"/>
      <c r="BN17" s="443"/>
    </row>
    <row r="18" spans="1:66" x14ac:dyDescent="0.35">
      <c r="A18">
        <v>3450</v>
      </c>
      <c r="B18" t="s">
        <v>118</v>
      </c>
      <c r="C18" t="s">
        <v>9</v>
      </c>
      <c r="D18" t="s">
        <v>108</v>
      </c>
      <c r="E18" t="s">
        <v>22</v>
      </c>
      <c r="F18">
        <v>20086</v>
      </c>
      <c r="I18" t="s">
        <v>21</v>
      </c>
      <c r="J18" t="s">
        <v>13</v>
      </c>
      <c r="K18" t="s">
        <v>212</v>
      </c>
      <c r="L18" t="s">
        <v>22</v>
      </c>
      <c r="M18">
        <v>59.55</v>
      </c>
      <c r="N18">
        <v>6.25</v>
      </c>
      <c r="O18">
        <v>3.87</v>
      </c>
      <c r="P18">
        <v>5.6</v>
      </c>
      <c r="Q18">
        <v>37.4</v>
      </c>
      <c r="S18" s="445"/>
      <c r="T18" s="445"/>
      <c r="U18" s="446"/>
      <c r="V18" s="445"/>
      <c r="W18" s="445"/>
      <c r="X18" s="445"/>
      <c r="AK18" t="s">
        <v>21</v>
      </c>
      <c r="AL18" t="s">
        <v>13</v>
      </c>
      <c r="AM18" t="s">
        <v>212</v>
      </c>
      <c r="AN18" t="s">
        <v>22</v>
      </c>
      <c r="AO18">
        <v>59.44</v>
      </c>
      <c r="AP18">
        <v>6.88</v>
      </c>
      <c r="AQ18">
        <v>3.05</v>
      </c>
      <c r="AR18">
        <v>4.37</v>
      </c>
      <c r="AS18">
        <v>23.4</v>
      </c>
      <c r="BF18" t="s">
        <v>0</v>
      </c>
      <c r="BG18" t="s">
        <v>1</v>
      </c>
      <c r="BH18" t="s">
        <v>2</v>
      </c>
      <c r="BI18" t="s">
        <v>3</v>
      </c>
      <c r="BJ18" t="s">
        <v>105</v>
      </c>
      <c r="BK18" t="s">
        <v>106</v>
      </c>
      <c r="BL18" t="s">
        <v>5</v>
      </c>
      <c r="BM18" t="s">
        <v>7</v>
      </c>
      <c r="BN18" t="s">
        <v>8</v>
      </c>
    </row>
    <row r="19" spans="1:66" x14ac:dyDescent="0.35">
      <c r="A19">
        <v>3451</v>
      </c>
      <c r="B19" t="s">
        <v>118</v>
      </c>
      <c r="C19" t="s">
        <v>9</v>
      </c>
      <c r="D19" t="s">
        <v>111</v>
      </c>
      <c r="E19" t="s">
        <v>22</v>
      </c>
      <c r="F19">
        <v>4169</v>
      </c>
      <c r="I19" t="s">
        <v>21</v>
      </c>
      <c r="J19" t="s">
        <v>12</v>
      </c>
      <c r="K19" t="s">
        <v>212</v>
      </c>
      <c r="L19" t="s">
        <v>27</v>
      </c>
      <c r="M19">
        <v>61.1</v>
      </c>
      <c r="N19">
        <v>5.23</v>
      </c>
      <c r="O19">
        <v>2.4500000000000002</v>
      </c>
      <c r="P19">
        <v>19.5</v>
      </c>
      <c r="Q19">
        <v>19.5</v>
      </c>
      <c r="S19" s="445"/>
      <c r="T19" s="445"/>
      <c r="U19" s="445"/>
      <c r="V19" s="445"/>
      <c r="W19" s="445"/>
      <c r="X19" s="445"/>
      <c r="AK19" t="s">
        <v>21</v>
      </c>
      <c r="AL19" t="s">
        <v>12</v>
      </c>
      <c r="AM19" t="s">
        <v>212</v>
      </c>
      <c r="AN19" t="s">
        <v>27</v>
      </c>
      <c r="AO19">
        <v>59.37</v>
      </c>
      <c r="AP19">
        <v>8.0299999999999994</v>
      </c>
      <c r="AQ19">
        <v>2.16</v>
      </c>
      <c r="AR19">
        <v>11.39</v>
      </c>
      <c r="AS19">
        <v>18.23</v>
      </c>
    </row>
    <row r="20" spans="1:66" x14ac:dyDescent="0.35">
      <c r="A20">
        <v>3452</v>
      </c>
      <c r="B20" t="s">
        <v>118</v>
      </c>
      <c r="C20" t="s">
        <v>9</v>
      </c>
      <c r="D20" t="s">
        <v>112</v>
      </c>
      <c r="E20" t="s">
        <v>22</v>
      </c>
      <c r="F20">
        <v>15377</v>
      </c>
      <c r="I20" t="s">
        <v>21</v>
      </c>
      <c r="J20" t="s">
        <v>12</v>
      </c>
      <c r="K20" t="s">
        <v>212</v>
      </c>
      <c r="L20" t="s">
        <v>22</v>
      </c>
      <c r="M20">
        <v>60.74</v>
      </c>
      <c r="N20">
        <v>4.43</v>
      </c>
      <c r="O20">
        <v>3.52</v>
      </c>
      <c r="P20">
        <v>8.56</v>
      </c>
      <c r="Q20">
        <v>39.159999999999997</v>
      </c>
      <c r="S20" s="445"/>
      <c r="T20" s="445"/>
      <c r="U20" s="445"/>
      <c r="V20" s="445"/>
      <c r="W20" s="445"/>
      <c r="X20" s="445"/>
      <c r="AK20" t="s">
        <v>21</v>
      </c>
      <c r="AL20" t="s">
        <v>12</v>
      </c>
      <c r="AM20" t="s">
        <v>212</v>
      </c>
      <c r="AN20" t="s">
        <v>22</v>
      </c>
      <c r="AO20">
        <v>60.44</v>
      </c>
      <c r="AP20">
        <v>5.46</v>
      </c>
      <c r="AQ20">
        <v>2.92</v>
      </c>
      <c r="AR20">
        <v>3.36</v>
      </c>
      <c r="AS20">
        <v>16.18</v>
      </c>
    </row>
    <row r="21" spans="1:66" x14ac:dyDescent="0.35">
      <c r="A21">
        <v>3453</v>
      </c>
      <c r="B21" t="s">
        <v>118</v>
      </c>
      <c r="C21" t="s">
        <v>9</v>
      </c>
      <c r="D21" t="s">
        <v>114</v>
      </c>
      <c r="E21" t="s">
        <v>22</v>
      </c>
      <c r="F21">
        <v>3888</v>
      </c>
      <c r="I21" t="s">
        <v>21</v>
      </c>
      <c r="J21" t="s">
        <v>9</v>
      </c>
      <c r="K21" t="s">
        <v>212</v>
      </c>
      <c r="L21" t="s">
        <v>27</v>
      </c>
      <c r="M21">
        <v>61.03</v>
      </c>
      <c r="N21">
        <v>3.59</v>
      </c>
      <c r="O21">
        <v>4.1100000000000003</v>
      </c>
      <c r="P21">
        <v>16.579999999999998</v>
      </c>
      <c r="Q21">
        <v>16.579999999999998</v>
      </c>
      <c r="S21" s="445"/>
      <c r="T21" s="445"/>
      <c r="U21" s="445"/>
      <c r="V21" s="445"/>
      <c r="W21" s="445"/>
      <c r="X21" s="445"/>
      <c r="AK21" t="s">
        <v>21</v>
      </c>
      <c r="AL21" t="s">
        <v>9</v>
      </c>
      <c r="AM21" t="s">
        <v>212</v>
      </c>
      <c r="AN21" t="s">
        <v>27</v>
      </c>
      <c r="AO21">
        <v>61.4</v>
      </c>
      <c r="AP21">
        <v>3.85</v>
      </c>
      <c r="AQ21">
        <v>3.41</v>
      </c>
      <c r="AR21">
        <v>14.27</v>
      </c>
      <c r="AS21">
        <v>16.829999999999998</v>
      </c>
    </row>
    <row r="22" spans="1:66" x14ac:dyDescent="0.35">
      <c r="A22">
        <v>3454</v>
      </c>
      <c r="B22" t="s">
        <v>118</v>
      </c>
      <c r="C22" t="s">
        <v>9</v>
      </c>
      <c r="D22" t="s">
        <v>113</v>
      </c>
      <c r="E22" t="s">
        <v>22</v>
      </c>
      <c r="F22">
        <v>7830</v>
      </c>
      <c r="I22" t="s">
        <v>21</v>
      </c>
      <c r="J22" t="s">
        <v>9</v>
      </c>
      <c r="K22" t="s">
        <v>212</v>
      </c>
      <c r="L22" t="s">
        <v>22</v>
      </c>
      <c r="M22">
        <v>60.29</v>
      </c>
      <c r="N22">
        <v>3.9</v>
      </c>
      <c r="O22">
        <v>4.71</v>
      </c>
      <c r="P22">
        <v>4.32</v>
      </c>
      <c r="Q22">
        <v>39.85</v>
      </c>
      <c r="S22" s="445"/>
      <c r="T22" s="445"/>
      <c r="U22" s="445"/>
      <c r="V22" s="445"/>
      <c r="W22" s="445"/>
      <c r="X22" s="445"/>
      <c r="AK22" t="s">
        <v>21</v>
      </c>
      <c r="AL22" t="s">
        <v>9</v>
      </c>
      <c r="AM22" t="s">
        <v>212</v>
      </c>
      <c r="AN22" t="s">
        <v>22</v>
      </c>
      <c r="AO22">
        <v>60.32</v>
      </c>
      <c r="AP22">
        <v>4.6500000000000004</v>
      </c>
      <c r="AQ22">
        <v>3.94</v>
      </c>
      <c r="AR22">
        <v>1.79</v>
      </c>
      <c r="AS22">
        <v>13.91</v>
      </c>
    </row>
    <row r="23" spans="1:66" x14ac:dyDescent="0.35">
      <c r="A23">
        <v>3455</v>
      </c>
      <c r="B23" t="s">
        <v>118</v>
      </c>
      <c r="C23" t="s">
        <v>16</v>
      </c>
      <c r="D23" t="s">
        <v>21</v>
      </c>
      <c r="E23" t="s">
        <v>27</v>
      </c>
      <c r="F23">
        <v>51437</v>
      </c>
      <c r="I23" t="s">
        <v>21</v>
      </c>
      <c r="J23" t="s">
        <v>16</v>
      </c>
      <c r="K23" t="s">
        <v>212</v>
      </c>
      <c r="L23" t="s">
        <v>27</v>
      </c>
      <c r="M23">
        <v>62.7</v>
      </c>
      <c r="N23">
        <v>2.62</v>
      </c>
      <c r="O23">
        <v>2.71</v>
      </c>
      <c r="P23">
        <v>7.67</v>
      </c>
      <c r="Q23">
        <v>15.75</v>
      </c>
      <c r="AK23" t="s">
        <v>21</v>
      </c>
      <c r="AL23" t="s">
        <v>16</v>
      </c>
      <c r="AM23" t="s">
        <v>212</v>
      </c>
      <c r="AN23" t="s">
        <v>27</v>
      </c>
      <c r="AO23">
        <v>62.72</v>
      </c>
      <c r="AP23">
        <v>2.78</v>
      </c>
      <c r="AQ23">
        <v>2.61</v>
      </c>
      <c r="AR23">
        <v>7.18</v>
      </c>
      <c r="AS23">
        <v>15.97</v>
      </c>
    </row>
    <row r="24" spans="1:66" x14ac:dyDescent="0.35">
      <c r="A24">
        <v>3456</v>
      </c>
      <c r="B24" t="s">
        <v>118</v>
      </c>
      <c r="C24" t="s">
        <v>16</v>
      </c>
      <c r="D24" t="s">
        <v>21</v>
      </c>
      <c r="E24" t="s">
        <v>22</v>
      </c>
      <c r="F24">
        <v>99125</v>
      </c>
      <c r="I24" t="s">
        <v>21</v>
      </c>
      <c r="J24" t="s">
        <v>16</v>
      </c>
      <c r="K24" t="s">
        <v>212</v>
      </c>
      <c r="L24" t="s">
        <v>22</v>
      </c>
      <c r="M24">
        <v>62.29</v>
      </c>
      <c r="N24">
        <v>2.65</v>
      </c>
      <c r="O24">
        <v>3.06</v>
      </c>
      <c r="P24">
        <v>3.6</v>
      </c>
      <c r="Q24">
        <v>38.200000000000003</v>
      </c>
      <c r="AK24" t="s">
        <v>21</v>
      </c>
      <c r="AL24" t="s">
        <v>16</v>
      </c>
      <c r="AM24" t="s">
        <v>212</v>
      </c>
      <c r="AN24" t="s">
        <v>22</v>
      </c>
      <c r="AO24">
        <v>62.46</v>
      </c>
      <c r="AP24">
        <v>2.98</v>
      </c>
      <c r="AQ24">
        <v>2.56</v>
      </c>
      <c r="AR24">
        <v>3.01</v>
      </c>
      <c r="AS24">
        <v>16.52</v>
      </c>
    </row>
    <row r="25" spans="1:66" x14ac:dyDescent="0.35">
      <c r="A25">
        <v>3457</v>
      </c>
      <c r="B25" t="s">
        <v>118</v>
      </c>
      <c r="C25" t="s">
        <v>11</v>
      </c>
      <c r="D25" t="s">
        <v>23</v>
      </c>
      <c r="E25" t="s">
        <v>27</v>
      </c>
      <c r="F25">
        <v>28231</v>
      </c>
      <c r="I25" t="s">
        <v>21</v>
      </c>
      <c r="J25" t="s">
        <v>11</v>
      </c>
      <c r="K25" t="s">
        <v>212</v>
      </c>
      <c r="L25" t="s">
        <v>27</v>
      </c>
      <c r="M25">
        <v>63.19</v>
      </c>
      <c r="N25">
        <v>2.36</v>
      </c>
      <c r="O25">
        <v>2.33</v>
      </c>
      <c r="P25">
        <v>13.37</v>
      </c>
      <c r="Q25">
        <v>13.37</v>
      </c>
      <c r="AK25" t="s">
        <v>21</v>
      </c>
      <c r="AL25" t="s">
        <v>11</v>
      </c>
      <c r="AM25" t="s">
        <v>212</v>
      </c>
      <c r="AN25" t="s">
        <v>27</v>
      </c>
      <c r="AO25">
        <v>63.16</v>
      </c>
      <c r="AP25">
        <v>2.4700000000000002</v>
      </c>
      <c r="AQ25">
        <v>2.29</v>
      </c>
      <c r="AR25">
        <v>4.74</v>
      </c>
      <c r="AS25">
        <v>12.68</v>
      </c>
    </row>
    <row r="26" spans="1:66" x14ac:dyDescent="0.35">
      <c r="A26">
        <v>3458</v>
      </c>
      <c r="B26" t="s">
        <v>118</v>
      </c>
      <c r="C26" t="s">
        <v>11</v>
      </c>
      <c r="D26" t="s">
        <v>21</v>
      </c>
      <c r="E26" t="s">
        <v>27</v>
      </c>
      <c r="F26">
        <v>121642.9</v>
      </c>
      <c r="I26" t="s">
        <v>21</v>
      </c>
      <c r="J26" t="s">
        <v>11</v>
      </c>
      <c r="K26" t="s">
        <v>212</v>
      </c>
      <c r="L26" t="s">
        <v>22</v>
      </c>
      <c r="M26">
        <v>62.91</v>
      </c>
      <c r="N26">
        <v>2.4300000000000002</v>
      </c>
      <c r="O26">
        <v>2.41</v>
      </c>
      <c r="P26">
        <v>3.74</v>
      </c>
      <c r="Q26">
        <v>36.83</v>
      </c>
      <c r="AK26" t="s">
        <v>21</v>
      </c>
      <c r="AL26" t="s">
        <v>11</v>
      </c>
      <c r="AM26" t="s">
        <v>212</v>
      </c>
      <c r="AN26" t="s">
        <v>22</v>
      </c>
      <c r="AO26">
        <v>62.86</v>
      </c>
      <c r="AP26">
        <v>2.65</v>
      </c>
      <c r="AQ26">
        <v>2.33</v>
      </c>
      <c r="AR26">
        <v>2.16</v>
      </c>
      <c r="AS26">
        <v>21.7</v>
      </c>
    </row>
    <row r="27" spans="1:66" x14ac:dyDescent="0.35">
      <c r="A27">
        <v>3459</v>
      </c>
      <c r="B27" t="s">
        <v>118</v>
      </c>
      <c r="C27" t="s">
        <v>11</v>
      </c>
      <c r="D27" t="s">
        <v>21</v>
      </c>
      <c r="E27" t="s">
        <v>22</v>
      </c>
      <c r="F27">
        <v>143043.9</v>
      </c>
      <c r="I27" t="s">
        <v>25</v>
      </c>
      <c r="J27" t="s">
        <v>10</v>
      </c>
      <c r="K27" t="s">
        <v>212</v>
      </c>
      <c r="L27" t="s">
        <v>27</v>
      </c>
      <c r="M27">
        <v>64.5</v>
      </c>
      <c r="N27">
        <v>2.29</v>
      </c>
      <c r="O27">
        <v>1.27</v>
      </c>
      <c r="P27">
        <v>7.14</v>
      </c>
      <c r="Q27">
        <v>17.62</v>
      </c>
      <c r="AK27" t="s">
        <v>25</v>
      </c>
      <c r="AL27" t="s">
        <v>10</v>
      </c>
      <c r="AM27" t="s">
        <v>212</v>
      </c>
      <c r="AN27" t="s">
        <v>27</v>
      </c>
      <c r="AO27">
        <v>63.41</v>
      </c>
      <c r="AP27">
        <v>3.18</v>
      </c>
      <c r="AQ27">
        <v>1.55</v>
      </c>
      <c r="AR27">
        <v>14.84</v>
      </c>
      <c r="AS27">
        <v>8.42</v>
      </c>
    </row>
    <row r="28" spans="1:66" x14ac:dyDescent="0.35">
      <c r="A28">
        <v>3460</v>
      </c>
      <c r="B28" t="s">
        <v>118</v>
      </c>
      <c r="C28" t="s">
        <v>14</v>
      </c>
      <c r="D28" t="s">
        <v>23</v>
      </c>
      <c r="E28" t="s">
        <v>27</v>
      </c>
      <c r="F28">
        <v>3340</v>
      </c>
      <c r="I28" t="s">
        <v>25</v>
      </c>
      <c r="J28" t="s">
        <v>10</v>
      </c>
      <c r="K28" t="s">
        <v>212</v>
      </c>
      <c r="L28" t="s">
        <v>22</v>
      </c>
      <c r="M28">
        <v>63.39</v>
      </c>
      <c r="N28">
        <v>3.47</v>
      </c>
      <c r="O28">
        <v>1.35</v>
      </c>
      <c r="P28">
        <v>7.19</v>
      </c>
      <c r="Q28">
        <v>44.9</v>
      </c>
      <c r="AK28" t="s">
        <v>25</v>
      </c>
      <c r="AL28" t="s">
        <v>10</v>
      </c>
      <c r="AM28" t="s">
        <v>212</v>
      </c>
      <c r="AN28" t="s">
        <v>22</v>
      </c>
      <c r="AO28">
        <v>62.94</v>
      </c>
      <c r="AP28">
        <v>3.71</v>
      </c>
      <c r="AQ28">
        <v>1.85</v>
      </c>
      <c r="AR28">
        <v>8.14</v>
      </c>
      <c r="AS28">
        <v>41.83</v>
      </c>
    </row>
    <row r="29" spans="1:66" x14ac:dyDescent="0.35">
      <c r="A29">
        <v>3461</v>
      </c>
      <c r="B29" t="s">
        <v>118</v>
      </c>
      <c r="C29" t="s">
        <v>14</v>
      </c>
      <c r="D29" t="s">
        <v>23</v>
      </c>
      <c r="E29" t="s">
        <v>22</v>
      </c>
      <c r="F29">
        <v>7086</v>
      </c>
      <c r="I29" t="s">
        <v>25</v>
      </c>
      <c r="J29" t="s">
        <v>15</v>
      </c>
      <c r="K29" t="s">
        <v>212</v>
      </c>
      <c r="L29" t="s">
        <v>27</v>
      </c>
      <c r="M29">
        <v>63.09</v>
      </c>
      <c r="N29">
        <v>3.86</v>
      </c>
      <c r="O29">
        <v>1.46</v>
      </c>
      <c r="P29">
        <v>9.94</v>
      </c>
      <c r="Q29">
        <v>19.55</v>
      </c>
      <c r="S29" s="445"/>
      <c r="T29" s="445"/>
      <c r="U29" s="445"/>
      <c r="V29" s="445"/>
      <c r="W29" s="445"/>
      <c r="X29" s="445"/>
      <c r="AK29" t="s">
        <v>25</v>
      </c>
      <c r="AL29" t="s">
        <v>15</v>
      </c>
      <c r="AM29" t="s">
        <v>212</v>
      </c>
      <c r="AN29" t="s">
        <v>27</v>
      </c>
      <c r="AO29">
        <v>62.68</v>
      </c>
      <c r="AP29">
        <v>4.3899999999999997</v>
      </c>
      <c r="AQ29">
        <v>1.55</v>
      </c>
      <c r="AR29">
        <v>11.71</v>
      </c>
      <c r="AS29">
        <v>11.01</v>
      </c>
    </row>
    <row r="30" spans="1:66" x14ac:dyDescent="0.35">
      <c r="A30">
        <v>3462</v>
      </c>
      <c r="B30" t="s">
        <v>118</v>
      </c>
      <c r="C30" t="s">
        <v>10</v>
      </c>
      <c r="D30" t="s">
        <v>23</v>
      </c>
      <c r="E30" t="s">
        <v>27</v>
      </c>
      <c r="F30">
        <v>27637</v>
      </c>
      <c r="I30" t="s">
        <v>25</v>
      </c>
      <c r="J30" t="s">
        <v>15</v>
      </c>
      <c r="K30" t="s">
        <v>212</v>
      </c>
      <c r="L30" t="s">
        <v>22</v>
      </c>
      <c r="M30">
        <v>61.87</v>
      </c>
      <c r="N30">
        <v>4.9400000000000004</v>
      </c>
      <c r="O30">
        <v>2.2799999999999998</v>
      </c>
      <c r="P30">
        <v>6.66</v>
      </c>
      <c r="Q30">
        <v>46.51</v>
      </c>
      <c r="S30" s="445"/>
      <c r="T30" s="445"/>
      <c r="U30" s="446"/>
      <c r="V30" s="445"/>
      <c r="W30" s="445"/>
      <c r="X30" s="445"/>
      <c r="AC30" t="s">
        <v>18</v>
      </c>
      <c r="AD30" t="s">
        <v>100</v>
      </c>
      <c r="AE30" t="s">
        <v>18</v>
      </c>
      <c r="AF30" t="s">
        <v>100</v>
      </c>
      <c r="AK30" t="s">
        <v>25</v>
      </c>
      <c r="AL30" t="s">
        <v>15</v>
      </c>
      <c r="AM30" t="s">
        <v>212</v>
      </c>
      <c r="AN30" t="s">
        <v>22</v>
      </c>
      <c r="AO30">
        <v>62.09</v>
      </c>
      <c r="AP30">
        <v>4.6900000000000004</v>
      </c>
      <c r="AQ30">
        <v>2.13</v>
      </c>
      <c r="AR30">
        <v>7.02</v>
      </c>
      <c r="AS30">
        <v>43.77</v>
      </c>
    </row>
    <row r="31" spans="1:66" x14ac:dyDescent="0.35">
      <c r="A31">
        <v>3463</v>
      </c>
      <c r="B31" t="s">
        <v>118</v>
      </c>
      <c r="C31" t="s">
        <v>10</v>
      </c>
      <c r="D31" t="s">
        <v>26</v>
      </c>
      <c r="E31" t="s">
        <v>27</v>
      </c>
      <c r="F31">
        <v>91896</v>
      </c>
      <c r="I31" t="s">
        <v>25</v>
      </c>
      <c r="J31" t="s">
        <v>13</v>
      </c>
      <c r="K31" t="s">
        <v>212</v>
      </c>
      <c r="L31" t="s">
        <v>22</v>
      </c>
      <c r="M31">
        <v>60.82</v>
      </c>
      <c r="N31">
        <v>7.06</v>
      </c>
      <c r="O31">
        <v>1.98</v>
      </c>
      <c r="P31">
        <v>7.38</v>
      </c>
      <c r="Q31">
        <v>45.47</v>
      </c>
      <c r="S31" s="445"/>
      <c r="T31" s="445"/>
      <c r="U31" s="445"/>
      <c r="V31" s="445"/>
      <c r="W31" s="445"/>
      <c r="X31" s="445"/>
      <c r="AC31">
        <v>5</v>
      </c>
      <c r="AE31">
        <v>1</v>
      </c>
      <c r="AF31" t="s">
        <v>23</v>
      </c>
      <c r="AK31" t="s">
        <v>25</v>
      </c>
      <c r="AL31" t="s">
        <v>13</v>
      </c>
      <c r="AM31" t="s">
        <v>212</v>
      </c>
      <c r="AN31" t="s">
        <v>22</v>
      </c>
      <c r="AO31">
        <v>60.85</v>
      </c>
      <c r="AP31">
        <v>7</v>
      </c>
      <c r="AQ31">
        <v>1.88</v>
      </c>
      <c r="AR31">
        <v>8.2200000000000006</v>
      </c>
      <c r="AS31">
        <v>41.13</v>
      </c>
    </row>
    <row r="32" spans="1:66" x14ac:dyDescent="0.35">
      <c r="A32">
        <v>3464</v>
      </c>
      <c r="B32" t="s">
        <v>118</v>
      </c>
      <c r="C32" t="s">
        <v>10</v>
      </c>
      <c r="D32" t="s">
        <v>25</v>
      </c>
      <c r="E32" t="s">
        <v>27</v>
      </c>
      <c r="F32">
        <v>4574</v>
      </c>
      <c r="I32" t="s">
        <v>25</v>
      </c>
      <c r="J32" t="s">
        <v>9</v>
      </c>
      <c r="K32" t="s">
        <v>212</v>
      </c>
      <c r="L32" t="s">
        <v>22</v>
      </c>
      <c r="M32">
        <v>0</v>
      </c>
      <c r="N32">
        <v>0</v>
      </c>
      <c r="O32">
        <v>0</v>
      </c>
      <c r="P32">
        <v>0</v>
      </c>
      <c r="Q32">
        <v>0</v>
      </c>
      <c r="S32" s="445"/>
      <c r="T32" s="445"/>
      <c r="U32" s="446"/>
      <c r="V32" s="445"/>
      <c r="W32" s="445"/>
      <c r="X32" s="445"/>
      <c r="AC32" t="s">
        <v>18</v>
      </c>
      <c r="AD32" t="s">
        <v>100</v>
      </c>
      <c r="AE32">
        <v>2</v>
      </c>
      <c r="AF32" t="s">
        <v>26</v>
      </c>
      <c r="AK32" t="s">
        <v>25</v>
      </c>
      <c r="AL32" t="s">
        <v>9</v>
      </c>
      <c r="AM32" t="s">
        <v>212</v>
      </c>
      <c r="AN32" t="s">
        <v>22</v>
      </c>
      <c r="AO32">
        <v>62.34</v>
      </c>
      <c r="AP32">
        <v>3.63</v>
      </c>
      <c r="AQ32">
        <v>2.58</v>
      </c>
      <c r="AR32">
        <v>6.29</v>
      </c>
      <c r="AS32">
        <v>41.96</v>
      </c>
    </row>
    <row r="33" spans="1:45" x14ac:dyDescent="0.35">
      <c r="A33">
        <v>3465</v>
      </c>
      <c r="B33" t="s">
        <v>118</v>
      </c>
      <c r="C33" t="s">
        <v>10</v>
      </c>
      <c r="D33" t="s">
        <v>23</v>
      </c>
      <c r="E33" t="s">
        <v>22</v>
      </c>
      <c r="F33">
        <v>55645</v>
      </c>
      <c r="I33" t="s">
        <v>26</v>
      </c>
      <c r="J33" t="s">
        <v>10</v>
      </c>
      <c r="K33" t="s">
        <v>212</v>
      </c>
      <c r="L33" t="s">
        <v>27</v>
      </c>
      <c r="M33">
        <v>61.69</v>
      </c>
      <c r="N33">
        <v>3.69</v>
      </c>
      <c r="O33">
        <v>1.9</v>
      </c>
      <c r="P33">
        <v>13.64</v>
      </c>
      <c r="Q33">
        <v>18.309999999999999</v>
      </c>
      <c r="S33" s="445"/>
      <c r="T33" s="445"/>
      <c r="U33" s="445"/>
      <c r="V33" s="445"/>
      <c r="W33" s="445"/>
      <c r="X33" s="445"/>
      <c r="AC33">
        <v>5</v>
      </c>
      <c r="AD33" s="444" t="s">
        <v>24</v>
      </c>
      <c r="AE33">
        <v>3</v>
      </c>
      <c r="AF33" t="s">
        <v>21</v>
      </c>
      <c r="AK33" t="s">
        <v>26</v>
      </c>
      <c r="AL33" t="s">
        <v>10</v>
      </c>
      <c r="AM33" t="s">
        <v>212</v>
      </c>
      <c r="AN33" t="s">
        <v>27</v>
      </c>
      <c r="AO33">
        <v>61.62</v>
      </c>
      <c r="AP33">
        <v>3.6</v>
      </c>
      <c r="AQ33">
        <v>2.11</v>
      </c>
      <c r="AR33">
        <v>25.49</v>
      </c>
      <c r="AS33">
        <v>16.14</v>
      </c>
    </row>
    <row r="34" spans="1:45" x14ac:dyDescent="0.35">
      <c r="A34">
        <v>3466</v>
      </c>
      <c r="B34" t="s">
        <v>118</v>
      </c>
      <c r="C34" t="s">
        <v>10</v>
      </c>
      <c r="D34" t="s">
        <v>26</v>
      </c>
      <c r="E34" t="s">
        <v>22</v>
      </c>
      <c r="F34">
        <v>142321</v>
      </c>
      <c r="I34" t="s">
        <v>26</v>
      </c>
      <c r="J34" t="s">
        <v>10</v>
      </c>
      <c r="K34" t="s">
        <v>212</v>
      </c>
      <c r="L34" t="s">
        <v>22</v>
      </c>
      <c r="M34">
        <v>61.96</v>
      </c>
      <c r="N34">
        <v>4.01</v>
      </c>
      <c r="O34">
        <v>2.34</v>
      </c>
      <c r="P34">
        <v>7.06</v>
      </c>
      <c r="Q34">
        <v>43.81</v>
      </c>
      <c r="S34" s="445"/>
      <c r="T34" s="445"/>
      <c r="U34" s="446"/>
      <c r="V34" s="445"/>
      <c r="W34" s="445"/>
      <c r="X34" s="445"/>
      <c r="AE34">
        <v>4</v>
      </c>
      <c r="AF34" t="s">
        <v>25</v>
      </c>
      <c r="AK34" t="s">
        <v>26</v>
      </c>
      <c r="AL34" t="s">
        <v>10</v>
      </c>
      <c r="AM34" t="s">
        <v>212</v>
      </c>
      <c r="AN34" t="s">
        <v>22</v>
      </c>
      <c r="AO34">
        <v>61.78</v>
      </c>
      <c r="AP34">
        <v>3.99</v>
      </c>
      <c r="AQ34">
        <v>2.54</v>
      </c>
      <c r="AR34">
        <v>9.69</v>
      </c>
      <c r="AS34">
        <v>38.11</v>
      </c>
    </row>
    <row r="35" spans="1:45" x14ac:dyDescent="0.35">
      <c r="A35">
        <v>3467</v>
      </c>
      <c r="B35" t="s">
        <v>118</v>
      </c>
      <c r="C35" t="s">
        <v>10</v>
      </c>
      <c r="D35" t="s">
        <v>25</v>
      </c>
      <c r="E35" t="s">
        <v>22</v>
      </c>
      <c r="F35">
        <v>7186</v>
      </c>
      <c r="I35" t="s">
        <v>26</v>
      </c>
      <c r="J35" t="s">
        <v>15</v>
      </c>
      <c r="K35" t="s">
        <v>212</v>
      </c>
      <c r="L35" t="s">
        <v>27</v>
      </c>
      <c r="M35">
        <v>61.95</v>
      </c>
      <c r="N35">
        <v>2.8</v>
      </c>
      <c r="O35">
        <v>2.0499999999999998</v>
      </c>
      <c r="P35">
        <v>8.1</v>
      </c>
      <c r="Q35">
        <v>21.35</v>
      </c>
      <c r="S35" s="445"/>
      <c r="T35" s="445"/>
      <c r="U35" s="445"/>
      <c r="V35" s="445"/>
      <c r="W35" s="445"/>
      <c r="X35" s="445"/>
      <c r="AE35">
        <v>5</v>
      </c>
      <c r="AF35" s="444" t="s">
        <v>24</v>
      </c>
      <c r="AK35" t="s">
        <v>26</v>
      </c>
      <c r="AL35" t="s">
        <v>15</v>
      </c>
      <c r="AM35" t="s">
        <v>212</v>
      </c>
      <c r="AN35" t="s">
        <v>27</v>
      </c>
      <c r="AO35">
        <v>60.19</v>
      </c>
      <c r="AP35">
        <v>4.21</v>
      </c>
      <c r="AQ35">
        <v>3.23</v>
      </c>
      <c r="AR35">
        <v>15.37</v>
      </c>
      <c r="AS35">
        <v>15.63</v>
      </c>
    </row>
    <row r="36" spans="1:45" x14ac:dyDescent="0.35">
      <c r="A36">
        <v>3468</v>
      </c>
      <c r="B36" t="s">
        <v>118</v>
      </c>
      <c r="C36" t="s">
        <v>10</v>
      </c>
      <c r="D36" t="s">
        <v>201</v>
      </c>
      <c r="E36" t="s">
        <v>22</v>
      </c>
      <c r="F36">
        <v>42353</v>
      </c>
      <c r="I36" t="s">
        <v>26</v>
      </c>
      <c r="J36" t="s">
        <v>15</v>
      </c>
      <c r="K36" t="s">
        <v>212</v>
      </c>
      <c r="L36" t="s">
        <v>22</v>
      </c>
      <c r="M36">
        <v>61.33</v>
      </c>
      <c r="N36">
        <v>4.87</v>
      </c>
      <c r="O36">
        <v>2.5</v>
      </c>
      <c r="P36">
        <v>7.43</v>
      </c>
      <c r="Q36">
        <v>41.13</v>
      </c>
      <c r="S36" s="445"/>
      <c r="T36" s="445"/>
      <c r="U36" s="446"/>
      <c r="V36" s="445"/>
      <c r="W36" s="445"/>
      <c r="X36" s="445"/>
      <c r="AK36" t="s">
        <v>26</v>
      </c>
      <c r="AL36" t="s">
        <v>15</v>
      </c>
      <c r="AM36" t="s">
        <v>212</v>
      </c>
      <c r="AN36" t="s">
        <v>22</v>
      </c>
      <c r="AO36">
        <v>59.59</v>
      </c>
      <c r="AP36">
        <v>5.46</v>
      </c>
      <c r="AQ36">
        <v>3.97</v>
      </c>
      <c r="AR36">
        <v>6.05</v>
      </c>
      <c r="AS36">
        <v>43.53</v>
      </c>
    </row>
    <row r="37" spans="1:45" x14ac:dyDescent="0.35">
      <c r="A37">
        <v>3469</v>
      </c>
      <c r="B37" t="s">
        <v>118</v>
      </c>
      <c r="C37" t="s">
        <v>10</v>
      </c>
      <c r="D37" t="s">
        <v>115</v>
      </c>
      <c r="E37" t="s">
        <v>22</v>
      </c>
      <c r="F37">
        <v>7654</v>
      </c>
      <c r="I37" t="s">
        <v>26</v>
      </c>
      <c r="J37" t="s">
        <v>13</v>
      </c>
      <c r="K37" t="s">
        <v>212</v>
      </c>
      <c r="L37" t="s">
        <v>27</v>
      </c>
      <c r="M37">
        <v>0</v>
      </c>
      <c r="N37">
        <v>0</v>
      </c>
      <c r="O37">
        <v>0</v>
      </c>
      <c r="P37">
        <v>0</v>
      </c>
      <c r="Q37">
        <v>0</v>
      </c>
      <c r="S37" s="445"/>
      <c r="T37" s="445"/>
      <c r="U37" s="445"/>
      <c r="V37" s="445"/>
      <c r="W37" s="445"/>
      <c r="X37" s="445"/>
      <c r="AK37" t="s">
        <v>26</v>
      </c>
      <c r="AL37" t="s">
        <v>13</v>
      </c>
      <c r="AM37" t="s">
        <v>212</v>
      </c>
      <c r="AN37" t="s">
        <v>27</v>
      </c>
      <c r="AO37">
        <v>57.54</v>
      </c>
      <c r="AP37">
        <v>10.24</v>
      </c>
      <c r="AQ37">
        <v>2.21</v>
      </c>
      <c r="AR37">
        <v>26.89</v>
      </c>
      <c r="AS37">
        <v>15.09</v>
      </c>
    </row>
    <row r="38" spans="1:45" x14ac:dyDescent="0.35">
      <c r="A38">
        <v>3470</v>
      </c>
      <c r="B38" t="s">
        <v>118</v>
      </c>
      <c r="C38" t="s">
        <v>10</v>
      </c>
      <c r="D38" t="s">
        <v>110</v>
      </c>
      <c r="E38" t="s">
        <v>22</v>
      </c>
      <c r="F38">
        <v>3908</v>
      </c>
      <c r="I38" t="s">
        <v>26</v>
      </c>
      <c r="J38" t="s">
        <v>13</v>
      </c>
      <c r="K38" t="s">
        <v>212</v>
      </c>
      <c r="L38" t="s">
        <v>22</v>
      </c>
      <c r="M38">
        <v>0</v>
      </c>
      <c r="N38">
        <v>0</v>
      </c>
      <c r="O38">
        <v>0</v>
      </c>
      <c r="P38">
        <v>0</v>
      </c>
      <c r="Q38">
        <v>0</v>
      </c>
      <c r="S38" s="445"/>
      <c r="T38" s="445"/>
      <c r="U38" s="445"/>
      <c r="V38" s="445"/>
      <c r="W38" s="445"/>
      <c r="X38" s="445"/>
      <c r="AK38" t="s">
        <v>26</v>
      </c>
      <c r="AL38" t="s">
        <v>13</v>
      </c>
      <c r="AM38" t="s">
        <v>212</v>
      </c>
      <c r="AN38" t="s">
        <v>22</v>
      </c>
      <c r="AO38">
        <v>59.65</v>
      </c>
      <c r="AP38">
        <v>7.12</v>
      </c>
      <c r="AQ38">
        <v>2.4500000000000002</v>
      </c>
      <c r="AR38">
        <v>10.26</v>
      </c>
      <c r="AS38">
        <v>35.14</v>
      </c>
    </row>
    <row r="39" spans="1:45" x14ac:dyDescent="0.35">
      <c r="A39">
        <v>3474</v>
      </c>
      <c r="B39" t="s">
        <v>118</v>
      </c>
      <c r="C39" t="s">
        <v>15</v>
      </c>
      <c r="D39" t="s">
        <v>23</v>
      </c>
      <c r="E39" t="s">
        <v>27</v>
      </c>
      <c r="F39">
        <v>1784</v>
      </c>
      <c r="I39" t="s">
        <v>26</v>
      </c>
      <c r="J39" t="s">
        <v>12</v>
      </c>
      <c r="K39" t="s">
        <v>212</v>
      </c>
      <c r="L39" t="s">
        <v>27</v>
      </c>
      <c r="M39">
        <v>0</v>
      </c>
      <c r="N39">
        <v>0</v>
      </c>
      <c r="O39">
        <v>0</v>
      </c>
      <c r="P39">
        <v>0</v>
      </c>
      <c r="Q39">
        <v>0</v>
      </c>
      <c r="S39" s="445"/>
      <c r="T39" s="445"/>
      <c r="U39" s="445"/>
      <c r="V39" s="445"/>
      <c r="W39" s="445"/>
      <c r="X39" s="445"/>
      <c r="AK39" t="s">
        <v>26</v>
      </c>
      <c r="AL39" t="s">
        <v>12</v>
      </c>
      <c r="AM39" t="s">
        <v>212</v>
      </c>
      <c r="AN39" t="s">
        <v>27</v>
      </c>
      <c r="AO39">
        <v>62.2</v>
      </c>
      <c r="AP39">
        <v>3.3</v>
      </c>
      <c r="AQ39">
        <v>2.2000000000000002</v>
      </c>
      <c r="AR39">
        <v>24.6</v>
      </c>
      <c r="AS39">
        <v>15.9</v>
      </c>
    </row>
    <row r="40" spans="1:45" x14ac:dyDescent="0.35">
      <c r="A40">
        <v>3475</v>
      </c>
      <c r="B40" t="s">
        <v>118</v>
      </c>
      <c r="C40" t="s">
        <v>15</v>
      </c>
      <c r="D40" t="s">
        <v>23</v>
      </c>
      <c r="E40" t="s">
        <v>22</v>
      </c>
      <c r="F40">
        <v>1501</v>
      </c>
      <c r="I40" t="s">
        <v>26</v>
      </c>
      <c r="J40" t="s">
        <v>12</v>
      </c>
      <c r="K40" t="s">
        <v>212</v>
      </c>
      <c r="L40" t="s">
        <v>22</v>
      </c>
      <c r="M40">
        <v>0</v>
      </c>
      <c r="N40">
        <v>0</v>
      </c>
      <c r="O40">
        <v>0</v>
      </c>
      <c r="P40">
        <v>0</v>
      </c>
      <c r="Q40">
        <v>0</v>
      </c>
      <c r="S40" s="445"/>
      <c r="T40" s="445"/>
      <c r="U40" s="445"/>
      <c r="V40" s="445"/>
      <c r="W40" s="445"/>
      <c r="X40" s="445"/>
      <c r="AK40" t="s">
        <v>26</v>
      </c>
      <c r="AL40" t="s">
        <v>12</v>
      </c>
      <c r="AM40" t="s">
        <v>212</v>
      </c>
      <c r="AN40" t="s">
        <v>22</v>
      </c>
      <c r="AO40">
        <v>60.3</v>
      </c>
      <c r="AP40">
        <v>4.5999999999999996</v>
      </c>
      <c r="AQ40">
        <v>3.9</v>
      </c>
      <c r="AR40">
        <v>3.65</v>
      </c>
      <c r="AS40">
        <v>48.05</v>
      </c>
    </row>
    <row r="41" spans="1:45" x14ac:dyDescent="0.35">
      <c r="A41">
        <v>3476</v>
      </c>
      <c r="B41" t="s">
        <v>118</v>
      </c>
      <c r="C41" t="s">
        <v>15</v>
      </c>
      <c r="D41" t="s">
        <v>26</v>
      </c>
      <c r="E41" t="s">
        <v>27</v>
      </c>
      <c r="F41">
        <v>48426</v>
      </c>
      <c r="I41" t="s">
        <v>26</v>
      </c>
      <c r="J41" t="s">
        <v>9</v>
      </c>
      <c r="K41" t="s">
        <v>212</v>
      </c>
      <c r="L41" t="s">
        <v>22</v>
      </c>
      <c r="M41">
        <v>0</v>
      </c>
      <c r="N41">
        <v>0</v>
      </c>
      <c r="O41">
        <v>0</v>
      </c>
      <c r="P41">
        <v>0</v>
      </c>
      <c r="Q41">
        <v>0</v>
      </c>
      <c r="S41" s="445"/>
      <c r="T41" s="445"/>
      <c r="U41" s="445"/>
      <c r="V41" s="445"/>
      <c r="W41" s="445"/>
      <c r="X41" s="445"/>
      <c r="AK41" t="s">
        <v>26</v>
      </c>
      <c r="AL41" t="s">
        <v>9</v>
      </c>
      <c r="AM41" t="s">
        <v>212</v>
      </c>
      <c r="AN41" t="s">
        <v>22</v>
      </c>
      <c r="AO41">
        <v>60.05</v>
      </c>
      <c r="AP41">
        <v>5.41</v>
      </c>
      <c r="AQ41">
        <v>3.37</v>
      </c>
      <c r="AR41">
        <v>9.43</v>
      </c>
      <c r="AS41">
        <v>44.12</v>
      </c>
    </row>
    <row r="42" spans="1:45" x14ac:dyDescent="0.35">
      <c r="A42">
        <v>3477</v>
      </c>
      <c r="B42" t="s">
        <v>118</v>
      </c>
      <c r="C42" t="s">
        <v>15</v>
      </c>
      <c r="D42" t="s">
        <v>26</v>
      </c>
      <c r="E42" t="s">
        <v>22</v>
      </c>
      <c r="F42">
        <v>85939</v>
      </c>
      <c r="I42" t="s">
        <v>24</v>
      </c>
      <c r="J42" t="s">
        <v>13</v>
      </c>
      <c r="K42" t="s">
        <v>212</v>
      </c>
      <c r="L42" t="s">
        <v>22</v>
      </c>
      <c r="M42">
        <v>0</v>
      </c>
      <c r="N42">
        <v>0</v>
      </c>
      <c r="O42">
        <v>0</v>
      </c>
      <c r="P42">
        <v>0</v>
      </c>
      <c r="Q42">
        <v>0</v>
      </c>
      <c r="S42" s="445"/>
      <c r="T42" s="445"/>
      <c r="U42" s="445"/>
      <c r="V42" s="445"/>
      <c r="W42" s="445"/>
      <c r="X42" s="445"/>
      <c r="AK42" t="s">
        <v>24</v>
      </c>
      <c r="AL42" t="s">
        <v>13</v>
      </c>
      <c r="AM42" t="s">
        <v>212</v>
      </c>
      <c r="AN42" t="s">
        <v>22</v>
      </c>
      <c r="AO42">
        <v>56.05</v>
      </c>
      <c r="AP42">
        <v>12.8</v>
      </c>
      <c r="AQ42">
        <v>3.37</v>
      </c>
      <c r="AR42">
        <v>8.27</v>
      </c>
      <c r="AS42">
        <v>39.479999999999997</v>
      </c>
    </row>
    <row r="43" spans="1:45" x14ac:dyDescent="0.35">
      <c r="A43">
        <v>3478</v>
      </c>
      <c r="B43" t="s">
        <v>118</v>
      </c>
      <c r="C43" t="s">
        <v>15</v>
      </c>
      <c r="D43" t="s">
        <v>25</v>
      </c>
      <c r="E43" t="s">
        <v>27</v>
      </c>
      <c r="F43">
        <v>38630</v>
      </c>
      <c r="I43" t="s">
        <v>24</v>
      </c>
      <c r="J43" t="s">
        <v>12</v>
      </c>
      <c r="K43" t="s">
        <v>212</v>
      </c>
      <c r="L43" t="s">
        <v>27</v>
      </c>
      <c r="M43">
        <v>0</v>
      </c>
      <c r="N43">
        <v>0</v>
      </c>
      <c r="O43">
        <v>0</v>
      </c>
      <c r="P43">
        <v>0</v>
      </c>
      <c r="Q43">
        <v>0</v>
      </c>
      <c r="S43" s="445"/>
      <c r="T43" s="445"/>
      <c r="U43" s="445"/>
      <c r="V43" s="445"/>
      <c r="W43" s="445"/>
      <c r="X43" s="445"/>
      <c r="AK43" t="s">
        <v>24</v>
      </c>
      <c r="AL43" t="s">
        <v>12</v>
      </c>
      <c r="AM43" t="s">
        <v>212</v>
      </c>
      <c r="AN43" t="s">
        <v>27</v>
      </c>
      <c r="AO43">
        <v>60.91</v>
      </c>
      <c r="AP43">
        <v>2.4500000000000002</v>
      </c>
      <c r="AQ43">
        <v>3.8</v>
      </c>
      <c r="AR43">
        <v>32.6</v>
      </c>
      <c r="AS43">
        <v>12.7</v>
      </c>
    </row>
    <row r="44" spans="1:45" x14ac:dyDescent="0.35">
      <c r="A44">
        <v>3479</v>
      </c>
      <c r="B44" t="s">
        <v>118</v>
      </c>
      <c r="C44" t="s">
        <v>15</v>
      </c>
      <c r="D44" t="s">
        <v>25</v>
      </c>
      <c r="E44" t="s">
        <v>22</v>
      </c>
      <c r="F44">
        <v>162189</v>
      </c>
      <c r="I44" t="s">
        <v>24</v>
      </c>
      <c r="J44" t="s">
        <v>12</v>
      </c>
      <c r="K44" t="s">
        <v>212</v>
      </c>
      <c r="L44" t="s">
        <v>22</v>
      </c>
      <c r="M44">
        <v>61.28</v>
      </c>
      <c r="N44">
        <v>4.51</v>
      </c>
      <c r="O44">
        <v>3.22</v>
      </c>
      <c r="P44">
        <v>9.27</v>
      </c>
      <c r="Q44">
        <v>47.33</v>
      </c>
      <c r="AK44" t="s">
        <v>24</v>
      </c>
      <c r="AL44" t="s">
        <v>12</v>
      </c>
      <c r="AM44" t="s">
        <v>212</v>
      </c>
      <c r="AN44" t="s">
        <v>22</v>
      </c>
      <c r="AO44">
        <v>61.07</v>
      </c>
      <c r="AP44">
        <v>6.47</v>
      </c>
      <c r="AQ44">
        <v>2.3199999999999998</v>
      </c>
      <c r="AR44">
        <v>7.9</v>
      </c>
      <c r="AS44">
        <v>47.7</v>
      </c>
    </row>
    <row r="45" spans="1:45" x14ac:dyDescent="0.35">
      <c r="A45">
        <v>3480</v>
      </c>
      <c r="B45" t="s">
        <v>119</v>
      </c>
      <c r="C45" t="s">
        <v>12</v>
      </c>
      <c r="D45" t="s">
        <v>23</v>
      </c>
      <c r="E45" t="s">
        <v>27</v>
      </c>
      <c r="F45">
        <v>46459</v>
      </c>
      <c r="I45" t="s">
        <v>24</v>
      </c>
      <c r="J45" t="s">
        <v>9</v>
      </c>
      <c r="K45" t="s">
        <v>212</v>
      </c>
      <c r="L45" t="s">
        <v>22</v>
      </c>
      <c r="M45">
        <v>0</v>
      </c>
      <c r="N45">
        <v>0</v>
      </c>
      <c r="O45">
        <v>0</v>
      </c>
      <c r="P45">
        <v>0</v>
      </c>
      <c r="Q45">
        <v>0</v>
      </c>
      <c r="AK45" t="s">
        <v>24</v>
      </c>
      <c r="AL45" t="s">
        <v>9</v>
      </c>
      <c r="AM45" t="s">
        <v>212</v>
      </c>
      <c r="AN45" t="s">
        <v>22</v>
      </c>
      <c r="AO45">
        <v>59.05</v>
      </c>
      <c r="AP45">
        <v>6.21</v>
      </c>
      <c r="AQ45">
        <v>4</v>
      </c>
      <c r="AR45">
        <v>5.0999999999999996</v>
      </c>
      <c r="AS45">
        <v>55.41</v>
      </c>
    </row>
    <row r="46" spans="1:45" x14ac:dyDescent="0.35">
      <c r="A46">
        <v>3481</v>
      </c>
      <c r="B46" t="s">
        <v>119</v>
      </c>
      <c r="C46" t="s">
        <v>12</v>
      </c>
      <c r="D46" t="s">
        <v>26</v>
      </c>
      <c r="E46" t="s">
        <v>27</v>
      </c>
      <c r="F46">
        <v>4179</v>
      </c>
    </row>
    <row r="47" spans="1:45" x14ac:dyDescent="0.35">
      <c r="A47">
        <v>3482</v>
      </c>
      <c r="B47" t="s">
        <v>119</v>
      </c>
      <c r="C47" t="s">
        <v>12</v>
      </c>
      <c r="D47" t="s">
        <v>21</v>
      </c>
      <c r="E47" t="s">
        <v>27</v>
      </c>
      <c r="F47">
        <v>3761</v>
      </c>
    </row>
    <row r="48" spans="1:45" x14ac:dyDescent="0.35">
      <c r="A48">
        <v>3483</v>
      </c>
      <c r="B48" t="s">
        <v>119</v>
      </c>
      <c r="C48" t="s">
        <v>12</v>
      </c>
      <c r="D48" t="s">
        <v>23</v>
      </c>
      <c r="E48" t="s">
        <v>22</v>
      </c>
      <c r="F48">
        <v>68146</v>
      </c>
    </row>
    <row r="49" spans="1:6" x14ac:dyDescent="0.35">
      <c r="A49">
        <v>3484</v>
      </c>
      <c r="B49" t="s">
        <v>119</v>
      </c>
      <c r="C49" t="s">
        <v>12</v>
      </c>
      <c r="D49" t="s">
        <v>21</v>
      </c>
      <c r="E49" t="s">
        <v>22</v>
      </c>
      <c r="F49">
        <v>14147</v>
      </c>
    </row>
    <row r="50" spans="1:6" x14ac:dyDescent="0.35">
      <c r="A50">
        <v>3485</v>
      </c>
      <c r="B50" t="s">
        <v>119</v>
      </c>
      <c r="C50" t="s">
        <v>12</v>
      </c>
      <c r="D50" t="s">
        <v>24</v>
      </c>
      <c r="E50" t="s">
        <v>22</v>
      </c>
      <c r="F50">
        <v>93978</v>
      </c>
    </row>
    <row r="51" spans="1:6" x14ac:dyDescent="0.35">
      <c r="A51">
        <v>3486</v>
      </c>
      <c r="B51" t="s">
        <v>119</v>
      </c>
      <c r="C51" t="s">
        <v>13</v>
      </c>
      <c r="D51" t="s">
        <v>23</v>
      </c>
      <c r="E51" t="s">
        <v>27</v>
      </c>
      <c r="F51">
        <v>59821</v>
      </c>
    </row>
    <row r="52" spans="1:6" x14ac:dyDescent="0.35">
      <c r="A52">
        <v>3489</v>
      </c>
      <c r="B52" t="s">
        <v>119</v>
      </c>
      <c r="C52" t="s">
        <v>13</v>
      </c>
      <c r="D52" t="s">
        <v>23</v>
      </c>
      <c r="E52" t="s">
        <v>22</v>
      </c>
      <c r="F52">
        <v>68286</v>
      </c>
    </row>
    <row r="53" spans="1:6" x14ac:dyDescent="0.35">
      <c r="A53">
        <v>3490</v>
      </c>
      <c r="B53" t="s">
        <v>119</v>
      </c>
      <c r="C53" t="s">
        <v>13</v>
      </c>
      <c r="D53" t="s">
        <v>21</v>
      </c>
      <c r="E53" t="s">
        <v>22</v>
      </c>
      <c r="F53">
        <v>36238</v>
      </c>
    </row>
    <row r="54" spans="1:6" x14ac:dyDescent="0.35">
      <c r="A54">
        <v>3491</v>
      </c>
      <c r="B54" t="s">
        <v>119</v>
      </c>
      <c r="C54" t="s">
        <v>9</v>
      </c>
      <c r="D54" t="s">
        <v>23</v>
      </c>
      <c r="E54" t="s">
        <v>27</v>
      </c>
      <c r="F54">
        <v>18706</v>
      </c>
    </row>
    <row r="55" spans="1:6" x14ac:dyDescent="0.35">
      <c r="A55">
        <v>3492</v>
      </c>
      <c r="B55" t="s">
        <v>119</v>
      </c>
      <c r="C55" t="s">
        <v>9</v>
      </c>
      <c r="D55" t="s">
        <v>21</v>
      </c>
      <c r="E55" t="s">
        <v>27</v>
      </c>
      <c r="F55">
        <v>38629</v>
      </c>
    </row>
    <row r="56" spans="1:6" x14ac:dyDescent="0.35">
      <c r="A56">
        <v>3493</v>
      </c>
      <c r="B56" t="s">
        <v>119</v>
      </c>
      <c r="C56" t="s">
        <v>9</v>
      </c>
      <c r="D56" t="s">
        <v>21</v>
      </c>
      <c r="E56" t="s">
        <v>22</v>
      </c>
      <c r="F56">
        <v>115806</v>
      </c>
    </row>
    <row r="57" spans="1:6" x14ac:dyDescent="0.35">
      <c r="A57">
        <v>3494</v>
      </c>
      <c r="B57" t="s">
        <v>119</v>
      </c>
      <c r="C57" t="s">
        <v>9</v>
      </c>
      <c r="D57" t="s">
        <v>109</v>
      </c>
      <c r="E57" t="s">
        <v>22</v>
      </c>
      <c r="F57">
        <v>7525</v>
      </c>
    </row>
    <row r="58" spans="1:6" x14ac:dyDescent="0.35">
      <c r="A58">
        <v>3495</v>
      </c>
      <c r="B58" t="s">
        <v>119</v>
      </c>
      <c r="C58" t="s">
        <v>9</v>
      </c>
      <c r="D58" t="s">
        <v>120</v>
      </c>
      <c r="E58" t="s">
        <v>22</v>
      </c>
      <c r="F58">
        <v>3850</v>
      </c>
    </row>
    <row r="59" spans="1:6" x14ac:dyDescent="0.35">
      <c r="A59">
        <v>3496</v>
      </c>
      <c r="B59" t="s">
        <v>119</v>
      </c>
      <c r="C59" t="s">
        <v>9</v>
      </c>
      <c r="D59" t="s">
        <v>111</v>
      </c>
      <c r="E59" t="s">
        <v>22</v>
      </c>
      <c r="F59">
        <v>11907</v>
      </c>
    </row>
    <row r="60" spans="1:6" x14ac:dyDescent="0.35">
      <c r="A60">
        <v>3498</v>
      </c>
      <c r="B60" t="s">
        <v>119</v>
      </c>
      <c r="C60" t="s">
        <v>9</v>
      </c>
      <c r="D60" t="s">
        <v>114</v>
      </c>
      <c r="E60" t="s">
        <v>22</v>
      </c>
      <c r="F60">
        <v>7652</v>
      </c>
    </row>
    <row r="61" spans="1:6" x14ac:dyDescent="0.35">
      <c r="A61">
        <v>3500</v>
      </c>
      <c r="B61" t="s">
        <v>119</v>
      </c>
      <c r="C61" t="s">
        <v>16</v>
      </c>
      <c r="D61" t="s">
        <v>21</v>
      </c>
      <c r="E61" t="s">
        <v>27</v>
      </c>
      <c r="F61">
        <v>43372</v>
      </c>
    </row>
    <row r="62" spans="1:6" x14ac:dyDescent="0.35">
      <c r="A62">
        <v>3501</v>
      </c>
      <c r="B62" t="s">
        <v>119</v>
      </c>
      <c r="C62" t="s">
        <v>16</v>
      </c>
      <c r="D62" t="s">
        <v>21</v>
      </c>
      <c r="E62" t="s">
        <v>22</v>
      </c>
      <c r="F62">
        <v>91102</v>
      </c>
    </row>
    <row r="63" spans="1:6" x14ac:dyDescent="0.35">
      <c r="A63">
        <v>3503</v>
      </c>
      <c r="B63" t="s">
        <v>119</v>
      </c>
      <c r="C63" t="s">
        <v>11</v>
      </c>
      <c r="D63" t="s">
        <v>21</v>
      </c>
      <c r="E63" t="s">
        <v>27</v>
      </c>
      <c r="F63">
        <v>135426.5</v>
      </c>
    </row>
    <row r="64" spans="1:6" x14ac:dyDescent="0.35">
      <c r="A64">
        <v>3504</v>
      </c>
      <c r="B64" t="s">
        <v>119</v>
      </c>
      <c r="C64" t="s">
        <v>11</v>
      </c>
      <c r="D64" t="s">
        <v>21</v>
      </c>
      <c r="E64" t="s">
        <v>22</v>
      </c>
      <c r="F64">
        <v>114004.9</v>
      </c>
    </row>
    <row r="65" spans="1:6" x14ac:dyDescent="0.35">
      <c r="A65">
        <v>3505</v>
      </c>
      <c r="B65" t="s">
        <v>119</v>
      </c>
      <c r="C65" t="s">
        <v>14</v>
      </c>
      <c r="D65" t="s">
        <v>23</v>
      </c>
      <c r="E65" t="s">
        <v>27</v>
      </c>
      <c r="F65">
        <v>17229</v>
      </c>
    </row>
    <row r="66" spans="1:6" x14ac:dyDescent="0.35">
      <c r="A66">
        <v>3506</v>
      </c>
      <c r="B66" t="s">
        <v>119</v>
      </c>
      <c r="C66" t="s">
        <v>14</v>
      </c>
      <c r="D66" t="s">
        <v>23</v>
      </c>
      <c r="E66" t="s">
        <v>22</v>
      </c>
      <c r="F66">
        <v>28141</v>
      </c>
    </row>
    <row r="67" spans="1:6" x14ac:dyDescent="0.35">
      <c r="A67">
        <v>3507</v>
      </c>
      <c r="B67" t="s">
        <v>119</v>
      </c>
      <c r="C67" t="s">
        <v>10</v>
      </c>
      <c r="D67" t="s">
        <v>23</v>
      </c>
      <c r="E67" t="s">
        <v>27</v>
      </c>
      <c r="F67">
        <v>57164</v>
      </c>
    </row>
    <row r="68" spans="1:6" x14ac:dyDescent="0.35">
      <c r="A68">
        <v>3508</v>
      </c>
      <c r="B68" t="s">
        <v>119</v>
      </c>
      <c r="C68" t="s">
        <v>10</v>
      </c>
      <c r="D68" t="s">
        <v>26</v>
      </c>
      <c r="E68" t="s">
        <v>27</v>
      </c>
      <c r="F68">
        <v>112966</v>
      </c>
    </row>
    <row r="69" spans="1:6" x14ac:dyDescent="0.35">
      <c r="A69">
        <v>3509</v>
      </c>
      <c r="B69" t="s">
        <v>119</v>
      </c>
      <c r="C69" t="s">
        <v>10</v>
      </c>
      <c r="D69" t="s">
        <v>25</v>
      </c>
      <c r="E69" t="s">
        <v>27</v>
      </c>
      <c r="F69">
        <v>12516</v>
      </c>
    </row>
    <row r="70" spans="1:6" x14ac:dyDescent="0.35">
      <c r="A70">
        <v>3510</v>
      </c>
      <c r="B70" t="s">
        <v>119</v>
      </c>
      <c r="C70" t="s">
        <v>10</v>
      </c>
      <c r="D70" t="s">
        <v>23</v>
      </c>
      <c r="E70" t="s">
        <v>22</v>
      </c>
      <c r="F70">
        <v>77143</v>
      </c>
    </row>
    <row r="71" spans="1:6" x14ac:dyDescent="0.35">
      <c r="A71">
        <v>3511</v>
      </c>
      <c r="B71" t="s">
        <v>119</v>
      </c>
      <c r="C71" t="s">
        <v>10</v>
      </c>
      <c r="D71" t="s">
        <v>26</v>
      </c>
      <c r="E71" t="s">
        <v>22</v>
      </c>
      <c r="F71">
        <v>156042</v>
      </c>
    </row>
    <row r="72" spans="1:6" x14ac:dyDescent="0.35">
      <c r="A72">
        <v>3512</v>
      </c>
      <c r="B72" t="s">
        <v>119</v>
      </c>
      <c r="C72" t="s">
        <v>10</v>
      </c>
      <c r="D72" t="s">
        <v>25</v>
      </c>
      <c r="E72" t="s">
        <v>22</v>
      </c>
      <c r="F72">
        <v>46997</v>
      </c>
    </row>
    <row r="73" spans="1:6" x14ac:dyDescent="0.35">
      <c r="A73">
        <v>3519</v>
      </c>
      <c r="B73" t="s">
        <v>119</v>
      </c>
      <c r="C73" t="s">
        <v>15</v>
      </c>
      <c r="D73" t="s">
        <v>26</v>
      </c>
      <c r="E73" t="s">
        <v>27</v>
      </c>
      <c r="F73">
        <v>21062</v>
      </c>
    </row>
    <row r="74" spans="1:6" x14ac:dyDescent="0.35">
      <c r="A74">
        <v>3520</v>
      </c>
      <c r="B74" t="s">
        <v>119</v>
      </c>
      <c r="C74" t="s">
        <v>15</v>
      </c>
      <c r="D74" t="s">
        <v>26</v>
      </c>
      <c r="E74" t="s">
        <v>22</v>
      </c>
      <c r="F74">
        <v>30671</v>
      </c>
    </row>
    <row r="75" spans="1:6" x14ac:dyDescent="0.35">
      <c r="A75">
        <v>3521</v>
      </c>
      <c r="B75" t="s">
        <v>119</v>
      </c>
      <c r="C75" t="s">
        <v>15</v>
      </c>
      <c r="D75" t="s">
        <v>23</v>
      </c>
      <c r="E75" t="s">
        <v>27</v>
      </c>
      <c r="F75">
        <v>27018</v>
      </c>
    </row>
    <row r="76" spans="1:6" x14ac:dyDescent="0.35">
      <c r="A76">
        <v>3522</v>
      </c>
      <c r="B76" t="s">
        <v>119</v>
      </c>
      <c r="C76" t="s">
        <v>15</v>
      </c>
      <c r="D76" t="s">
        <v>23</v>
      </c>
      <c r="E76" t="s">
        <v>22</v>
      </c>
      <c r="F76">
        <v>33928</v>
      </c>
    </row>
    <row r="77" spans="1:6" x14ac:dyDescent="0.35">
      <c r="A77">
        <v>3523</v>
      </c>
      <c r="B77" t="s">
        <v>119</v>
      </c>
      <c r="C77" t="s">
        <v>15</v>
      </c>
      <c r="D77" t="s">
        <v>25</v>
      </c>
      <c r="E77" t="s">
        <v>27</v>
      </c>
      <c r="F77">
        <v>48167</v>
      </c>
    </row>
    <row r="78" spans="1:6" x14ac:dyDescent="0.35">
      <c r="A78">
        <v>3524</v>
      </c>
      <c r="B78" t="s">
        <v>119</v>
      </c>
      <c r="C78" t="s">
        <v>15</v>
      </c>
      <c r="D78" t="s">
        <v>25</v>
      </c>
      <c r="E78" t="s">
        <v>22</v>
      </c>
      <c r="F78">
        <v>159763</v>
      </c>
    </row>
    <row r="79" spans="1:6" x14ac:dyDescent="0.35">
      <c r="A79">
        <v>3525</v>
      </c>
      <c r="B79" t="s">
        <v>121</v>
      </c>
      <c r="C79" t="s">
        <v>12</v>
      </c>
      <c r="D79" t="s">
        <v>23</v>
      </c>
      <c r="E79" t="s">
        <v>27</v>
      </c>
      <c r="F79">
        <v>62630</v>
      </c>
    </row>
    <row r="80" spans="1:6" x14ac:dyDescent="0.35">
      <c r="A80">
        <v>3526</v>
      </c>
      <c r="B80" t="s">
        <v>121</v>
      </c>
      <c r="C80" t="s">
        <v>13</v>
      </c>
      <c r="D80" t="s">
        <v>25</v>
      </c>
      <c r="E80" t="s">
        <v>22</v>
      </c>
      <c r="F80">
        <v>30826</v>
      </c>
    </row>
    <row r="81" spans="1:6" x14ac:dyDescent="0.35">
      <c r="A81">
        <v>3527</v>
      </c>
      <c r="B81" t="s">
        <v>121</v>
      </c>
      <c r="C81" t="s">
        <v>12</v>
      </c>
      <c r="D81" t="s">
        <v>21</v>
      </c>
      <c r="E81" t="s">
        <v>27</v>
      </c>
      <c r="F81">
        <v>10333</v>
      </c>
    </row>
    <row r="82" spans="1:6" x14ac:dyDescent="0.35">
      <c r="A82">
        <v>3528</v>
      </c>
      <c r="B82" t="s">
        <v>121</v>
      </c>
      <c r="C82" t="s">
        <v>12</v>
      </c>
      <c r="D82" t="s">
        <v>23</v>
      </c>
      <c r="E82" t="s">
        <v>22</v>
      </c>
      <c r="F82">
        <v>116788</v>
      </c>
    </row>
    <row r="83" spans="1:6" x14ac:dyDescent="0.35">
      <c r="A83">
        <v>3529</v>
      </c>
      <c r="B83" t="s">
        <v>121</v>
      </c>
      <c r="C83" t="s">
        <v>12</v>
      </c>
      <c r="D83" t="s">
        <v>21</v>
      </c>
      <c r="E83" t="s">
        <v>22</v>
      </c>
      <c r="F83">
        <v>55284</v>
      </c>
    </row>
    <row r="84" spans="1:6" x14ac:dyDescent="0.35">
      <c r="A84">
        <v>3530</v>
      </c>
      <c r="B84" t="s">
        <v>121</v>
      </c>
      <c r="C84" t="s">
        <v>12</v>
      </c>
      <c r="D84" t="s">
        <v>24</v>
      </c>
      <c r="E84" t="s">
        <v>22</v>
      </c>
      <c r="F84">
        <v>77336</v>
      </c>
    </row>
    <row r="85" spans="1:6" x14ac:dyDescent="0.35">
      <c r="A85">
        <v>3531</v>
      </c>
      <c r="B85" t="s">
        <v>121</v>
      </c>
      <c r="C85" t="s">
        <v>13</v>
      </c>
      <c r="D85" t="s">
        <v>23</v>
      </c>
      <c r="E85" t="s">
        <v>27</v>
      </c>
      <c r="F85">
        <v>79307</v>
      </c>
    </row>
    <row r="86" spans="1:6" x14ac:dyDescent="0.35">
      <c r="A86">
        <v>3532</v>
      </c>
      <c r="B86" t="s">
        <v>121</v>
      </c>
      <c r="C86" t="s">
        <v>13</v>
      </c>
      <c r="D86" t="s">
        <v>23</v>
      </c>
      <c r="E86" t="s">
        <v>22</v>
      </c>
      <c r="F86">
        <v>120686</v>
      </c>
    </row>
    <row r="87" spans="1:6" x14ac:dyDescent="0.35">
      <c r="A87">
        <v>3533</v>
      </c>
      <c r="B87" t="s">
        <v>121</v>
      </c>
      <c r="C87" t="s">
        <v>13</v>
      </c>
      <c r="D87" t="s">
        <v>21</v>
      </c>
      <c r="E87" t="s">
        <v>22</v>
      </c>
      <c r="F87">
        <v>63624</v>
      </c>
    </row>
    <row r="88" spans="1:6" x14ac:dyDescent="0.35">
      <c r="A88">
        <v>3534</v>
      </c>
      <c r="B88" t="s">
        <v>130</v>
      </c>
      <c r="C88" t="s">
        <v>13</v>
      </c>
      <c r="D88" t="s">
        <v>21</v>
      </c>
      <c r="E88" t="s">
        <v>27</v>
      </c>
      <c r="F88">
        <v>4495</v>
      </c>
    </row>
    <row r="89" spans="1:6" x14ac:dyDescent="0.35">
      <c r="A89">
        <v>3535</v>
      </c>
      <c r="B89" t="s">
        <v>121</v>
      </c>
      <c r="C89" t="s">
        <v>9</v>
      </c>
      <c r="D89" t="s">
        <v>23</v>
      </c>
      <c r="E89" t="s">
        <v>27</v>
      </c>
      <c r="F89">
        <v>22903</v>
      </c>
    </row>
    <row r="90" spans="1:6" x14ac:dyDescent="0.35">
      <c r="A90">
        <v>3536</v>
      </c>
      <c r="B90" t="s">
        <v>121</v>
      </c>
      <c r="C90" t="s">
        <v>9</v>
      </c>
      <c r="D90" t="s">
        <v>21</v>
      </c>
      <c r="E90" t="s">
        <v>27</v>
      </c>
      <c r="F90">
        <v>25539</v>
      </c>
    </row>
    <row r="91" spans="1:6" x14ac:dyDescent="0.35">
      <c r="A91">
        <v>3537</v>
      </c>
      <c r="B91" t="s">
        <v>121</v>
      </c>
      <c r="C91" t="s">
        <v>9</v>
      </c>
      <c r="D91" t="s">
        <v>21</v>
      </c>
      <c r="E91" t="s">
        <v>22</v>
      </c>
      <c r="F91">
        <v>54345</v>
      </c>
    </row>
    <row r="92" spans="1:6" x14ac:dyDescent="0.35">
      <c r="A92">
        <v>3538</v>
      </c>
      <c r="B92" t="s">
        <v>121</v>
      </c>
      <c r="C92" t="s">
        <v>10</v>
      </c>
      <c r="D92" t="s">
        <v>122</v>
      </c>
      <c r="E92" t="s">
        <v>22</v>
      </c>
      <c r="F92">
        <v>15670</v>
      </c>
    </row>
    <row r="93" spans="1:6" x14ac:dyDescent="0.35">
      <c r="A93">
        <v>3539</v>
      </c>
      <c r="B93" t="s">
        <v>121</v>
      </c>
      <c r="C93" t="s">
        <v>10</v>
      </c>
      <c r="D93" t="s">
        <v>123</v>
      </c>
      <c r="E93" t="s">
        <v>22</v>
      </c>
      <c r="F93">
        <v>38289</v>
      </c>
    </row>
    <row r="94" spans="1:6" x14ac:dyDescent="0.35">
      <c r="A94">
        <v>3540</v>
      </c>
      <c r="B94" t="s">
        <v>121</v>
      </c>
      <c r="C94" t="s">
        <v>10</v>
      </c>
      <c r="D94" t="s">
        <v>124</v>
      </c>
      <c r="E94" t="s">
        <v>22</v>
      </c>
      <c r="F94">
        <v>7635</v>
      </c>
    </row>
    <row r="95" spans="1:6" x14ac:dyDescent="0.35">
      <c r="A95">
        <v>3541</v>
      </c>
      <c r="B95" t="s">
        <v>121</v>
      </c>
      <c r="C95" t="s">
        <v>10</v>
      </c>
      <c r="D95" t="s">
        <v>109</v>
      </c>
      <c r="E95" t="s">
        <v>22</v>
      </c>
      <c r="F95">
        <v>26243</v>
      </c>
    </row>
    <row r="96" spans="1:6" x14ac:dyDescent="0.35">
      <c r="A96">
        <v>3542</v>
      </c>
      <c r="B96" t="s">
        <v>121</v>
      </c>
      <c r="C96" t="s">
        <v>10</v>
      </c>
      <c r="D96" t="s">
        <v>125</v>
      </c>
      <c r="E96" t="s">
        <v>22</v>
      </c>
      <c r="F96">
        <v>7320</v>
      </c>
    </row>
    <row r="97" spans="1:6" x14ac:dyDescent="0.35">
      <c r="A97">
        <v>3543</v>
      </c>
      <c r="B97" t="s">
        <v>121</v>
      </c>
      <c r="C97" t="s">
        <v>10</v>
      </c>
      <c r="D97" t="s">
        <v>126</v>
      </c>
      <c r="E97" t="s">
        <v>22</v>
      </c>
      <c r="F97">
        <v>30196</v>
      </c>
    </row>
    <row r="98" spans="1:6" x14ac:dyDescent="0.35">
      <c r="A98">
        <v>3544</v>
      </c>
      <c r="B98" t="s">
        <v>121</v>
      </c>
      <c r="C98" t="s">
        <v>16</v>
      </c>
      <c r="D98" t="s">
        <v>21</v>
      </c>
      <c r="E98" t="s">
        <v>27</v>
      </c>
      <c r="F98">
        <v>33330</v>
      </c>
    </row>
    <row r="99" spans="1:6" x14ac:dyDescent="0.35">
      <c r="A99">
        <v>3545</v>
      </c>
      <c r="B99" t="s">
        <v>121</v>
      </c>
      <c r="C99" t="s">
        <v>16</v>
      </c>
      <c r="D99" t="s">
        <v>21</v>
      </c>
      <c r="E99" t="s">
        <v>22</v>
      </c>
      <c r="F99">
        <v>80261</v>
      </c>
    </row>
    <row r="100" spans="1:6" x14ac:dyDescent="0.35">
      <c r="A100">
        <v>3546</v>
      </c>
      <c r="B100" t="s">
        <v>121</v>
      </c>
      <c r="C100" t="s">
        <v>11</v>
      </c>
      <c r="D100" t="s">
        <v>21</v>
      </c>
      <c r="E100" t="s">
        <v>27</v>
      </c>
      <c r="F100">
        <v>55378.5</v>
      </c>
    </row>
    <row r="101" spans="1:6" x14ac:dyDescent="0.35">
      <c r="A101">
        <v>3547</v>
      </c>
      <c r="B101" t="s">
        <v>121</v>
      </c>
      <c r="C101" t="s">
        <v>11</v>
      </c>
      <c r="D101" t="s">
        <v>21</v>
      </c>
      <c r="E101" t="s">
        <v>22</v>
      </c>
      <c r="F101">
        <v>40694.300000000003</v>
      </c>
    </row>
    <row r="102" spans="1:6" x14ac:dyDescent="0.35">
      <c r="A102">
        <v>3548</v>
      </c>
      <c r="B102" t="s">
        <v>121</v>
      </c>
      <c r="C102" t="s">
        <v>14</v>
      </c>
      <c r="D102" t="s">
        <v>23</v>
      </c>
      <c r="E102" t="s">
        <v>22</v>
      </c>
      <c r="F102">
        <v>3572</v>
      </c>
    </row>
    <row r="103" spans="1:6" x14ac:dyDescent="0.35">
      <c r="A103">
        <v>3549</v>
      </c>
      <c r="B103" t="s">
        <v>121</v>
      </c>
      <c r="C103" t="s">
        <v>10</v>
      </c>
      <c r="D103" t="s">
        <v>23</v>
      </c>
      <c r="E103" t="s">
        <v>27</v>
      </c>
      <c r="F103">
        <v>57534</v>
      </c>
    </row>
    <row r="104" spans="1:6" x14ac:dyDescent="0.35">
      <c r="A104">
        <v>3550</v>
      </c>
      <c r="B104" t="s">
        <v>121</v>
      </c>
      <c r="C104" t="s">
        <v>10</v>
      </c>
      <c r="D104" t="s">
        <v>26</v>
      </c>
      <c r="E104" t="s">
        <v>27</v>
      </c>
      <c r="F104">
        <v>122533</v>
      </c>
    </row>
    <row r="105" spans="1:6" x14ac:dyDescent="0.35">
      <c r="A105">
        <v>3551</v>
      </c>
      <c r="B105" t="s">
        <v>121</v>
      </c>
      <c r="C105" t="s">
        <v>10</v>
      </c>
      <c r="D105" t="s">
        <v>25</v>
      </c>
      <c r="E105" t="s">
        <v>27</v>
      </c>
      <c r="F105">
        <v>3552</v>
      </c>
    </row>
    <row r="106" spans="1:6" x14ac:dyDescent="0.35">
      <c r="A106">
        <v>3552</v>
      </c>
      <c r="B106" t="s">
        <v>121</v>
      </c>
      <c r="C106" t="s">
        <v>10</v>
      </c>
      <c r="D106" t="s">
        <v>23</v>
      </c>
      <c r="E106" t="s">
        <v>22</v>
      </c>
      <c r="F106">
        <v>70613</v>
      </c>
    </row>
    <row r="107" spans="1:6" x14ac:dyDescent="0.35">
      <c r="A107">
        <v>3553</v>
      </c>
      <c r="B107" t="s">
        <v>121</v>
      </c>
      <c r="C107" t="s">
        <v>10</v>
      </c>
      <c r="D107" t="s">
        <v>26</v>
      </c>
      <c r="E107" t="s">
        <v>22</v>
      </c>
      <c r="F107">
        <v>143730</v>
      </c>
    </row>
    <row r="108" spans="1:6" x14ac:dyDescent="0.35">
      <c r="A108">
        <v>3554</v>
      </c>
      <c r="B108" t="s">
        <v>121</v>
      </c>
      <c r="C108" t="s">
        <v>10</v>
      </c>
      <c r="D108" t="s">
        <v>25</v>
      </c>
      <c r="E108" t="s">
        <v>22</v>
      </c>
      <c r="F108">
        <v>11562</v>
      </c>
    </row>
    <row r="109" spans="1:6" x14ac:dyDescent="0.35">
      <c r="A109">
        <v>3555</v>
      </c>
      <c r="B109" t="s">
        <v>121</v>
      </c>
      <c r="C109" t="s">
        <v>15</v>
      </c>
      <c r="D109" t="s">
        <v>23</v>
      </c>
      <c r="E109" t="s">
        <v>27</v>
      </c>
      <c r="F109">
        <v>6135</v>
      </c>
    </row>
    <row r="110" spans="1:6" x14ac:dyDescent="0.35">
      <c r="A110">
        <v>3556</v>
      </c>
      <c r="B110" t="s">
        <v>121</v>
      </c>
      <c r="C110" t="s">
        <v>15</v>
      </c>
      <c r="D110" t="s">
        <v>23</v>
      </c>
      <c r="E110" t="s">
        <v>22</v>
      </c>
      <c r="F110">
        <v>7931</v>
      </c>
    </row>
    <row r="111" spans="1:6" x14ac:dyDescent="0.35">
      <c r="A111">
        <v>3557</v>
      </c>
      <c r="B111" t="s">
        <v>121</v>
      </c>
      <c r="C111" t="s">
        <v>15</v>
      </c>
      <c r="D111" t="s">
        <v>25</v>
      </c>
      <c r="E111" t="s">
        <v>27</v>
      </c>
      <c r="F111">
        <v>86412</v>
      </c>
    </row>
    <row r="112" spans="1:6" x14ac:dyDescent="0.35">
      <c r="A112">
        <v>3558</v>
      </c>
      <c r="B112" t="s">
        <v>121</v>
      </c>
      <c r="C112" t="s">
        <v>15</v>
      </c>
      <c r="D112" t="s">
        <v>25</v>
      </c>
      <c r="E112" t="s">
        <v>22</v>
      </c>
      <c r="F112">
        <v>206668</v>
      </c>
    </row>
    <row r="113" spans="1:6" x14ac:dyDescent="0.35">
      <c r="A113">
        <v>3559</v>
      </c>
      <c r="B113" t="s">
        <v>121</v>
      </c>
      <c r="C113" t="s">
        <v>9</v>
      </c>
      <c r="D113" t="s">
        <v>109</v>
      </c>
      <c r="E113" t="s">
        <v>22</v>
      </c>
      <c r="F113">
        <v>11587</v>
      </c>
    </row>
    <row r="114" spans="1:6" x14ac:dyDescent="0.35">
      <c r="A114">
        <v>3560</v>
      </c>
      <c r="B114" t="s">
        <v>121</v>
      </c>
      <c r="C114" t="s">
        <v>9</v>
      </c>
      <c r="D114" t="s">
        <v>124</v>
      </c>
      <c r="E114" t="s">
        <v>22</v>
      </c>
      <c r="F114">
        <v>15075</v>
      </c>
    </row>
    <row r="115" spans="1:6" x14ac:dyDescent="0.35">
      <c r="A115">
        <v>3561</v>
      </c>
      <c r="B115" t="s">
        <v>121</v>
      </c>
      <c r="C115" t="s">
        <v>9</v>
      </c>
      <c r="D115" t="s">
        <v>123</v>
      </c>
      <c r="E115" t="s">
        <v>22</v>
      </c>
      <c r="F115">
        <v>31130</v>
      </c>
    </row>
    <row r="116" spans="1:6" x14ac:dyDescent="0.35">
      <c r="A116">
        <v>3562</v>
      </c>
      <c r="B116" t="s">
        <v>121</v>
      </c>
      <c r="C116" t="s">
        <v>9</v>
      </c>
      <c r="D116" t="s">
        <v>120</v>
      </c>
      <c r="E116" t="s">
        <v>22</v>
      </c>
      <c r="F116">
        <v>19496</v>
      </c>
    </row>
    <row r="117" spans="1:6" x14ac:dyDescent="0.35">
      <c r="A117">
        <v>3563</v>
      </c>
      <c r="B117" t="s">
        <v>121</v>
      </c>
      <c r="C117" t="s">
        <v>9</v>
      </c>
      <c r="D117" t="s">
        <v>127</v>
      </c>
      <c r="E117" t="s">
        <v>22</v>
      </c>
      <c r="F117">
        <v>8013</v>
      </c>
    </row>
    <row r="118" spans="1:6" x14ac:dyDescent="0.35">
      <c r="A118">
        <v>3564</v>
      </c>
      <c r="B118" t="s">
        <v>121</v>
      </c>
      <c r="C118" t="s">
        <v>9</v>
      </c>
      <c r="D118" t="s">
        <v>128</v>
      </c>
      <c r="E118" t="s">
        <v>22</v>
      </c>
      <c r="F118">
        <v>7338</v>
      </c>
    </row>
    <row r="119" spans="1:6" x14ac:dyDescent="0.35">
      <c r="A119">
        <v>3565</v>
      </c>
      <c r="B119" t="s">
        <v>121</v>
      </c>
      <c r="C119" t="s">
        <v>9</v>
      </c>
      <c r="D119" t="s">
        <v>129</v>
      </c>
      <c r="E119" t="s">
        <v>22</v>
      </c>
      <c r="F119">
        <v>11290</v>
      </c>
    </row>
    <row r="120" spans="1:6" x14ac:dyDescent="0.35">
      <c r="A120">
        <v>3566</v>
      </c>
      <c r="B120" t="s">
        <v>130</v>
      </c>
      <c r="C120" t="s">
        <v>12</v>
      </c>
      <c r="D120" t="s">
        <v>23</v>
      </c>
      <c r="E120" t="s">
        <v>27</v>
      </c>
      <c r="F120">
        <v>104950</v>
      </c>
    </row>
    <row r="121" spans="1:6" x14ac:dyDescent="0.35">
      <c r="A121">
        <v>3567</v>
      </c>
      <c r="B121" t="s">
        <v>130</v>
      </c>
      <c r="C121" t="s">
        <v>13</v>
      </c>
      <c r="D121" t="s">
        <v>25</v>
      </c>
      <c r="E121" t="s">
        <v>22</v>
      </c>
      <c r="F121">
        <v>51194</v>
      </c>
    </row>
    <row r="122" spans="1:6" x14ac:dyDescent="0.35">
      <c r="A122">
        <v>3568</v>
      </c>
      <c r="B122" t="s">
        <v>130</v>
      </c>
      <c r="C122" t="s">
        <v>12</v>
      </c>
      <c r="D122" t="s">
        <v>21</v>
      </c>
      <c r="E122" t="s">
        <v>27</v>
      </c>
      <c r="F122">
        <v>0</v>
      </c>
    </row>
    <row r="123" spans="1:6" x14ac:dyDescent="0.35">
      <c r="A123">
        <v>3569</v>
      </c>
      <c r="B123" t="s">
        <v>130</v>
      </c>
      <c r="C123" t="s">
        <v>12</v>
      </c>
      <c r="D123" t="s">
        <v>23</v>
      </c>
      <c r="E123" t="s">
        <v>22</v>
      </c>
      <c r="F123">
        <v>165905</v>
      </c>
    </row>
    <row r="124" spans="1:6" x14ac:dyDescent="0.35">
      <c r="A124">
        <v>3570</v>
      </c>
      <c r="B124" t="s">
        <v>130</v>
      </c>
      <c r="C124" t="s">
        <v>12</v>
      </c>
      <c r="D124" t="s">
        <v>21</v>
      </c>
      <c r="E124" t="s">
        <v>22</v>
      </c>
      <c r="F124">
        <v>3626</v>
      </c>
    </row>
    <row r="125" spans="1:6" x14ac:dyDescent="0.35">
      <c r="A125">
        <v>3571</v>
      </c>
      <c r="B125" t="s">
        <v>130</v>
      </c>
      <c r="C125" t="s">
        <v>12</v>
      </c>
      <c r="D125" t="s">
        <v>24</v>
      </c>
      <c r="E125" t="s">
        <v>22</v>
      </c>
      <c r="F125">
        <v>105977</v>
      </c>
    </row>
    <row r="126" spans="1:6" x14ac:dyDescent="0.35">
      <c r="A126">
        <v>3572</v>
      </c>
      <c r="B126" t="s">
        <v>130</v>
      </c>
      <c r="C126" t="s">
        <v>13</v>
      </c>
      <c r="D126" t="s">
        <v>23</v>
      </c>
      <c r="E126" t="s">
        <v>27</v>
      </c>
      <c r="F126">
        <v>90752</v>
      </c>
    </row>
    <row r="127" spans="1:6" x14ac:dyDescent="0.35">
      <c r="A127">
        <v>3573</v>
      </c>
      <c r="B127" t="s">
        <v>130</v>
      </c>
      <c r="C127" t="s">
        <v>13</v>
      </c>
      <c r="D127" t="s">
        <v>23</v>
      </c>
      <c r="E127" t="s">
        <v>22</v>
      </c>
      <c r="F127">
        <v>131035</v>
      </c>
    </row>
    <row r="128" spans="1:6" x14ac:dyDescent="0.35">
      <c r="A128">
        <v>3574</v>
      </c>
      <c r="B128" t="s">
        <v>130</v>
      </c>
      <c r="C128" t="s">
        <v>13</v>
      </c>
      <c r="D128" t="s">
        <v>21</v>
      </c>
      <c r="E128" t="s">
        <v>22</v>
      </c>
      <c r="F128">
        <v>29377</v>
      </c>
    </row>
    <row r="129" spans="1:6" x14ac:dyDescent="0.35">
      <c r="A129">
        <v>3575</v>
      </c>
      <c r="B129" t="s">
        <v>130</v>
      </c>
      <c r="C129" t="s">
        <v>13</v>
      </c>
      <c r="D129" t="s">
        <v>26</v>
      </c>
      <c r="E129" t="s">
        <v>22</v>
      </c>
      <c r="F129">
        <v>15913</v>
      </c>
    </row>
    <row r="130" spans="1:6" x14ac:dyDescent="0.35">
      <c r="A130">
        <v>3576</v>
      </c>
      <c r="B130" t="s">
        <v>130</v>
      </c>
      <c r="C130" t="s">
        <v>9</v>
      </c>
      <c r="D130" t="s">
        <v>23</v>
      </c>
      <c r="E130" t="s">
        <v>27</v>
      </c>
      <c r="F130">
        <v>3785</v>
      </c>
    </row>
    <row r="131" spans="1:6" x14ac:dyDescent="0.35">
      <c r="A131">
        <v>3577</v>
      </c>
      <c r="B131" t="s">
        <v>130</v>
      </c>
      <c r="C131" t="s">
        <v>9</v>
      </c>
      <c r="D131" t="s">
        <v>21</v>
      </c>
      <c r="E131" t="s">
        <v>22</v>
      </c>
      <c r="F131">
        <v>21729</v>
      </c>
    </row>
    <row r="132" spans="1:6" x14ac:dyDescent="0.35">
      <c r="A132">
        <v>3578</v>
      </c>
      <c r="B132" t="s">
        <v>130</v>
      </c>
      <c r="C132" t="s">
        <v>16</v>
      </c>
      <c r="D132" t="s">
        <v>21</v>
      </c>
      <c r="E132" t="s">
        <v>27</v>
      </c>
      <c r="F132">
        <v>56042</v>
      </c>
    </row>
    <row r="133" spans="1:6" x14ac:dyDescent="0.35">
      <c r="A133">
        <v>3579</v>
      </c>
      <c r="B133" t="s">
        <v>130</v>
      </c>
      <c r="C133" t="s">
        <v>9</v>
      </c>
      <c r="D133" t="s">
        <v>21</v>
      </c>
      <c r="E133" t="s">
        <v>27</v>
      </c>
      <c r="F133">
        <v>46761</v>
      </c>
    </row>
    <row r="134" spans="1:6" x14ac:dyDescent="0.35">
      <c r="A134">
        <v>3580</v>
      </c>
      <c r="B134" t="s">
        <v>130</v>
      </c>
      <c r="C134" t="s">
        <v>9</v>
      </c>
      <c r="D134" t="s">
        <v>131</v>
      </c>
      <c r="E134" t="s">
        <v>22</v>
      </c>
      <c r="F134">
        <v>11902</v>
      </c>
    </row>
    <row r="135" spans="1:6" x14ac:dyDescent="0.35">
      <c r="A135">
        <v>3581</v>
      </c>
      <c r="B135" t="s">
        <v>130</v>
      </c>
      <c r="C135" t="s">
        <v>9</v>
      </c>
      <c r="D135" t="s">
        <v>124</v>
      </c>
      <c r="E135" t="s">
        <v>22</v>
      </c>
      <c r="F135">
        <v>7920</v>
      </c>
    </row>
    <row r="136" spans="1:6" x14ac:dyDescent="0.35">
      <c r="A136">
        <v>3582</v>
      </c>
      <c r="B136" t="s">
        <v>130</v>
      </c>
      <c r="C136" t="s">
        <v>9</v>
      </c>
      <c r="D136" t="s">
        <v>120</v>
      </c>
      <c r="E136" t="s">
        <v>22</v>
      </c>
      <c r="F136">
        <v>19143</v>
      </c>
    </row>
    <row r="137" spans="1:6" x14ac:dyDescent="0.35">
      <c r="A137">
        <v>3583</v>
      </c>
      <c r="B137" t="s">
        <v>130</v>
      </c>
      <c r="C137" t="s">
        <v>9</v>
      </c>
      <c r="D137" t="s">
        <v>127</v>
      </c>
      <c r="E137" t="s">
        <v>22</v>
      </c>
      <c r="F137">
        <v>35338</v>
      </c>
    </row>
    <row r="138" spans="1:6" x14ac:dyDescent="0.35">
      <c r="A138">
        <v>3585</v>
      </c>
      <c r="B138" t="s">
        <v>130</v>
      </c>
      <c r="C138" t="s">
        <v>10</v>
      </c>
      <c r="D138" t="s">
        <v>23</v>
      </c>
      <c r="E138" t="s">
        <v>22</v>
      </c>
      <c r="F138">
        <v>47951</v>
      </c>
    </row>
    <row r="139" spans="1:6" x14ac:dyDescent="0.35">
      <c r="A139">
        <v>3586</v>
      </c>
      <c r="B139" t="s">
        <v>130</v>
      </c>
      <c r="C139" t="s">
        <v>16</v>
      </c>
      <c r="D139" t="s">
        <v>21</v>
      </c>
      <c r="E139" t="s">
        <v>22</v>
      </c>
      <c r="F139">
        <v>90871</v>
      </c>
    </row>
    <row r="140" spans="1:6" x14ac:dyDescent="0.35">
      <c r="A140">
        <v>3587</v>
      </c>
      <c r="B140" t="s">
        <v>130</v>
      </c>
      <c r="C140" t="s">
        <v>11</v>
      </c>
      <c r="D140" t="s">
        <v>21</v>
      </c>
      <c r="E140" t="s">
        <v>27</v>
      </c>
      <c r="F140">
        <v>137310.6</v>
      </c>
    </row>
    <row r="141" spans="1:6" x14ac:dyDescent="0.35">
      <c r="A141">
        <v>3588</v>
      </c>
      <c r="B141" t="s">
        <v>130</v>
      </c>
      <c r="C141" t="s">
        <v>11</v>
      </c>
      <c r="D141" t="s">
        <v>21</v>
      </c>
      <c r="E141" t="s">
        <v>22</v>
      </c>
      <c r="F141">
        <v>207253.9</v>
      </c>
    </row>
    <row r="142" spans="1:6" x14ac:dyDescent="0.35">
      <c r="A142">
        <v>3590</v>
      </c>
      <c r="B142" t="s">
        <v>130</v>
      </c>
      <c r="C142" t="s">
        <v>10</v>
      </c>
      <c r="D142" t="s">
        <v>23</v>
      </c>
      <c r="E142" t="s">
        <v>27</v>
      </c>
      <c r="F142">
        <v>42939</v>
      </c>
    </row>
    <row r="143" spans="1:6" x14ac:dyDescent="0.35">
      <c r="A143">
        <v>3591</v>
      </c>
      <c r="B143" t="s">
        <v>130</v>
      </c>
      <c r="C143" t="s">
        <v>10</v>
      </c>
      <c r="D143" t="s">
        <v>26</v>
      </c>
      <c r="E143" t="s">
        <v>27</v>
      </c>
      <c r="F143">
        <v>148430</v>
      </c>
    </row>
    <row r="144" spans="1:6" x14ac:dyDescent="0.35">
      <c r="A144">
        <v>3592</v>
      </c>
      <c r="B144" t="s">
        <v>130</v>
      </c>
      <c r="C144" t="s">
        <v>10</v>
      </c>
      <c r="D144" t="s">
        <v>25</v>
      </c>
      <c r="E144" t="s">
        <v>27</v>
      </c>
      <c r="F144">
        <v>34166</v>
      </c>
    </row>
    <row r="145" spans="1:6" x14ac:dyDescent="0.35">
      <c r="A145">
        <v>3593</v>
      </c>
      <c r="B145" t="s">
        <v>130</v>
      </c>
      <c r="C145" t="s">
        <v>10</v>
      </c>
      <c r="D145" t="s">
        <v>21</v>
      </c>
      <c r="E145" t="s">
        <v>27</v>
      </c>
      <c r="F145">
        <v>6777</v>
      </c>
    </row>
    <row r="146" spans="1:6" x14ac:dyDescent="0.35">
      <c r="A146">
        <v>3594</v>
      </c>
      <c r="B146" t="s">
        <v>130</v>
      </c>
      <c r="C146" t="s">
        <v>10</v>
      </c>
      <c r="D146" t="s">
        <v>26</v>
      </c>
      <c r="E146" t="s">
        <v>22</v>
      </c>
      <c r="F146">
        <v>168284</v>
      </c>
    </row>
    <row r="147" spans="1:6" x14ac:dyDescent="0.35">
      <c r="A147">
        <v>3595</v>
      </c>
      <c r="B147" t="s">
        <v>130</v>
      </c>
      <c r="C147" t="s">
        <v>10</v>
      </c>
      <c r="D147" t="s">
        <v>25</v>
      </c>
      <c r="E147" t="s">
        <v>22</v>
      </c>
      <c r="F147">
        <v>46106</v>
      </c>
    </row>
    <row r="148" spans="1:6" x14ac:dyDescent="0.35">
      <c r="A148">
        <v>3596</v>
      </c>
      <c r="B148" t="s">
        <v>130</v>
      </c>
      <c r="C148" t="s">
        <v>15</v>
      </c>
      <c r="D148" t="s">
        <v>23</v>
      </c>
      <c r="E148" t="s">
        <v>27</v>
      </c>
      <c r="F148">
        <v>4523</v>
      </c>
    </row>
    <row r="149" spans="1:6" x14ac:dyDescent="0.35">
      <c r="A149">
        <v>3597</v>
      </c>
      <c r="B149" t="s">
        <v>130</v>
      </c>
      <c r="C149" t="s">
        <v>15</v>
      </c>
      <c r="D149" t="s">
        <v>23</v>
      </c>
      <c r="E149" t="s">
        <v>22</v>
      </c>
      <c r="F149">
        <v>6500</v>
      </c>
    </row>
    <row r="150" spans="1:6" x14ac:dyDescent="0.35">
      <c r="A150">
        <v>3598</v>
      </c>
      <c r="B150" t="s">
        <v>130</v>
      </c>
      <c r="C150" t="s">
        <v>15</v>
      </c>
      <c r="D150" t="s">
        <v>25</v>
      </c>
      <c r="E150" t="s">
        <v>27</v>
      </c>
      <c r="F150">
        <v>75896</v>
      </c>
    </row>
    <row r="151" spans="1:6" x14ac:dyDescent="0.35">
      <c r="A151">
        <v>3599</v>
      </c>
      <c r="B151" t="s">
        <v>130</v>
      </c>
      <c r="C151" t="s">
        <v>15</v>
      </c>
      <c r="D151" t="s">
        <v>25</v>
      </c>
      <c r="E151" t="s">
        <v>22</v>
      </c>
      <c r="F151">
        <v>225389</v>
      </c>
    </row>
    <row r="152" spans="1:6" x14ac:dyDescent="0.35">
      <c r="A152">
        <v>3600</v>
      </c>
      <c r="B152" t="s">
        <v>130</v>
      </c>
      <c r="C152" t="s">
        <v>10</v>
      </c>
      <c r="D152" t="s">
        <v>109</v>
      </c>
      <c r="E152" t="s">
        <v>22</v>
      </c>
      <c r="F152">
        <v>22714</v>
      </c>
    </row>
    <row r="153" spans="1:6" x14ac:dyDescent="0.35">
      <c r="A153">
        <v>3601</v>
      </c>
      <c r="B153" t="s">
        <v>130</v>
      </c>
      <c r="C153" t="s">
        <v>10</v>
      </c>
      <c r="D153" t="s">
        <v>122</v>
      </c>
      <c r="E153" t="s">
        <v>22</v>
      </c>
      <c r="F153">
        <v>23462</v>
      </c>
    </row>
    <row r="154" spans="1:6" x14ac:dyDescent="0.35">
      <c r="A154">
        <v>3602</v>
      </c>
      <c r="B154" t="s">
        <v>130</v>
      </c>
      <c r="C154" t="s">
        <v>10</v>
      </c>
      <c r="D154" t="s">
        <v>123</v>
      </c>
      <c r="E154" t="s">
        <v>22</v>
      </c>
      <c r="F154">
        <v>30867</v>
      </c>
    </row>
    <row r="155" spans="1:6" x14ac:dyDescent="0.35">
      <c r="A155">
        <v>3604</v>
      </c>
      <c r="B155" t="s">
        <v>130</v>
      </c>
      <c r="C155" t="s">
        <v>10</v>
      </c>
      <c r="D155" t="s">
        <v>127</v>
      </c>
      <c r="E155" t="s">
        <v>22</v>
      </c>
      <c r="F155">
        <v>44798</v>
      </c>
    </row>
    <row r="156" spans="1:6" x14ac:dyDescent="0.35">
      <c r="A156">
        <v>3606</v>
      </c>
      <c r="B156" t="s">
        <v>130</v>
      </c>
      <c r="C156" t="s">
        <v>10</v>
      </c>
      <c r="D156" t="s">
        <v>125</v>
      </c>
      <c r="E156" t="s">
        <v>22</v>
      </c>
      <c r="F156">
        <v>26548</v>
      </c>
    </row>
    <row r="157" spans="1:6" x14ac:dyDescent="0.35">
      <c r="A157">
        <v>3607</v>
      </c>
      <c r="B157" t="s">
        <v>121</v>
      </c>
      <c r="C157" t="s">
        <v>13</v>
      </c>
      <c r="D157" t="s">
        <v>21</v>
      </c>
      <c r="E157" t="s">
        <v>27</v>
      </c>
      <c r="F157">
        <v>7803</v>
      </c>
    </row>
    <row r="158" spans="1:6" x14ac:dyDescent="0.35">
      <c r="A158">
        <v>3815</v>
      </c>
      <c r="B158" t="s">
        <v>132</v>
      </c>
      <c r="C158" t="s">
        <v>12</v>
      </c>
      <c r="D158" t="s">
        <v>23</v>
      </c>
      <c r="E158" t="s">
        <v>27</v>
      </c>
      <c r="F158">
        <v>58442</v>
      </c>
    </row>
    <row r="159" spans="1:6" x14ac:dyDescent="0.35">
      <c r="A159">
        <v>3816</v>
      </c>
      <c r="B159" t="s">
        <v>132</v>
      </c>
      <c r="C159" t="s">
        <v>12</v>
      </c>
      <c r="D159" t="s">
        <v>23</v>
      </c>
      <c r="E159" t="s">
        <v>22</v>
      </c>
      <c r="F159">
        <v>134743</v>
      </c>
    </row>
    <row r="160" spans="1:6" x14ac:dyDescent="0.35">
      <c r="A160">
        <v>3817</v>
      </c>
      <c r="B160" t="s">
        <v>132</v>
      </c>
      <c r="C160" t="s">
        <v>12</v>
      </c>
      <c r="D160" t="s">
        <v>21</v>
      </c>
      <c r="E160" t="s">
        <v>27</v>
      </c>
      <c r="F160">
        <v>39212</v>
      </c>
    </row>
    <row r="161" spans="1:6" x14ac:dyDescent="0.35">
      <c r="A161">
        <v>3818</v>
      </c>
      <c r="B161" t="s">
        <v>132</v>
      </c>
      <c r="C161" t="s">
        <v>12</v>
      </c>
      <c r="D161" t="s">
        <v>21</v>
      </c>
      <c r="E161" t="s">
        <v>22</v>
      </c>
      <c r="F161">
        <v>29887</v>
      </c>
    </row>
    <row r="162" spans="1:6" x14ac:dyDescent="0.35">
      <c r="A162">
        <v>3819</v>
      </c>
      <c r="B162" t="s">
        <v>132</v>
      </c>
      <c r="C162" t="s">
        <v>12</v>
      </c>
      <c r="D162" t="s">
        <v>24</v>
      </c>
      <c r="E162" t="s">
        <v>22</v>
      </c>
      <c r="F162">
        <v>90346</v>
      </c>
    </row>
    <row r="163" spans="1:6" x14ac:dyDescent="0.35">
      <c r="A163">
        <v>3820</v>
      </c>
      <c r="B163" t="s">
        <v>132</v>
      </c>
      <c r="C163" t="s">
        <v>13</v>
      </c>
      <c r="D163" t="s">
        <v>23</v>
      </c>
      <c r="E163" t="s">
        <v>27</v>
      </c>
      <c r="F163">
        <v>60436</v>
      </c>
    </row>
    <row r="164" spans="1:6" x14ac:dyDescent="0.35">
      <c r="A164">
        <v>3821</v>
      </c>
      <c r="B164" t="s">
        <v>132</v>
      </c>
      <c r="C164" t="s">
        <v>13</v>
      </c>
      <c r="D164" t="s">
        <v>23</v>
      </c>
      <c r="E164" t="s">
        <v>22</v>
      </c>
      <c r="F164">
        <v>89032</v>
      </c>
    </row>
    <row r="165" spans="1:6" x14ac:dyDescent="0.35">
      <c r="A165">
        <v>3822</v>
      </c>
      <c r="B165" t="s">
        <v>132</v>
      </c>
      <c r="C165" t="s">
        <v>13</v>
      </c>
      <c r="D165" t="s">
        <v>21</v>
      </c>
      <c r="E165" t="s">
        <v>27</v>
      </c>
      <c r="F165">
        <v>32467</v>
      </c>
    </row>
    <row r="166" spans="1:6" x14ac:dyDescent="0.35">
      <c r="A166">
        <v>3823</v>
      </c>
      <c r="B166" t="s">
        <v>132</v>
      </c>
      <c r="C166" t="s">
        <v>13</v>
      </c>
      <c r="D166" t="s">
        <v>21</v>
      </c>
      <c r="E166" t="s">
        <v>22</v>
      </c>
      <c r="F166">
        <v>21417</v>
      </c>
    </row>
    <row r="167" spans="1:6" x14ac:dyDescent="0.35">
      <c r="A167">
        <v>3824</v>
      </c>
      <c r="B167" t="s">
        <v>132</v>
      </c>
      <c r="C167" t="s">
        <v>13</v>
      </c>
      <c r="D167" t="s">
        <v>26</v>
      </c>
      <c r="E167" t="s">
        <v>22</v>
      </c>
      <c r="F167">
        <v>35929</v>
      </c>
    </row>
    <row r="168" spans="1:6" x14ac:dyDescent="0.35">
      <c r="A168">
        <v>3825</v>
      </c>
      <c r="B168" t="s">
        <v>132</v>
      </c>
      <c r="C168" t="s">
        <v>13</v>
      </c>
      <c r="D168" t="s">
        <v>25</v>
      </c>
      <c r="E168" t="s">
        <v>22</v>
      </c>
      <c r="F168">
        <v>81116</v>
      </c>
    </row>
    <row r="169" spans="1:6" x14ac:dyDescent="0.35">
      <c r="A169">
        <v>3826</v>
      </c>
      <c r="B169" t="s">
        <v>132</v>
      </c>
      <c r="C169" t="s">
        <v>10</v>
      </c>
      <c r="D169" t="s">
        <v>23</v>
      </c>
      <c r="E169" t="s">
        <v>27</v>
      </c>
      <c r="F169">
        <v>106272</v>
      </c>
    </row>
    <row r="170" spans="1:6" x14ac:dyDescent="0.35">
      <c r="A170">
        <v>3827</v>
      </c>
      <c r="B170" t="s">
        <v>132</v>
      </c>
      <c r="C170" t="s">
        <v>10</v>
      </c>
      <c r="D170" t="s">
        <v>26</v>
      </c>
      <c r="E170" t="s">
        <v>27</v>
      </c>
      <c r="F170">
        <v>158547</v>
      </c>
    </row>
    <row r="171" spans="1:6" x14ac:dyDescent="0.35">
      <c r="A171">
        <v>3828</v>
      </c>
      <c r="B171" t="s">
        <v>132</v>
      </c>
      <c r="C171" t="s">
        <v>10</v>
      </c>
      <c r="D171" t="s">
        <v>25</v>
      </c>
      <c r="E171" t="s">
        <v>27</v>
      </c>
      <c r="F171">
        <v>37824</v>
      </c>
    </row>
    <row r="172" spans="1:6" x14ac:dyDescent="0.35">
      <c r="A172">
        <v>3829</v>
      </c>
      <c r="B172" t="s">
        <v>132</v>
      </c>
      <c r="C172" t="s">
        <v>10</v>
      </c>
      <c r="D172" t="s">
        <v>23</v>
      </c>
      <c r="E172" t="s">
        <v>22</v>
      </c>
      <c r="F172">
        <v>83934</v>
      </c>
    </row>
    <row r="173" spans="1:6" x14ac:dyDescent="0.35">
      <c r="A173">
        <v>3830</v>
      </c>
      <c r="B173" t="s">
        <v>132</v>
      </c>
      <c r="C173" t="s">
        <v>10</v>
      </c>
      <c r="D173" t="s">
        <v>26</v>
      </c>
      <c r="E173" t="s">
        <v>22</v>
      </c>
      <c r="F173">
        <v>157836</v>
      </c>
    </row>
    <row r="174" spans="1:6" x14ac:dyDescent="0.35">
      <c r="A174">
        <v>3831</v>
      </c>
      <c r="B174" t="s">
        <v>132</v>
      </c>
      <c r="C174" t="s">
        <v>10</v>
      </c>
      <c r="D174" t="s">
        <v>25</v>
      </c>
      <c r="E174" t="s">
        <v>22</v>
      </c>
      <c r="F174">
        <v>21934</v>
      </c>
    </row>
    <row r="175" spans="1:6" x14ac:dyDescent="0.35">
      <c r="A175">
        <v>3832</v>
      </c>
      <c r="B175" t="s">
        <v>132</v>
      </c>
      <c r="C175" t="s">
        <v>9</v>
      </c>
      <c r="D175" t="s">
        <v>23</v>
      </c>
      <c r="E175" t="s">
        <v>27</v>
      </c>
      <c r="F175">
        <v>3493</v>
      </c>
    </row>
    <row r="176" spans="1:6" x14ac:dyDescent="0.35">
      <c r="A176">
        <v>3833</v>
      </c>
      <c r="B176" t="s">
        <v>132</v>
      </c>
      <c r="C176" t="s">
        <v>9</v>
      </c>
      <c r="D176" t="s">
        <v>21</v>
      </c>
      <c r="E176" t="s">
        <v>27</v>
      </c>
      <c r="F176">
        <v>42735</v>
      </c>
    </row>
    <row r="177" spans="1:6" x14ac:dyDescent="0.35">
      <c r="A177">
        <v>3834</v>
      </c>
      <c r="B177" t="s">
        <v>132</v>
      </c>
      <c r="C177" t="s">
        <v>9</v>
      </c>
      <c r="D177" t="s">
        <v>23</v>
      </c>
      <c r="E177" t="s">
        <v>22</v>
      </c>
      <c r="F177">
        <v>15909</v>
      </c>
    </row>
    <row r="178" spans="1:6" x14ac:dyDescent="0.35">
      <c r="A178">
        <v>3835</v>
      </c>
      <c r="B178" t="s">
        <v>132</v>
      </c>
      <c r="C178" t="s">
        <v>9</v>
      </c>
      <c r="D178" t="s">
        <v>21</v>
      </c>
      <c r="E178" t="s">
        <v>22</v>
      </c>
      <c r="F178">
        <v>101302</v>
      </c>
    </row>
    <row r="179" spans="1:6" x14ac:dyDescent="0.35">
      <c r="A179">
        <v>3836</v>
      </c>
      <c r="B179" t="s">
        <v>132</v>
      </c>
      <c r="C179" t="s">
        <v>9</v>
      </c>
      <c r="D179" t="s">
        <v>24</v>
      </c>
      <c r="E179" t="s">
        <v>22</v>
      </c>
      <c r="F179">
        <v>7758</v>
      </c>
    </row>
    <row r="180" spans="1:6" x14ac:dyDescent="0.35">
      <c r="A180">
        <v>3837</v>
      </c>
      <c r="B180" t="s">
        <v>132</v>
      </c>
      <c r="C180" t="s">
        <v>16</v>
      </c>
      <c r="D180" t="s">
        <v>21</v>
      </c>
      <c r="E180" t="s">
        <v>27</v>
      </c>
      <c r="F180">
        <v>29374</v>
      </c>
    </row>
    <row r="181" spans="1:6" x14ac:dyDescent="0.35">
      <c r="A181">
        <v>3838</v>
      </c>
      <c r="B181" t="s">
        <v>132</v>
      </c>
      <c r="C181" t="s">
        <v>16</v>
      </c>
      <c r="D181" t="s">
        <v>21</v>
      </c>
      <c r="E181" t="s">
        <v>22</v>
      </c>
      <c r="F181">
        <v>103429</v>
      </c>
    </row>
    <row r="182" spans="1:6" x14ac:dyDescent="0.35">
      <c r="A182">
        <v>3839</v>
      </c>
      <c r="B182" t="s">
        <v>132</v>
      </c>
      <c r="C182" t="s">
        <v>11</v>
      </c>
      <c r="D182" t="s">
        <v>21</v>
      </c>
      <c r="E182" t="s">
        <v>27</v>
      </c>
      <c r="F182">
        <v>95691.4</v>
      </c>
    </row>
    <row r="183" spans="1:6" x14ac:dyDescent="0.35">
      <c r="A183">
        <v>3840</v>
      </c>
      <c r="B183" t="s">
        <v>132</v>
      </c>
      <c r="C183" t="s">
        <v>11</v>
      </c>
      <c r="D183" t="s">
        <v>21</v>
      </c>
      <c r="E183" t="s">
        <v>22</v>
      </c>
      <c r="F183">
        <v>181008.9</v>
      </c>
    </row>
    <row r="184" spans="1:6" x14ac:dyDescent="0.35">
      <c r="A184">
        <v>3841</v>
      </c>
      <c r="B184" t="s">
        <v>132</v>
      </c>
      <c r="C184" t="s">
        <v>15</v>
      </c>
      <c r="D184" t="s">
        <v>23</v>
      </c>
      <c r="E184" t="s">
        <v>27</v>
      </c>
      <c r="F184">
        <v>19207</v>
      </c>
    </row>
    <row r="185" spans="1:6" x14ac:dyDescent="0.35">
      <c r="A185">
        <v>3842</v>
      </c>
      <c r="B185" t="s">
        <v>132</v>
      </c>
      <c r="C185" t="s">
        <v>15</v>
      </c>
      <c r="D185" t="s">
        <v>23</v>
      </c>
      <c r="E185" t="s">
        <v>22</v>
      </c>
      <c r="F185">
        <v>16766</v>
      </c>
    </row>
    <row r="186" spans="1:6" x14ac:dyDescent="0.35">
      <c r="A186">
        <v>3843</v>
      </c>
      <c r="B186" t="s">
        <v>132</v>
      </c>
      <c r="C186" t="s">
        <v>15</v>
      </c>
      <c r="D186" t="s">
        <v>26</v>
      </c>
      <c r="E186" t="s">
        <v>27</v>
      </c>
      <c r="F186">
        <v>1766</v>
      </c>
    </row>
    <row r="187" spans="1:6" x14ac:dyDescent="0.35">
      <c r="A187">
        <v>3844</v>
      </c>
      <c r="B187" t="s">
        <v>132</v>
      </c>
      <c r="C187" t="s">
        <v>15</v>
      </c>
      <c r="D187" t="s">
        <v>26</v>
      </c>
      <c r="E187" t="s">
        <v>22</v>
      </c>
      <c r="F187">
        <v>2446</v>
      </c>
    </row>
    <row r="188" spans="1:6" x14ac:dyDescent="0.35">
      <c r="A188">
        <v>3845</v>
      </c>
      <c r="B188" t="s">
        <v>132</v>
      </c>
      <c r="C188" t="s">
        <v>15</v>
      </c>
      <c r="D188" t="s">
        <v>25</v>
      </c>
      <c r="E188" t="s">
        <v>27</v>
      </c>
      <c r="F188">
        <v>73792</v>
      </c>
    </row>
    <row r="189" spans="1:6" x14ac:dyDescent="0.35">
      <c r="A189">
        <v>3846</v>
      </c>
      <c r="B189" t="s">
        <v>132</v>
      </c>
      <c r="C189" t="s">
        <v>15</v>
      </c>
      <c r="D189" t="s">
        <v>25</v>
      </c>
      <c r="E189" t="s">
        <v>22</v>
      </c>
      <c r="F189">
        <v>220622</v>
      </c>
    </row>
    <row r="190" spans="1:6" x14ac:dyDescent="0.35">
      <c r="A190">
        <v>3847</v>
      </c>
      <c r="B190" t="s">
        <v>132</v>
      </c>
      <c r="C190" t="s">
        <v>9</v>
      </c>
      <c r="D190" t="s">
        <v>131</v>
      </c>
      <c r="E190" t="s">
        <v>22</v>
      </c>
      <c r="F190">
        <v>4044</v>
      </c>
    </row>
    <row r="191" spans="1:6" x14ac:dyDescent="0.35">
      <c r="A191">
        <v>3848</v>
      </c>
      <c r="B191" t="s">
        <v>132</v>
      </c>
      <c r="C191" t="s">
        <v>9</v>
      </c>
      <c r="D191" t="s">
        <v>124</v>
      </c>
      <c r="E191" t="s">
        <v>22</v>
      </c>
      <c r="F191">
        <v>12581</v>
      </c>
    </row>
    <row r="192" spans="1:6" x14ac:dyDescent="0.35">
      <c r="A192">
        <v>3849</v>
      </c>
      <c r="B192" t="s">
        <v>132</v>
      </c>
      <c r="C192" t="s">
        <v>9</v>
      </c>
      <c r="D192" t="s">
        <v>108</v>
      </c>
      <c r="E192" t="s">
        <v>22</v>
      </c>
      <c r="F192">
        <v>7398</v>
      </c>
    </row>
    <row r="193" spans="1:6" x14ac:dyDescent="0.35">
      <c r="A193">
        <v>3850</v>
      </c>
      <c r="B193" t="s">
        <v>132</v>
      </c>
      <c r="C193" t="s">
        <v>9</v>
      </c>
      <c r="D193" t="s">
        <v>120</v>
      </c>
      <c r="E193" t="s">
        <v>22</v>
      </c>
      <c r="F193">
        <v>15831</v>
      </c>
    </row>
    <row r="194" spans="1:6" x14ac:dyDescent="0.35">
      <c r="A194">
        <v>3852</v>
      </c>
      <c r="B194" t="s">
        <v>132</v>
      </c>
      <c r="C194" t="s">
        <v>10</v>
      </c>
      <c r="D194" t="s">
        <v>124</v>
      </c>
      <c r="E194" t="s">
        <v>22</v>
      </c>
      <c r="F194">
        <v>7360</v>
      </c>
    </row>
    <row r="195" spans="1:6" x14ac:dyDescent="0.35">
      <c r="A195">
        <v>3853</v>
      </c>
      <c r="B195" t="s">
        <v>132</v>
      </c>
      <c r="C195" t="s">
        <v>10</v>
      </c>
      <c r="D195" t="s">
        <v>109</v>
      </c>
      <c r="E195" t="s">
        <v>22</v>
      </c>
      <c r="F195">
        <v>3647</v>
      </c>
    </row>
    <row r="196" spans="1:6" x14ac:dyDescent="0.35">
      <c r="A196">
        <v>3854</v>
      </c>
      <c r="B196" t="s">
        <v>132</v>
      </c>
      <c r="C196" t="s">
        <v>10</v>
      </c>
      <c r="D196" t="s">
        <v>127</v>
      </c>
      <c r="E196" t="s">
        <v>22</v>
      </c>
      <c r="F196">
        <v>16309</v>
      </c>
    </row>
    <row r="197" spans="1:6" x14ac:dyDescent="0.35">
      <c r="A197">
        <v>3855</v>
      </c>
      <c r="B197" t="s">
        <v>132</v>
      </c>
      <c r="C197" t="s">
        <v>10</v>
      </c>
      <c r="D197" t="s">
        <v>133</v>
      </c>
      <c r="E197" t="s">
        <v>22</v>
      </c>
      <c r="F197">
        <v>7301</v>
      </c>
    </row>
    <row r="198" spans="1:6" x14ac:dyDescent="0.35">
      <c r="A198">
        <v>3859</v>
      </c>
      <c r="B198" t="s">
        <v>132</v>
      </c>
      <c r="C198" t="s">
        <v>17</v>
      </c>
      <c r="D198" t="s">
        <v>23</v>
      </c>
      <c r="E198" t="s">
        <v>101</v>
      </c>
      <c r="F198">
        <v>52082</v>
      </c>
    </row>
    <row r="199" spans="1:6" x14ac:dyDescent="0.35">
      <c r="A199">
        <v>3860</v>
      </c>
      <c r="B199" t="s">
        <v>132</v>
      </c>
      <c r="C199" t="s">
        <v>17</v>
      </c>
      <c r="D199" t="s">
        <v>24</v>
      </c>
      <c r="E199" t="s">
        <v>101</v>
      </c>
      <c r="F199">
        <v>28527</v>
      </c>
    </row>
    <row r="200" spans="1:6" x14ac:dyDescent="0.35">
      <c r="A200">
        <v>3861</v>
      </c>
      <c r="B200" t="s">
        <v>130</v>
      </c>
      <c r="C200" t="s">
        <v>17</v>
      </c>
      <c r="D200" t="s">
        <v>23</v>
      </c>
      <c r="E200" t="s">
        <v>101</v>
      </c>
      <c r="F200">
        <v>52774</v>
      </c>
    </row>
    <row r="201" spans="1:6" x14ac:dyDescent="0.35">
      <c r="A201">
        <v>3862</v>
      </c>
      <c r="B201" t="s">
        <v>130</v>
      </c>
      <c r="C201" t="s">
        <v>17</v>
      </c>
      <c r="D201" t="s">
        <v>24</v>
      </c>
      <c r="E201" t="s">
        <v>101</v>
      </c>
      <c r="F201">
        <v>40130</v>
      </c>
    </row>
    <row r="202" spans="1:6" x14ac:dyDescent="0.35">
      <c r="A202">
        <v>3863</v>
      </c>
      <c r="B202" t="s">
        <v>130</v>
      </c>
      <c r="C202" t="s">
        <v>17</v>
      </c>
      <c r="D202" t="s">
        <v>21</v>
      </c>
      <c r="E202" t="s">
        <v>101</v>
      </c>
      <c r="F202">
        <v>12219</v>
      </c>
    </row>
    <row r="203" spans="1:6" x14ac:dyDescent="0.35">
      <c r="A203">
        <v>3864</v>
      </c>
      <c r="B203" t="s">
        <v>121</v>
      </c>
      <c r="C203" t="s">
        <v>17</v>
      </c>
      <c r="D203" t="s">
        <v>23</v>
      </c>
      <c r="E203" t="s">
        <v>101</v>
      </c>
      <c r="F203">
        <v>32456</v>
      </c>
    </row>
    <row r="204" spans="1:6" x14ac:dyDescent="0.35">
      <c r="A204">
        <v>3865</v>
      </c>
      <c r="B204" t="s">
        <v>121</v>
      </c>
      <c r="C204" t="s">
        <v>17</v>
      </c>
      <c r="D204" t="s">
        <v>26</v>
      </c>
      <c r="E204" t="s">
        <v>101</v>
      </c>
      <c r="F204">
        <v>4079</v>
      </c>
    </row>
    <row r="205" spans="1:6" x14ac:dyDescent="0.35">
      <c r="A205">
        <v>3866</v>
      </c>
      <c r="B205" t="s">
        <v>121</v>
      </c>
      <c r="C205" t="s">
        <v>17</v>
      </c>
      <c r="D205" t="s">
        <v>21</v>
      </c>
      <c r="E205" t="s">
        <v>101</v>
      </c>
      <c r="F205">
        <v>8223</v>
      </c>
    </row>
    <row r="206" spans="1:6" x14ac:dyDescent="0.35">
      <c r="A206">
        <v>3867</v>
      </c>
      <c r="B206" t="s">
        <v>121</v>
      </c>
      <c r="C206" t="s">
        <v>17</v>
      </c>
      <c r="D206" t="s">
        <v>24</v>
      </c>
      <c r="E206" t="s">
        <v>101</v>
      </c>
      <c r="F206">
        <v>8097</v>
      </c>
    </row>
    <row r="207" spans="1:6" x14ac:dyDescent="0.35">
      <c r="A207">
        <v>3868</v>
      </c>
      <c r="B207" t="s">
        <v>119</v>
      </c>
      <c r="C207" t="s">
        <v>17</v>
      </c>
      <c r="D207" t="s">
        <v>23</v>
      </c>
      <c r="E207" t="s">
        <v>101</v>
      </c>
      <c r="F207">
        <v>36357</v>
      </c>
    </row>
    <row r="208" spans="1:6" x14ac:dyDescent="0.35">
      <c r="A208">
        <v>3869</v>
      </c>
      <c r="B208" t="s">
        <v>119</v>
      </c>
      <c r="C208" t="s">
        <v>17</v>
      </c>
      <c r="D208" t="s">
        <v>21</v>
      </c>
      <c r="E208" t="s">
        <v>101</v>
      </c>
      <c r="F208">
        <v>16417</v>
      </c>
    </row>
    <row r="209" spans="1:6" x14ac:dyDescent="0.35">
      <c r="A209">
        <v>3870</v>
      </c>
      <c r="B209" t="s">
        <v>119</v>
      </c>
      <c r="C209" t="s">
        <v>17</v>
      </c>
      <c r="D209" t="s">
        <v>24</v>
      </c>
      <c r="E209" t="s">
        <v>101</v>
      </c>
      <c r="F209">
        <v>12238</v>
      </c>
    </row>
    <row r="210" spans="1:6" x14ac:dyDescent="0.35">
      <c r="A210">
        <v>3871</v>
      </c>
      <c r="B210" t="s">
        <v>118</v>
      </c>
      <c r="C210" t="s">
        <v>17</v>
      </c>
      <c r="D210" t="s">
        <v>23</v>
      </c>
      <c r="E210" t="s">
        <v>101</v>
      </c>
      <c r="F210">
        <v>44383</v>
      </c>
    </row>
    <row r="211" spans="1:6" x14ac:dyDescent="0.35">
      <c r="A211">
        <v>3872</v>
      </c>
      <c r="B211" t="s">
        <v>118</v>
      </c>
      <c r="C211" t="s">
        <v>17</v>
      </c>
      <c r="D211" t="s">
        <v>26</v>
      </c>
      <c r="E211" t="s">
        <v>101</v>
      </c>
      <c r="F211">
        <v>4069</v>
      </c>
    </row>
    <row r="212" spans="1:6" x14ac:dyDescent="0.35">
      <c r="A212">
        <v>3873</v>
      </c>
      <c r="B212" t="s">
        <v>118</v>
      </c>
      <c r="C212" t="s">
        <v>17</v>
      </c>
      <c r="D212" t="s">
        <v>21</v>
      </c>
      <c r="E212" t="s">
        <v>101</v>
      </c>
      <c r="F212">
        <v>16108</v>
      </c>
    </row>
    <row r="213" spans="1:6" x14ac:dyDescent="0.35">
      <c r="A213">
        <v>3874</v>
      </c>
      <c r="B213" t="s">
        <v>118</v>
      </c>
      <c r="C213" t="s">
        <v>17</v>
      </c>
      <c r="D213" t="s">
        <v>24</v>
      </c>
      <c r="E213" t="s">
        <v>101</v>
      </c>
      <c r="F213">
        <v>20272</v>
      </c>
    </row>
    <row r="214" spans="1:6" x14ac:dyDescent="0.35">
      <c r="A214">
        <v>3913</v>
      </c>
      <c r="B214" t="s">
        <v>121</v>
      </c>
      <c r="C214" t="s">
        <v>24</v>
      </c>
      <c r="D214" t="s">
        <v>23</v>
      </c>
      <c r="E214" t="s">
        <v>27</v>
      </c>
      <c r="F214">
        <v>7642</v>
      </c>
    </row>
    <row r="215" spans="1:6" x14ac:dyDescent="0.35">
      <c r="A215">
        <v>3914</v>
      </c>
      <c r="B215" t="s">
        <v>121</v>
      </c>
      <c r="C215" t="s">
        <v>24</v>
      </c>
      <c r="D215" t="s">
        <v>21</v>
      </c>
      <c r="E215" t="s">
        <v>27</v>
      </c>
      <c r="F215">
        <v>6512</v>
      </c>
    </row>
    <row r="216" spans="1:6" x14ac:dyDescent="0.35">
      <c r="A216">
        <v>4074</v>
      </c>
      <c r="B216" t="s">
        <v>184</v>
      </c>
      <c r="C216" t="s">
        <v>12</v>
      </c>
      <c r="D216" t="s">
        <v>23</v>
      </c>
      <c r="E216" t="s">
        <v>27</v>
      </c>
      <c r="F216">
        <v>58533</v>
      </c>
    </row>
    <row r="217" spans="1:6" x14ac:dyDescent="0.35">
      <c r="A217">
        <v>4075</v>
      </c>
      <c r="B217" t="s">
        <v>184</v>
      </c>
      <c r="C217" t="s">
        <v>12</v>
      </c>
      <c r="D217" t="s">
        <v>21</v>
      </c>
      <c r="E217" t="s">
        <v>27</v>
      </c>
      <c r="F217">
        <v>37393</v>
      </c>
    </row>
    <row r="218" spans="1:6" x14ac:dyDescent="0.35">
      <c r="A218">
        <v>4076</v>
      </c>
      <c r="B218" t="s">
        <v>184</v>
      </c>
      <c r="C218" t="s">
        <v>12</v>
      </c>
      <c r="D218" t="s">
        <v>23</v>
      </c>
      <c r="E218" t="s">
        <v>22</v>
      </c>
      <c r="F218">
        <v>101502</v>
      </c>
    </row>
    <row r="219" spans="1:6" x14ac:dyDescent="0.35">
      <c r="A219">
        <v>4077</v>
      </c>
      <c r="B219" t="s">
        <v>184</v>
      </c>
      <c r="C219" t="s">
        <v>12</v>
      </c>
      <c r="D219" t="s">
        <v>21</v>
      </c>
      <c r="E219" t="s">
        <v>22</v>
      </c>
      <c r="F219">
        <v>33473</v>
      </c>
    </row>
    <row r="220" spans="1:6" x14ac:dyDescent="0.35">
      <c r="A220">
        <v>4078</v>
      </c>
      <c r="B220" t="s">
        <v>184</v>
      </c>
      <c r="C220" t="s">
        <v>12</v>
      </c>
      <c r="D220" t="s">
        <v>24</v>
      </c>
      <c r="E220" t="s">
        <v>22</v>
      </c>
      <c r="F220">
        <v>98047</v>
      </c>
    </row>
    <row r="221" spans="1:6" x14ac:dyDescent="0.35">
      <c r="A221">
        <v>4079</v>
      </c>
      <c r="B221" t="s">
        <v>184</v>
      </c>
      <c r="C221" t="s">
        <v>13</v>
      </c>
      <c r="D221" t="s">
        <v>23</v>
      </c>
      <c r="E221" t="s">
        <v>27</v>
      </c>
      <c r="F221">
        <v>92819</v>
      </c>
    </row>
    <row r="222" spans="1:6" x14ac:dyDescent="0.35">
      <c r="A222">
        <v>4080</v>
      </c>
      <c r="B222" t="s">
        <v>184</v>
      </c>
      <c r="C222" t="s">
        <v>13</v>
      </c>
      <c r="D222" t="s">
        <v>21</v>
      </c>
      <c r="E222" t="s">
        <v>27</v>
      </c>
      <c r="F222">
        <v>23581</v>
      </c>
    </row>
    <row r="223" spans="1:6" x14ac:dyDescent="0.35">
      <c r="A223">
        <v>4081</v>
      </c>
      <c r="B223" t="s">
        <v>184</v>
      </c>
      <c r="C223" t="s">
        <v>13</v>
      </c>
      <c r="D223" t="s">
        <v>23</v>
      </c>
      <c r="E223" t="s">
        <v>22</v>
      </c>
      <c r="F223">
        <v>109011</v>
      </c>
    </row>
    <row r="224" spans="1:6" x14ac:dyDescent="0.35">
      <c r="A224">
        <v>4082</v>
      </c>
      <c r="B224" t="s">
        <v>184</v>
      </c>
      <c r="C224" t="s">
        <v>13</v>
      </c>
      <c r="D224" t="s">
        <v>25</v>
      </c>
      <c r="E224" t="s">
        <v>22</v>
      </c>
      <c r="F224">
        <v>88892</v>
      </c>
    </row>
    <row r="225" spans="1:6" x14ac:dyDescent="0.35">
      <c r="A225">
        <v>4083</v>
      </c>
      <c r="B225" t="s">
        <v>184</v>
      </c>
      <c r="C225" t="s">
        <v>10</v>
      </c>
      <c r="D225" t="s">
        <v>23</v>
      </c>
      <c r="E225" t="s">
        <v>27</v>
      </c>
      <c r="F225">
        <v>68201</v>
      </c>
    </row>
    <row r="226" spans="1:6" x14ac:dyDescent="0.35">
      <c r="A226">
        <v>4084</v>
      </c>
      <c r="B226" t="s">
        <v>184</v>
      </c>
      <c r="C226" t="s">
        <v>10</v>
      </c>
      <c r="D226" t="s">
        <v>26</v>
      </c>
      <c r="E226" t="s">
        <v>27</v>
      </c>
      <c r="F226">
        <v>114139</v>
      </c>
    </row>
    <row r="227" spans="1:6" x14ac:dyDescent="0.35">
      <c r="A227">
        <v>4085</v>
      </c>
      <c r="B227" t="s">
        <v>184</v>
      </c>
      <c r="C227" t="s">
        <v>10</v>
      </c>
      <c r="D227" t="s">
        <v>25</v>
      </c>
      <c r="E227" t="s">
        <v>27</v>
      </c>
      <c r="F227">
        <v>21850</v>
      </c>
    </row>
    <row r="228" spans="1:6" x14ac:dyDescent="0.35">
      <c r="A228">
        <v>4086</v>
      </c>
      <c r="B228" t="s">
        <v>184</v>
      </c>
      <c r="C228" t="s">
        <v>10</v>
      </c>
      <c r="D228" t="s">
        <v>23</v>
      </c>
      <c r="E228" t="s">
        <v>22</v>
      </c>
      <c r="F228">
        <v>59308</v>
      </c>
    </row>
    <row r="229" spans="1:6" x14ac:dyDescent="0.35">
      <c r="A229">
        <v>4087</v>
      </c>
      <c r="B229" t="s">
        <v>184</v>
      </c>
      <c r="C229" t="s">
        <v>10</v>
      </c>
      <c r="D229" t="s">
        <v>26</v>
      </c>
      <c r="E229" t="s">
        <v>22</v>
      </c>
      <c r="F229">
        <v>150748</v>
      </c>
    </row>
    <row r="230" spans="1:6" x14ac:dyDescent="0.35">
      <c r="A230">
        <v>4088</v>
      </c>
      <c r="B230" t="s">
        <v>184</v>
      </c>
      <c r="C230" t="s">
        <v>10</v>
      </c>
      <c r="D230" t="s">
        <v>25</v>
      </c>
      <c r="E230" t="s">
        <v>22</v>
      </c>
      <c r="F230">
        <v>25802</v>
      </c>
    </row>
    <row r="231" spans="1:6" x14ac:dyDescent="0.35">
      <c r="A231">
        <v>4089</v>
      </c>
      <c r="B231" t="s">
        <v>184</v>
      </c>
      <c r="C231" t="s">
        <v>10</v>
      </c>
      <c r="D231" t="s">
        <v>133</v>
      </c>
      <c r="E231" t="s">
        <v>22</v>
      </c>
      <c r="F231">
        <v>15250</v>
      </c>
    </row>
    <row r="232" spans="1:6" x14ac:dyDescent="0.35">
      <c r="A232">
        <v>4090</v>
      </c>
      <c r="B232" t="s">
        <v>184</v>
      </c>
      <c r="C232" t="s">
        <v>9</v>
      </c>
      <c r="D232" t="s">
        <v>21</v>
      </c>
      <c r="E232" t="s">
        <v>27</v>
      </c>
      <c r="F232">
        <v>49598</v>
      </c>
    </row>
    <row r="233" spans="1:6" x14ac:dyDescent="0.35">
      <c r="A233">
        <v>4091</v>
      </c>
      <c r="B233" t="s">
        <v>184</v>
      </c>
      <c r="C233" t="s">
        <v>9</v>
      </c>
      <c r="D233" t="s">
        <v>23</v>
      </c>
      <c r="E233" t="s">
        <v>22</v>
      </c>
      <c r="F233">
        <v>34624</v>
      </c>
    </row>
    <row r="234" spans="1:6" x14ac:dyDescent="0.35">
      <c r="A234">
        <v>4092</v>
      </c>
      <c r="B234" t="s">
        <v>184</v>
      </c>
      <c r="C234" t="s">
        <v>9</v>
      </c>
      <c r="D234" t="s">
        <v>21</v>
      </c>
      <c r="E234" t="s">
        <v>22</v>
      </c>
      <c r="F234">
        <v>85600</v>
      </c>
    </row>
    <row r="235" spans="1:6" x14ac:dyDescent="0.35">
      <c r="A235">
        <v>4093</v>
      </c>
      <c r="B235" t="s">
        <v>184</v>
      </c>
      <c r="C235" t="s">
        <v>9</v>
      </c>
      <c r="D235" t="s">
        <v>124</v>
      </c>
      <c r="E235" t="s">
        <v>22</v>
      </c>
      <c r="F235">
        <v>3699</v>
      </c>
    </row>
    <row r="236" spans="1:6" x14ac:dyDescent="0.35">
      <c r="A236">
        <v>4094</v>
      </c>
      <c r="B236" t="s">
        <v>184</v>
      </c>
      <c r="C236" t="s">
        <v>16</v>
      </c>
      <c r="D236" t="s">
        <v>21</v>
      </c>
      <c r="E236" t="s">
        <v>27</v>
      </c>
      <c r="F236">
        <v>27310</v>
      </c>
    </row>
    <row r="237" spans="1:6" x14ac:dyDescent="0.35">
      <c r="A237">
        <v>4095</v>
      </c>
      <c r="B237" t="s">
        <v>184</v>
      </c>
      <c r="C237" t="s">
        <v>16</v>
      </c>
      <c r="D237" t="s">
        <v>21</v>
      </c>
      <c r="E237" t="s">
        <v>22</v>
      </c>
      <c r="F237">
        <v>95655</v>
      </c>
    </row>
    <row r="238" spans="1:6" x14ac:dyDescent="0.35">
      <c r="A238">
        <v>4096</v>
      </c>
      <c r="B238" t="s">
        <v>184</v>
      </c>
      <c r="C238" t="s">
        <v>11</v>
      </c>
      <c r="D238" t="s">
        <v>21</v>
      </c>
      <c r="E238" t="s">
        <v>27</v>
      </c>
      <c r="F238">
        <v>94563</v>
      </c>
    </row>
    <row r="239" spans="1:6" x14ac:dyDescent="0.35">
      <c r="A239">
        <v>4097</v>
      </c>
      <c r="B239" t="s">
        <v>184</v>
      </c>
      <c r="C239" t="s">
        <v>11</v>
      </c>
      <c r="D239" t="s">
        <v>21</v>
      </c>
      <c r="E239" t="s">
        <v>22</v>
      </c>
      <c r="F239">
        <v>173397.2</v>
      </c>
    </row>
    <row r="240" spans="1:6" x14ac:dyDescent="0.35">
      <c r="A240">
        <v>4098</v>
      </c>
      <c r="B240" t="s">
        <v>184</v>
      </c>
      <c r="C240" t="s">
        <v>15</v>
      </c>
      <c r="D240" t="s">
        <v>26</v>
      </c>
      <c r="E240" t="s">
        <v>27</v>
      </c>
      <c r="F240">
        <v>5070</v>
      </c>
    </row>
    <row r="241" spans="1:6" x14ac:dyDescent="0.35">
      <c r="A241">
        <v>4099</v>
      </c>
      <c r="B241" t="s">
        <v>184</v>
      </c>
      <c r="C241" t="s">
        <v>15</v>
      </c>
      <c r="D241" t="s">
        <v>26</v>
      </c>
      <c r="E241" t="s">
        <v>22</v>
      </c>
      <c r="F241">
        <v>6493</v>
      </c>
    </row>
    <row r="242" spans="1:6" x14ac:dyDescent="0.35">
      <c r="A242">
        <v>4100</v>
      </c>
      <c r="B242" t="s">
        <v>184</v>
      </c>
      <c r="C242" t="s">
        <v>15</v>
      </c>
      <c r="D242" t="s">
        <v>25</v>
      </c>
      <c r="E242" t="s">
        <v>27</v>
      </c>
      <c r="F242">
        <v>74018</v>
      </c>
    </row>
    <row r="243" spans="1:6" x14ac:dyDescent="0.35">
      <c r="A243">
        <v>4101</v>
      </c>
      <c r="B243" t="s">
        <v>184</v>
      </c>
      <c r="C243" t="s">
        <v>15</v>
      </c>
      <c r="D243" t="s">
        <v>25</v>
      </c>
      <c r="E243" t="s">
        <v>22</v>
      </c>
      <c r="F243">
        <v>190347</v>
      </c>
    </row>
    <row r="244" spans="1:6" x14ac:dyDescent="0.35">
      <c r="A244">
        <v>4102</v>
      </c>
      <c r="B244" t="s">
        <v>184</v>
      </c>
      <c r="C244" t="s">
        <v>13</v>
      </c>
      <c r="D244" t="s">
        <v>26</v>
      </c>
      <c r="E244" t="s">
        <v>22</v>
      </c>
      <c r="F244">
        <v>18739</v>
      </c>
    </row>
    <row r="245" spans="1:6" x14ac:dyDescent="0.35">
      <c r="A245">
        <v>4103</v>
      </c>
      <c r="B245" t="s">
        <v>184</v>
      </c>
      <c r="C245" t="s">
        <v>13</v>
      </c>
      <c r="D245" t="s">
        <v>26</v>
      </c>
      <c r="E245" t="s">
        <v>27</v>
      </c>
      <c r="F245">
        <v>2771</v>
      </c>
    </row>
    <row r="246" spans="1:6" x14ac:dyDescent="0.35">
      <c r="A246">
        <v>4104</v>
      </c>
      <c r="B246" t="s">
        <v>184</v>
      </c>
      <c r="C246" t="s">
        <v>10</v>
      </c>
      <c r="D246" t="s">
        <v>108</v>
      </c>
      <c r="E246" t="s">
        <v>22</v>
      </c>
      <c r="F246">
        <v>3793</v>
      </c>
    </row>
    <row r="247" spans="1:6" x14ac:dyDescent="0.35">
      <c r="A247">
        <v>4105</v>
      </c>
      <c r="B247" t="s">
        <v>184</v>
      </c>
      <c r="C247" t="s">
        <v>10</v>
      </c>
      <c r="D247" t="s">
        <v>127</v>
      </c>
      <c r="E247" t="s">
        <v>22</v>
      </c>
      <c r="F247">
        <v>17596</v>
      </c>
    </row>
    <row r="248" spans="1:6" x14ac:dyDescent="0.35">
      <c r="A248">
        <v>4106</v>
      </c>
      <c r="B248" t="s">
        <v>184</v>
      </c>
      <c r="C248" t="s">
        <v>10</v>
      </c>
      <c r="D248" t="s">
        <v>185</v>
      </c>
      <c r="E248" t="s">
        <v>22</v>
      </c>
      <c r="F248">
        <v>7573</v>
      </c>
    </row>
    <row r="249" spans="1:6" x14ac:dyDescent="0.35">
      <c r="A249">
        <v>4108</v>
      </c>
      <c r="B249" t="s">
        <v>184</v>
      </c>
      <c r="C249" t="s">
        <v>9</v>
      </c>
      <c r="D249" t="s">
        <v>120</v>
      </c>
      <c r="E249" t="s">
        <v>22</v>
      </c>
      <c r="F249">
        <v>18306</v>
      </c>
    </row>
    <row r="250" spans="1:6" x14ac:dyDescent="0.35">
      <c r="A250">
        <v>4109</v>
      </c>
      <c r="B250" t="s">
        <v>184</v>
      </c>
      <c r="C250" t="s">
        <v>17</v>
      </c>
      <c r="D250" t="s">
        <v>23</v>
      </c>
      <c r="E250" t="s">
        <v>101</v>
      </c>
      <c r="F250">
        <v>52284</v>
      </c>
    </row>
    <row r="251" spans="1:6" x14ac:dyDescent="0.35">
      <c r="A251">
        <v>4110</v>
      </c>
      <c r="B251" t="s">
        <v>184</v>
      </c>
      <c r="C251" t="s">
        <v>17</v>
      </c>
      <c r="D251" t="s">
        <v>21</v>
      </c>
      <c r="E251" t="s">
        <v>101</v>
      </c>
      <c r="F251">
        <v>8153</v>
      </c>
    </row>
    <row r="252" spans="1:6" x14ac:dyDescent="0.35">
      <c r="A252">
        <v>4111</v>
      </c>
      <c r="B252" t="s">
        <v>184</v>
      </c>
      <c r="C252" t="s">
        <v>17</v>
      </c>
      <c r="D252" t="s">
        <v>24</v>
      </c>
      <c r="E252" t="s">
        <v>101</v>
      </c>
      <c r="F252">
        <v>36293</v>
      </c>
    </row>
    <row r="253" spans="1:6" x14ac:dyDescent="0.35">
      <c r="A253">
        <v>4112</v>
      </c>
      <c r="B253" t="s">
        <v>184</v>
      </c>
      <c r="C253" t="s">
        <v>17</v>
      </c>
      <c r="D253" t="s">
        <v>26</v>
      </c>
      <c r="E253" t="s">
        <v>101</v>
      </c>
      <c r="F253">
        <v>4152</v>
      </c>
    </row>
    <row r="254" spans="1:6" x14ac:dyDescent="0.35">
      <c r="A254">
        <v>201462</v>
      </c>
      <c r="B254" t="s">
        <v>199</v>
      </c>
      <c r="C254" t="s">
        <v>12</v>
      </c>
      <c r="D254" t="s">
        <v>23</v>
      </c>
      <c r="E254" t="s">
        <v>27</v>
      </c>
      <c r="F254">
        <v>50327.3</v>
      </c>
    </row>
    <row r="255" spans="1:6" x14ac:dyDescent="0.35">
      <c r="A255">
        <v>201463</v>
      </c>
      <c r="B255" t="s">
        <v>199</v>
      </c>
      <c r="C255" t="s">
        <v>12</v>
      </c>
      <c r="D255" t="s">
        <v>21</v>
      </c>
      <c r="E255" t="s">
        <v>27</v>
      </c>
      <c r="F255">
        <v>54309.8</v>
      </c>
    </row>
    <row r="256" spans="1:6" x14ac:dyDescent="0.35">
      <c r="A256">
        <v>201464</v>
      </c>
      <c r="B256" t="s">
        <v>199</v>
      </c>
      <c r="C256" t="s">
        <v>12</v>
      </c>
      <c r="D256" t="s">
        <v>23</v>
      </c>
      <c r="E256" t="s">
        <v>22</v>
      </c>
      <c r="F256">
        <v>104439.2</v>
      </c>
    </row>
    <row r="257" spans="1:6" x14ac:dyDescent="0.35">
      <c r="A257">
        <v>201465</v>
      </c>
      <c r="B257" t="s">
        <v>199</v>
      </c>
      <c r="C257" t="s">
        <v>12</v>
      </c>
      <c r="D257" t="s">
        <v>21</v>
      </c>
      <c r="E257" t="s">
        <v>22</v>
      </c>
      <c r="F257">
        <v>36606.699999999997</v>
      </c>
    </row>
    <row r="258" spans="1:6" x14ac:dyDescent="0.35">
      <c r="A258">
        <v>201466</v>
      </c>
      <c r="B258" t="s">
        <v>199</v>
      </c>
      <c r="C258" t="s">
        <v>12</v>
      </c>
      <c r="D258" t="s">
        <v>24</v>
      </c>
      <c r="E258" t="s">
        <v>22</v>
      </c>
      <c r="F258">
        <v>97555.5</v>
      </c>
    </row>
    <row r="259" spans="1:6" x14ac:dyDescent="0.35">
      <c r="A259">
        <v>201467</v>
      </c>
      <c r="B259" t="s">
        <v>199</v>
      </c>
      <c r="C259" t="s">
        <v>13</v>
      </c>
      <c r="D259" t="s">
        <v>23</v>
      </c>
      <c r="E259" t="s">
        <v>27</v>
      </c>
      <c r="F259">
        <v>85242.4</v>
      </c>
    </row>
    <row r="260" spans="1:6" x14ac:dyDescent="0.35">
      <c r="A260">
        <v>201468</v>
      </c>
      <c r="B260" t="s">
        <v>199</v>
      </c>
      <c r="C260" t="s">
        <v>13</v>
      </c>
      <c r="D260" t="s">
        <v>21</v>
      </c>
      <c r="E260" t="s">
        <v>27</v>
      </c>
      <c r="F260">
        <v>13051.2</v>
      </c>
    </row>
    <row r="261" spans="1:6" x14ac:dyDescent="0.35">
      <c r="A261">
        <v>201469</v>
      </c>
      <c r="B261" t="s">
        <v>199</v>
      </c>
      <c r="C261" t="s">
        <v>13</v>
      </c>
      <c r="D261" t="s">
        <v>23</v>
      </c>
      <c r="E261" t="s">
        <v>22</v>
      </c>
      <c r="F261">
        <v>153656</v>
      </c>
    </row>
    <row r="262" spans="1:6" x14ac:dyDescent="0.35">
      <c r="A262">
        <v>201470</v>
      </c>
      <c r="B262" t="s">
        <v>199</v>
      </c>
      <c r="C262" t="s">
        <v>13</v>
      </c>
      <c r="D262" t="s">
        <v>21</v>
      </c>
      <c r="E262" t="s">
        <v>22</v>
      </c>
      <c r="F262">
        <v>7405.2</v>
      </c>
    </row>
    <row r="263" spans="1:6" x14ac:dyDescent="0.35">
      <c r="A263">
        <v>201471</v>
      </c>
      <c r="B263" t="s">
        <v>199</v>
      </c>
      <c r="C263" t="s">
        <v>13</v>
      </c>
      <c r="D263" t="s">
        <v>26</v>
      </c>
      <c r="E263" t="s">
        <v>22</v>
      </c>
      <c r="F263">
        <v>20855.400000000001</v>
      </c>
    </row>
    <row r="264" spans="1:6" x14ac:dyDescent="0.35">
      <c r="A264">
        <v>201472</v>
      </c>
      <c r="B264" t="s">
        <v>199</v>
      </c>
      <c r="C264" t="s">
        <v>13</v>
      </c>
      <c r="D264" t="s">
        <v>24</v>
      </c>
      <c r="E264" t="s">
        <v>22</v>
      </c>
      <c r="F264">
        <v>3506.9</v>
      </c>
    </row>
    <row r="265" spans="1:6" x14ac:dyDescent="0.35">
      <c r="A265">
        <v>201473</v>
      </c>
      <c r="B265" t="s">
        <v>199</v>
      </c>
      <c r="C265" t="s">
        <v>10</v>
      </c>
      <c r="D265" t="s">
        <v>23</v>
      </c>
      <c r="E265" t="s">
        <v>27</v>
      </c>
      <c r="F265">
        <v>85397.69</v>
      </c>
    </row>
    <row r="266" spans="1:6" x14ac:dyDescent="0.35">
      <c r="A266">
        <v>201474</v>
      </c>
      <c r="B266" t="s">
        <v>199</v>
      </c>
      <c r="C266" t="s">
        <v>10</v>
      </c>
      <c r="D266" t="s">
        <v>26</v>
      </c>
      <c r="E266" t="s">
        <v>27</v>
      </c>
      <c r="F266">
        <v>117834.09</v>
      </c>
    </row>
    <row r="267" spans="1:6" x14ac:dyDescent="0.35">
      <c r="A267">
        <v>201475</v>
      </c>
      <c r="B267" t="s">
        <v>199</v>
      </c>
      <c r="C267" t="s">
        <v>10</v>
      </c>
      <c r="D267" t="s">
        <v>25</v>
      </c>
      <c r="E267" t="s">
        <v>27</v>
      </c>
      <c r="F267">
        <v>23555.03</v>
      </c>
    </row>
    <row r="268" spans="1:6" x14ac:dyDescent="0.35">
      <c r="A268">
        <v>201476</v>
      </c>
      <c r="B268" t="s">
        <v>199</v>
      </c>
      <c r="C268" t="s">
        <v>10</v>
      </c>
      <c r="D268" t="s">
        <v>23</v>
      </c>
      <c r="E268" t="s">
        <v>22</v>
      </c>
      <c r="F268">
        <v>105419.18</v>
      </c>
    </row>
    <row r="269" spans="1:6" x14ac:dyDescent="0.35">
      <c r="A269">
        <v>201477</v>
      </c>
      <c r="B269" t="s">
        <v>199</v>
      </c>
      <c r="C269" t="s">
        <v>10</v>
      </c>
      <c r="D269" t="s">
        <v>26</v>
      </c>
      <c r="E269" t="s">
        <v>22</v>
      </c>
      <c r="F269">
        <v>189212.65</v>
      </c>
    </row>
    <row r="270" spans="1:6" x14ac:dyDescent="0.35">
      <c r="A270">
        <v>201478</v>
      </c>
      <c r="B270" t="s">
        <v>199</v>
      </c>
      <c r="C270" t="s">
        <v>10</v>
      </c>
      <c r="D270" t="s">
        <v>25</v>
      </c>
      <c r="E270" t="s">
        <v>22</v>
      </c>
      <c r="F270">
        <v>25017.21</v>
      </c>
    </row>
    <row r="271" spans="1:6" x14ac:dyDescent="0.35">
      <c r="A271">
        <v>201479</v>
      </c>
      <c r="B271" t="s">
        <v>199</v>
      </c>
      <c r="C271" t="s">
        <v>10</v>
      </c>
      <c r="D271" t="s">
        <v>206</v>
      </c>
      <c r="E271" t="s">
        <v>22</v>
      </c>
      <c r="F271">
        <v>29827.8</v>
      </c>
    </row>
    <row r="272" spans="1:6" x14ac:dyDescent="0.35">
      <c r="A272">
        <v>201480</v>
      </c>
      <c r="B272" t="s">
        <v>199</v>
      </c>
      <c r="C272" t="s">
        <v>9</v>
      </c>
      <c r="D272" t="s">
        <v>21</v>
      </c>
      <c r="E272" t="s">
        <v>27</v>
      </c>
      <c r="F272">
        <v>44550.53</v>
      </c>
    </row>
    <row r="273" spans="1:6" x14ac:dyDescent="0.35">
      <c r="A273">
        <v>201481</v>
      </c>
      <c r="B273" t="s">
        <v>199</v>
      </c>
      <c r="C273" t="s">
        <v>9</v>
      </c>
      <c r="D273" t="s">
        <v>23</v>
      </c>
      <c r="E273" t="s">
        <v>22</v>
      </c>
      <c r="F273">
        <v>27269.38</v>
      </c>
    </row>
    <row r="274" spans="1:6" x14ac:dyDescent="0.35">
      <c r="A274">
        <v>201482</v>
      </c>
      <c r="B274" t="s">
        <v>199</v>
      </c>
      <c r="C274" t="s">
        <v>9</v>
      </c>
      <c r="D274" t="s">
        <v>26</v>
      </c>
      <c r="E274" t="s">
        <v>22</v>
      </c>
      <c r="F274">
        <v>19790.43</v>
      </c>
    </row>
    <row r="275" spans="1:6" x14ac:dyDescent="0.35">
      <c r="A275">
        <v>201483</v>
      </c>
      <c r="B275" t="s">
        <v>199</v>
      </c>
      <c r="C275" t="s">
        <v>9</v>
      </c>
      <c r="D275" t="s">
        <v>21</v>
      </c>
      <c r="E275" t="s">
        <v>22</v>
      </c>
      <c r="F275">
        <v>82365.710000000006</v>
      </c>
    </row>
    <row r="276" spans="1:6" x14ac:dyDescent="0.35">
      <c r="A276">
        <v>201484</v>
      </c>
      <c r="B276" t="s">
        <v>199</v>
      </c>
      <c r="C276" t="s">
        <v>9</v>
      </c>
      <c r="D276" t="s">
        <v>25</v>
      </c>
      <c r="E276" t="s">
        <v>22</v>
      </c>
      <c r="F276">
        <v>23968.880000000001</v>
      </c>
    </row>
    <row r="277" spans="1:6" x14ac:dyDescent="0.35">
      <c r="A277">
        <v>201485</v>
      </c>
      <c r="B277" t="s">
        <v>199</v>
      </c>
      <c r="C277" t="s">
        <v>9</v>
      </c>
      <c r="D277" t="s">
        <v>24</v>
      </c>
      <c r="E277" t="s">
        <v>22</v>
      </c>
      <c r="F277">
        <v>19604.96</v>
      </c>
    </row>
    <row r="278" spans="1:6" x14ac:dyDescent="0.35">
      <c r="A278">
        <v>201486</v>
      </c>
      <c r="B278" t="s">
        <v>199</v>
      </c>
      <c r="C278" t="s">
        <v>9</v>
      </c>
      <c r="D278" t="s">
        <v>120</v>
      </c>
      <c r="E278" t="s">
        <v>22</v>
      </c>
      <c r="F278">
        <v>7708.3</v>
      </c>
    </row>
    <row r="279" spans="1:6" x14ac:dyDescent="0.35">
      <c r="A279">
        <v>201487</v>
      </c>
      <c r="B279" t="s">
        <v>199</v>
      </c>
      <c r="C279" t="s">
        <v>16</v>
      </c>
      <c r="D279" t="s">
        <v>21</v>
      </c>
      <c r="E279" t="s">
        <v>27</v>
      </c>
      <c r="F279">
        <v>15062.8</v>
      </c>
    </row>
    <row r="280" spans="1:6" x14ac:dyDescent="0.35">
      <c r="A280">
        <v>201488</v>
      </c>
      <c r="B280" t="s">
        <v>199</v>
      </c>
      <c r="C280" t="s">
        <v>16</v>
      </c>
      <c r="D280" t="s">
        <v>21</v>
      </c>
      <c r="E280" t="s">
        <v>22</v>
      </c>
      <c r="F280">
        <v>121213.8</v>
      </c>
    </row>
    <row r="281" spans="1:6" x14ac:dyDescent="0.35">
      <c r="A281">
        <v>201489</v>
      </c>
      <c r="B281" t="s">
        <v>199</v>
      </c>
      <c r="C281" t="s">
        <v>11</v>
      </c>
      <c r="D281" t="s">
        <v>21</v>
      </c>
      <c r="E281" t="s">
        <v>27</v>
      </c>
      <c r="F281">
        <v>99961.5</v>
      </c>
    </row>
    <row r="282" spans="1:6" x14ac:dyDescent="0.35">
      <c r="A282">
        <v>201490</v>
      </c>
      <c r="B282" t="s">
        <v>199</v>
      </c>
      <c r="C282" t="s">
        <v>11</v>
      </c>
      <c r="D282" t="s">
        <v>21</v>
      </c>
      <c r="E282" t="s">
        <v>22</v>
      </c>
      <c r="F282">
        <v>209031.1</v>
      </c>
    </row>
    <row r="283" spans="1:6" x14ac:dyDescent="0.35">
      <c r="A283">
        <v>201491</v>
      </c>
      <c r="B283" t="s">
        <v>199</v>
      </c>
      <c r="C283" t="s">
        <v>15</v>
      </c>
      <c r="D283" t="s">
        <v>23</v>
      </c>
      <c r="E283" t="s">
        <v>27</v>
      </c>
      <c r="F283">
        <v>11069.8</v>
      </c>
    </row>
    <row r="284" spans="1:6" x14ac:dyDescent="0.35">
      <c r="A284">
        <v>201492</v>
      </c>
      <c r="B284" t="s">
        <v>199</v>
      </c>
      <c r="C284" t="s">
        <v>15</v>
      </c>
      <c r="D284" t="s">
        <v>26</v>
      </c>
      <c r="E284" t="s">
        <v>27</v>
      </c>
      <c r="F284">
        <v>1561.2</v>
      </c>
    </row>
    <row r="285" spans="1:6" x14ac:dyDescent="0.35">
      <c r="A285">
        <v>201493</v>
      </c>
      <c r="B285" t="s">
        <v>199</v>
      </c>
      <c r="C285" t="s">
        <v>15</v>
      </c>
      <c r="D285" t="s">
        <v>25</v>
      </c>
      <c r="E285" t="s">
        <v>27</v>
      </c>
      <c r="F285">
        <v>83966.97</v>
      </c>
    </row>
    <row r="286" spans="1:6" x14ac:dyDescent="0.35">
      <c r="A286">
        <v>201494</v>
      </c>
      <c r="B286" t="s">
        <v>199</v>
      </c>
      <c r="C286" t="s">
        <v>15</v>
      </c>
      <c r="D286" t="s">
        <v>23</v>
      </c>
      <c r="E286" t="s">
        <v>22</v>
      </c>
      <c r="F286">
        <v>14685.8</v>
      </c>
    </row>
    <row r="287" spans="1:6" x14ac:dyDescent="0.35">
      <c r="A287">
        <v>201495</v>
      </c>
      <c r="B287" t="s">
        <v>199</v>
      </c>
      <c r="C287" t="s">
        <v>15</v>
      </c>
      <c r="D287" t="s">
        <v>26</v>
      </c>
      <c r="E287" t="s">
        <v>22</v>
      </c>
      <c r="F287">
        <v>1945</v>
      </c>
    </row>
    <row r="288" spans="1:6" x14ac:dyDescent="0.35">
      <c r="A288">
        <v>201496</v>
      </c>
      <c r="B288" t="s">
        <v>199</v>
      </c>
      <c r="C288" t="s">
        <v>15</v>
      </c>
      <c r="D288" t="s">
        <v>25</v>
      </c>
      <c r="E288" t="s">
        <v>22</v>
      </c>
      <c r="F288">
        <v>191668.93</v>
      </c>
    </row>
    <row r="289" spans="1:6" x14ac:dyDescent="0.35">
      <c r="A289">
        <v>201497</v>
      </c>
      <c r="B289" t="s">
        <v>199</v>
      </c>
      <c r="C289" t="s">
        <v>14</v>
      </c>
      <c r="D289" t="s">
        <v>23</v>
      </c>
      <c r="E289" t="s">
        <v>27</v>
      </c>
      <c r="F289">
        <v>3404.2</v>
      </c>
    </row>
    <row r="290" spans="1:6" x14ac:dyDescent="0.35">
      <c r="A290">
        <v>201499</v>
      </c>
      <c r="B290" t="s">
        <v>199</v>
      </c>
      <c r="C290" t="s">
        <v>17</v>
      </c>
      <c r="D290" t="s">
        <v>21</v>
      </c>
      <c r="E290" t="s">
        <v>101</v>
      </c>
      <c r="F290">
        <v>12195.7</v>
      </c>
    </row>
    <row r="291" spans="1:6" x14ac:dyDescent="0.35">
      <c r="A291">
        <v>201500</v>
      </c>
      <c r="B291" t="s">
        <v>199</v>
      </c>
      <c r="C291" t="s">
        <v>17</v>
      </c>
      <c r="D291" t="s">
        <v>24</v>
      </c>
      <c r="E291" t="s">
        <v>101</v>
      </c>
      <c r="F291">
        <v>32285.599999999999</v>
      </c>
    </row>
    <row r="292" spans="1:6" x14ac:dyDescent="0.35">
      <c r="A292">
        <v>201501</v>
      </c>
      <c r="B292" t="s">
        <v>199</v>
      </c>
      <c r="C292" t="s">
        <v>17</v>
      </c>
      <c r="D292" t="s">
        <v>23</v>
      </c>
      <c r="E292" t="s">
        <v>101</v>
      </c>
      <c r="F292">
        <v>40258.199999999997</v>
      </c>
    </row>
    <row r="293" spans="1:6" x14ac:dyDescent="0.35">
      <c r="A293">
        <v>201502</v>
      </c>
      <c r="B293" t="s">
        <v>199</v>
      </c>
      <c r="C293" t="s">
        <v>13</v>
      </c>
      <c r="D293" t="s">
        <v>25</v>
      </c>
      <c r="E293" t="s">
        <v>22</v>
      </c>
      <c r="F293">
        <v>31653.8</v>
      </c>
    </row>
    <row r="294" spans="1:6" x14ac:dyDescent="0.35">
      <c r="A294">
        <v>201608</v>
      </c>
      <c r="B294" t="s">
        <v>202</v>
      </c>
      <c r="C294" t="s">
        <v>10</v>
      </c>
      <c r="D294" t="s">
        <v>203</v>
      </c>
      <c r="E294" t="s">
        <v>22</v>
      </c>
      <c r="F294">
        <v>4035.7</v>
      </c>
    </row>
    <row r="295" spans="1:6" x14ac:dyDescent="0.35">
      <c r="A295">
        <v>201607</v>
      </c>
      <c r="B295" t="s">
        <v>202</v>
      </c>
      <c r="C295" t="s">
        <v>10</v>
      </c>
      <c r="D295" t="s">
        <v>129</v>
      </c>
      <c r="E295" t="s">
        <v>22</v>
      </c>
      <c r="F295">
        <v>3796.7</v>
      </c>
    </row>
    <row r="296" spans="1:6" x14ac:dyDescent="0.35">
      <c r="A296">
        <v>201606</v>
      </c>
      <c r="B296" t="s">
        <v>202</v>
      </c>
      <c r="C296" t="s">
        <v>10</v>
      </c>
      <c r="D296" t="s">
        <v>204</v>
      </c>
      <c r="E296" t="s">
        <v>22</v>
      </c>
      <c r="F296">
        <v>7895</v>
      </c>
    </row>
    <row r="297" spans="1:6" x14ac:dyDescent="0.35">
      <c r="A297">
        <v>201605</v>
      </c>
      <c r="B297" t="s">
        <v>202</v>
      </c>
      <c r="C297" t="s">
        <v>10</v>
      </c>
      <c r="D297" t="s">
        <v>124</v>
      </c>
      <c r="E297" t="s">
        <v>22</v>
      </c>
      <c r="F297">
        <v>35101.599999999999</v>
      </c>
    </row>
    <row r="298" spans="1:6" x14ac:dyDescent="0.35">
      <c r="A298">
        <v>201604</v>
      </c>
      <c r="B298" t="s">
        <v>202</v>
      </c>
      <c r="C298" t="s">
        <v>10</v>
      </c>
      <c r="D298" t="s">
        <v>127</v>
      </c>
      <c r="E298" t="s">
        <v>22</v>
      </c>
      <c r="F298">
        <v>4627.8</v>
      </c>
    </row>
    <row r="299" spans="1:6" x14ac:dyDescent="0.35">
      <c r="A299">
        <v>201603</v>
      </c>
      <c r="B299" t="s">
        <v>202</v>
      </c>
      <c r="C299" t="s">
        <v>10</v>
      </c>
      <c r="D299" t="s">
        <v>205</v>
      </c>
      <c r="E299" t="s">
        <v>22</v>
      </c>
      <c r="F299">
        <v>14591.3</v>
      </c>
    </row>
    <row r="300" spans="1:6" x14ac:dyDescent="0.35">
      <c r="A300">
        <v>201602</v>
      </c>
      <c r="B300" t="s">
        <v>202</v>
      </c>
      <c r="C300" t="s">
        <v>10</v>
      </c>
      <c r="D300" t="s">
        <v>206</v>
      </c>
      <c r="E300" t="s">
        <v>22</v>
      </c>
      <c r="F300">
        <v>3818.4</v>
      </c>
    </row>
    <row r="301" spans="1:6" x14ac:dyDescent="0.35">
      <c r="A301">
        <v>201601</v>
      </c>
      <c r="B301" t="s">
        <v>202</v>
      </c>
      <c r="C301" t="s">
        <v>10</v>
      </c>
      <c r="D301" t="s">
        <v>207</v>
      </c>
      <c r="E301" t="s">
        <v>22</v>
      </c>
      <c r="F301">
        <v>7793.8</v>
      </c>
    </row>
    <row r="302" spans="1:6" x14ac:dyDescent="0.35">
      <c r="A302">
        <v>201600</v>
      </c>
      <c r="B302" t="s">
        <v>202</v>
      </c>
      <c r="C302" t="s">
        <v>9</v>
      </c>
      <c r="D302" t="s">
        <v>127</v>
      </c>
      <c r="E302" t="s">
        <v>22</v>
      </c>
      <c r="F302">
        <v>4000.6</v>
      </c>
    </row>
    <row r="303" spans="1:6" x14ac:dyDescent="0.35">
      <c r="A303">
        <v>201556</v>
      </c>
      <c r="B303" t="s">
        <v>199</v>
      </c>
      <c r="C303" t="s">
        <v>200</v>
      </c>
      <c r="D303" t="s">
        <v>21</v>
      </c>
      <c r="E303" t="s">
        <v>27</v>
      </c>
      <c r="F303">
        <v>20000</v>
      </c>
    </row>
    <row r="304" spans="1:6" x14ac:dyDescent="0.35">
      <c r="A304">
        <v>201599</v>
      </c>
      <c r="B304" t="s">
        <v>202</v>
      </c>
      <c r="C304" t="s">
        <v>17</v>
      </c>
      <c r="D304" t="s">
        <v>23</v>
      </c>
      <c r="E304" t="s">
        <v>101</v>
      </c>
      <c r="F304">
        <v>56865.7</v>
      </c>
    </row>
    <row r="305" spans="1:6" x14ac:dyDescent="0.35">
      <c r="A305">
        <v>201598</v>
      </c>
      <c r="B305" t="s">
        <v>202</v>
      </c>
      <c r="C305" t="s">
        <v>17</v>
      </c>
      <c r="D305" t="s">
        <v>24</v>
      </c>
      <c r="E305" t="s">
        <v>101</v>
      </c>
      <c r="F305">
        <v>28486.400000000001</v>
      </c>
    </row>
    <row r="306" spans="1:6" x14ac:dyDescent="0.35">
      <c r="A306">
        <v>201597</v>
      </c>
      <c r="B306" t="s">
        <v>202</v>
      </c>
      <c r="C306" t="s">
        <v>17</v>
      </c>
      <c r="D306" t="s">
        <v>21</v>
      </c>
      <c r="E306" t="s">
        <v>101</v>
      </c>
      <c r="F306">
        <v>8144.1</v>
      </c>
    </row>
    <row r="307" spans="1:6" x14ac:dyDescent="0.35">
      <c r="A307">
        <v>201596</v>
      </c>
      <c r="B307" t="s">
        <v>202</v>
      </c>
      <c r="C307" t="s">
        <v>15</v>
      </c>
      <c r="D307" t="s">
        <v>25</v>
      </c>
      <c r="E307" t="s">
        <v>22</v>
      </c>
      <c r="F307">
        <v>183540.67</v>
      </c>
    </row>
    <row r="308" spans="1:6" x14ac:dyDescent="0.35">
      <c r="A308">
        <v>201595</v>
      </c>
      <c r="B308" t="s">
        <v>202</v>
      </c>
      <c r="C308" t="s">
        <v>15</v>
      </c>
      <c r="D308" t="s">
        <v>26</v>
      </c>
      <c r="E308" t="s">
        <v>22</v>
      </c>
      <c r="F308">
        <v>6883.6</v>
      </c>
    </row>
    <row r="309" spans="1:6" x14ac:dyDescent="0.35">
      <c r="A309">
        <v>201594</v>
      </c>
      <c r="B309" t="s">
        <v>202</v>
      </c>
      <c r="C309" t="s">
        <v>15</v>
      </c>
      <c r="D309" t="s">
        <v>23</v>
      </c>
      <c r="E309" t="s">
        <v>22</v>
      </c>
      <c r="F309">
        <v>21107</v>
      </c>
    </row>
    <row r="310" spans="1:6" x14ac:dyDescent="0.35">
      <c r="A310">
        <v>201593</v>
      </c>
      <c r="B310" t="s">
        <v>202</v>
      </c>
      <c r="C310" t="s">
        <v>15</v>
      </c>
      <c r="D310" t="s">
        <v>25</v>
      </c>
      <c r="E310" t="s">
        <v>27</v>
      </c>
      <c r="F310">
        <v>93246.43</v>
      </c>
    </row>
    <row r="311" spans="1:6" x14ac:dyDescent="0.35">
      <c r="A311">
        <v>201592</v>
      </c>
      <c r="B311" t="s">
        <v>202</v>
      </c>
      <c r="C311" t="s">
        <v>15</v>
      </c>
      <c r="D311" t="s">
        <v>26</v>
      </c>
      <c r="E311" t="s">
        <v>27</v>
      </c>
      <c r="F311">
        <v>4508</v>
      </c>
    </row>
    <row r="312" spans="1:6" x14ac:dyDescent="0.35">
      <c r="A312">
        <v>201591</v>
      </c>
      <c r="B312" t="s">
        <v>202</v>
      </c>
      <c r="C312" t="s">
        <v>11</v>
      </c>
      <c r="D312" t="s">
        <v>21</v>
      </c>
      <c r="E312" t="s">
        <v>27</v>
      </c>
      <c r="F312">
        <v>114924.1</v>
      </c>
    </row>
    <row r="313" spans="1:6" x14ac:dyDescent="0.35">
      <c r="A313">
        <v>201590</v>
      </c>
      <c r="B313" t="s">
        <v>202</v>
      </c>
      <c r="C313" t="s">
        <v>11</v>
      </c>
      <c r="D313" t="s">
        <v>21</v>
      </c>
      <c r="E313" t="s">
        <v>22</v>
      </c>
      <c r="F313">
        <v>195558.2</v>
      </c>
    </row>
    <row r="314" spans="1:6" x14ac:dyDescent="0.35">
      <c r="A314">
        <v>201589</v>
      </c>
      <c r="B314" t="s">
        <v>202</v>
      </c>
      <c r="C314" t="s">
        <v>16</v>
      </c>
      <c r="D314" t="s">
        <v>21</v>
      </c>
      <c r="E314" t="s">
        <v>22</v>
      </c>
      <c r="F314">
        <v>81590.399999999994</v>
      </c>
    </row>
    <row r="315" spans="1:6" x14ac:dyDescent="0.35">
      <c r="A315">
        <v>201588</v>
      </c>
      <c r="B315" t="s">
        <v>202</v>
      </c>
      <c r="C315" t="s">
        <v>16</v>
      </c>
      <c r="D315" t="s">
        <v>21</v>
      </c>
      <c r="E315" t="s">
        <v>27</v>
      </c>
      <c r="F315">
        <v>37197.300000000003</v>
      </c>
    </row>
    <row r="316" spans="1:6" x14ac:dyDescent="0.35">
      <c r="A316">
        <v>201587</v>
      </c>
      <c r="B316" t="s">
        <v>202</v>
      </c>
      <c r="C316" t="s">
        <v>9</v>
      </c>
      <c r="D316" t="s">
        <v>201</v>
      </c>
      <c r="E316" t="s">
        <v>22</v>
      </c>
      <c r="F316">
        <v>19150.8</v>
      </c>
    </row>
    <row r="317" spans="1:6" x14ac:dyDescent="0.35">
      <c r="A317">
        <v>201586</v>
      </c>
      <c r="B317" t="s">
        <v>202</v>
      </c>
      <c r="C317" t="s">
        <v>9</v>
      </c>
      <c r="D317" t="s">
        <v>108</v>
      </c>
      <c r="E317" t="s">
        <v>22</v>
      </c>
      <c r="F317">
        <v>31534.7</v>
      </c>
    </row>
    <row r="318" spans="1:6" x14ac:dyDescent="0.35">
      <c r="A318">
        <v>201585</v>
      </c>
      <c r="B318" t="s">
        <v>202</v>
      </c>
      <c r="C318" t="s">
        <v>9</v>
      </c>
      <c r="D318" t="s">
        <v>24</v>
      </c>
      <c r="E318" t="s">
        <v>22</v>
      </c>
      <c r="F318">
        <v>15191.9</v>
      </c>
    </row>
    <row r="319" spans="1:6" x14ac:dyDescent="0.35">
      <c r="A319">
        <v>201584</v>
      </c>
      <c r="B319" t="s">
        <v>202</v>
      </c>
      <c r="C319" t="s">
        <v>9</v>
      </c>
      <c r="D319" t="s">
        <v>25</v>
      </c>
      <c r="E319" t="s">
        <v>22</v>
      </c>
      <c r="F319">
        <v>3514.8</v>
      </c>
    </row>
    <row r="320" spans="1:6" x14ac:dyDescent="0.35">
      <c r="A320">
        <v>201583</v>
      </c>
      <c r="B320" t="s">
        <v>202</v>
      </c>
      <c r="C320" t="s">
        <v>9</v>
      </c>
      <c r="D320" t="s">
        <v>21</v>
      </c>
      <c r="E320" t="s">
        <v>22</v>
      </c>
      <c r="F320">
        <v>92557.9</v>
      </c>
    </row>
    <row r="321" spans="1:6" x14ac:dyDescent="0.35">
      <c r="A321">
        <v>201582</v>
      </c>
      <c r="B321" t="s">
        <v>202</v>
      </c>
      <c r="C321" t="s">
        <v>9</v>
      </c>
      <c r="D321" t="s">
        <v>26</v>
      </c>
      <c r="E321" t="s">
        <v>22</v>
      </c>
      <c r="F321">
        <v>7675.2</v>
      </c>
    </row>
    <row r="322" spans="1:6" x14ac:dyDescent="0.35">
      <c r="A322">
        <v>201581</v>
      </c>
      <c r="B322" t="s">
        <v>202</v>
      </c>
      <c r="C322" t="s">
        <v>9</v>
      </c>
      <c r="D322" t="s">
        <v>23</v>
      </c>
      <c r="E322" t="s">
        <v>22</v>
      </c>
      <c r="F322">
        <v>7819.9</v>
      </c>
    </row>
    <row r="323" spans="1:6" x14ac:dyDescent="0.35">
      <c r="A323">
        <v>201580</v>
      </c>
      <c r="B323" t="s">
        <v>202</v>
      </c>
      <c r="C323" t="s">
        <v>9</v>
      </c>
      <c r="D323" t="s">
        <v>21</v>
      </c>
      <c r="E323" t="s">
        <v>27</v>
      </c>
      <c r="F323">
        <v>47276</v>
      </c>
    </row>
    <row r="324" spans="1:6" x14ac:dyDescent="0.35">
      <c r="A324">
        <v>201579</v>
      </c>
      <c r="B324" t="s">
        <v>202</v>
      </c>
      <c r="C324" t="s">
        <v>10</v>
      </c>
      <c r="D324" t="s">
        <v>108</v>
      </c>
      <c r="E324" t="s">
        <v>22</v>
      </c>
      <c r="F324">
        <v>19549</v>
      </c>
    </row>
    <row r="325" spans="1:6" x14ac:dyDescent="0.35">
      <c r="A325">
        <v>201578</v>
      </c>
      <c r="B325" t="s">
        <v>202</v>
      </c>
      <c r="C325" t="s">
        <v>10</v>
      </c>
      <c r="D325" t="s">
        <v>25</v>
      </c>
      <c r="E325" t="s">
        <v>22</v>
      </c>
      <c r="F325">
        <v>49254.8</v>
      </c>
    </row>
    <row r="326" spans="1:6" x14ac:dyDescent="0.35">
      <c r="A326">
        <v>201577</v>
      </c>
      <c r="B326" t="s">
        <v>202</v>
      </c>
      <c r="C326" t="s">
        <v>10</v>
      </c>
      <c r="D326" t="s">
        <v>26</v>
      </c>
      <c r="E326" t="s">
        <v>22</v>
      </c>
      <c r="F326">
        <v>161700.70000000001</v>
      </c>
    </row>
    <row r="327" spans="1:6" x14ac:dyDescent="0.35">
      <c r="A327">
        <v>201576</v>
      </c>
      <c r="B327" t="s">
        <v>202</v>
      </c>
      <c r="C327" t="s">
        <v>10</v>
      </c>
      <c r="D327" t="s">
        <v>23</v>
      </c>
      <c r="E327" t="s">
        <v>22</v>
      </c>
      <c r="F327">
        <v>90341.8</v>
      </c>
    </row>
    <row r="328" spans="1:6" x14ac:dyDescent="0.35">
      <c r="A328">
        <v>201575</v>
      </c>
      <c r="B328" t="s">
        <v>202</v>
      </c>
      <c r="C328" t="s">
        <v>10</v>
      </c>
      <c r="D328" t="s">
        <v>25</v>
      </c>
      <c r="E328" t="s">
        <v>27</v>
      </c>
      <c r="F328">
        <v>47623.39</v>
      </c>
    </row>
    <row r="329" spans="1:6" x14ac:dyDescent="0.35">
      <c r="A329">
        <v>201574</v>
      </c>
      <c r="B329" t="s">
        <v>202</v>
      </c>
      <c r="C329" t="s">
        <v>10</v>
      </c>
      <c r="D329" t="s">
        <v>26</v>
      </c>
      <c r="E329" t="s">
        <v>27</v>
      </c>
      <c r="F329">
        <v>124635.44</v>
      </c>
    </row>
    <row r="330" spans="1:6" x14ac:dyDescent="0.35">
      <c r="A330">
        <v>201573</v>
      </c>
      <c r="B330" t="s">
        <v>202</v>
      </c>
      <c r="C330" t="s">
        <v>10</v>
      </c>
      <c r="D330" t="s">
        <v>23</v>
      </c>
      <c r="E330" t="s">
        <v>27</v>
      </c>
      <c r="F330">
        <v>30111.59</v>
      </c>
    </row>
    <row r="331" spans="1:6" x14ac:dyDescent="0.35">
      <c r="A331">
        <v>201572</v>
      </c>
      <c r="B331" t="s">
        <v>202</v>
      </c>
      <c r="C331" t="s">
        <v>13</v>
      </c>
      <c r="D331" t="s">
        <v>24</v>
      </c>
      <c r="E331" t="s">
        <v>22</v>
      </c>
      <c r="F331">
        <v>7190.9</v>
      </c>
    </row>
    <row r="332" spans="1:6" x14ac:dyDescent="0.35">
      <c r="A332">
        <v>201571</v>
      </c>
      <c r="B332" t="s">
        <v>202</v>
      </c>
      <c r="C332" t="s">
        <v>13</v>
      </c>
      <c r="D332" t="s">
        <v>25</v>
      </c>
      <c r="E332" t="s">
        <v>22</v>
      </c>
      <c r="F332">
        <v>40344.199999999997</v>
      </c>
    </row>
    <row r="333" spans="1:6" x14ac:dyDescent="0.35">
      <c r="A333">
        <v>201570</v>
      </c>
      <c r="B333" t="s">
        <v>202</v>
      </c>
      <c r="C333" t="s">
        <v>13</v>
      </c>
      <c r="D333" t="s">
        <v>21</v>
      </c>
      <c r="E333" t="s">
        <v>22</v>
      </c>
      <c r="F333">
        <v>40851</v>
      </c>
    </row>
    <row r="334" spans="1:6" x14ac:dyDescent="0.35">
      <c r="A334">
        <v>201569</v>
      </c>
      <c r="B334" t="s">
        <v>202</v>
      </c>
      <c r="C334" t="s">
        <v>13</v>
      </c>
      <c r="D334" t="s">
        <v>26</v>
      </c>
      <c r="E334" t="s">
        <v>22</v>
      </c>
      <c r="F334">
        <v>3358</v>
      </c>
    </row>
    <row r="335" spans="1:6" x14ac:dyDescent="0.35">
      <c r="A335">
        <v>201568</v>
      </c>
      <c r="B335" t="s">
        <v>202</v>
      </c>
      <c r="C335" t="s">
        <v>13</v>
      </c>
      <c r="D335" t="s">
        <v>23</v>
      </c>
      <c r="E335" t="s">
        <v>22</v>
      </c>
      <c r="F335">
        <v>148886.70000000001</v>
      </c>
    </row>
    <row r="336" spans="1:6" x14ac:dyDescent="0.35">
      <c r="A336">
        <v>201567</v>
      </c>
      <c r="B336" t="s">
        <v>202</v>
      </c>
      <c r="C336" t="s">
        <v>13</v>
      </c>
      <c r="D336" t="s">
        <v>24</v>
      </c>
      <c r="E336" t="s">
        <v>27</v>
      </c>
      <c r="F336">
        <v>3004.8</v>
      </c>
    </row>
    <row r="337" spans="1:6" x14ac:dyDescent="0.35">
      <c r="A337">
        <v>201566</v>
      </c>
      <c r="B337" t="s">
        <v>202</v>
      </c>
      <c r="C337" t="s">
        <v>13</v>
      </c>
      <c r="D337" t="s">
        <v>21</v>
      </c>
      <c r="E337" t="s">
        <v>27</v>
      </c>
      <c r="F337">
        <v>15221.8</v>
      </c>
    </row>
    <row r="338" spans="1:6" x14ac:dyDescent="0.35">
      <c r="A338">
        <v>201565</v>
      </c>
      <c r="B338" t="s">
        <v>202</v>
      </c>
      <c r="C338" t="s">
        <v>13</v>
      </c>
      <c r="D338" t="s">
        <v>26</v>
      </c>
      <c r="E338" t="s">
        <v>27</v>
      </c>
      <c r="F338">
        <v>6862.8</v>
      </c>
    </row>
    <row r="339" spans="1:6" x14ac:dyDescent="0.35">
      <c r="A339">
        <v>201564</v>
      </c>
      <c r="B339" t="s">
        <v>202</v>
      </c>
      <c r="C339" t="s">
        <v>13</v>
      </c>
      <c r="D339" t="s">
        <v>23</v>
      </c>
      <c r="E339" t="s">
        <v>27</v>
      </c>
      <c r="F339">
        <v>102783.1</v>
      </c>
    </row>
    <row r="340" spans="1:6" x14ac:dyDescent="0.35">
      <c r="A340">
        <v>201563</v>
      </c>
      <c r="B340" t="s">
        <v>202</v>
      </c>
      <c r="C340" t="s">
        <v>12</v>
      </c>
      <c r="D340" t="s">
        <v>21</v>
      </c>
      <c r="E340" t="s">
        <v>27</v>
      </c>
      <c r="F340">
        <v>10854.4</v>
      </c>
    </row>
    <row r="341" spans="1:6" x14ac:dyDescent="0.35">
      <c r="A341">
        <v>201562</v>
      </c>
      <c r="B341" t="s">
        <v>202</v>
      </c>
      <c r="C341" t="s">
        <v>12</v>
      </c>
      <c r="D341" t="s">
        <v>23</v>
      </c>
      <c r="E341" t="s">
        <v>27</v>
      </c>
      <c r="F341">
        <v>75710.100000000006</v>
      </c>
    </row>
    <row r="342" spans="1:6" x14ac:dyDescent="0.35">
      <c r="A342">
        <v>201561</v>
      </c>
      <c r="B342" t="s">
        <v>202</v>
      </c>
      <c r="C342" t="s">
        <v>12</v>
      </c>
      <c r="D342" t="s">
        <v>24</v>
      </c>
      <c r="E342" t="s">
        <v>22</v>
      </c>
      <c r="F342">
        <v>51900.3</v>
      </c>
    </row>
    <row r="343" spans="1:6" x14ac:dyDescent="0.35">
      <c r="A343">
        <v>201560</v>
      </c>
      <c r="B343" t="s">
        <v>202</v>
      </c>
      <c r="C343" t="s">
        <v>12</v>
      </c>
      <c r="D343" t="s">
        <v>23</v>
      </c>
      <c r="E343" t="s">
        <v>22</v>
      </c>
      <c r="F343">
        <v>120169.2</v>
      </c>
    </row>
    <row r="344" spans="1:6" x14ac:dyDescent="0.35">
      <c r="A344">
        <v>201559</v>
      </c>
      <c r="B344" t="s">
        <v>202</v>
      </c>
      <c r="C344" t="s">
        <v>12</v>
      </c>
      <c r="D344" t="s">
        <v>21</v>
      </c>
      <c r="E344" t="s">
        <v>22</v>
      </c>
      <c r="F344">
        <v>108649.3</v>
      </c>
    </row>
    <row r="345" spans="1:6" x14ac:dyDescent="0.35">
      <c r="A345">
        <v>201609</v>
      </c>
      <c r="B345" t="s">
        <v>202</v>
      </c>
      <c r="C345" t="s">
        <v>10</v>
      </c>
      <c r="D345" t="s">
        <v>131</v>
      </c>
      <c r="E345" t="s">
        <v>22</v>
      </c>
      <c r="F345">
        <v>4012.6</v>
      </c>
    </row>
    <row r="346" spans="1:6" x14ac:dyDescent="0.35">
      <c r="A346">
        <v>201732</v>
      </c>
      <c r="B346" t="s">
        <v>208</v>
      </c>
      <c r="C346" t="s">
        <v>17</v>
      </c>
      <c r="D346" t="s">
        <v>23</v>
      </c>
      <c r="E346" t="s">
        <v>101</v>
      </c>
      <c r="F346">
        <v>55465.2</v>
      </c>
    </row>
    <row r="347" spans="1:6" x14ac:dyDescent="0.35">
      <c r="A347">
        <v>201731</v>
      </c>
      <c r="B347" t="s">
        <v>208</v>
      </c>
      <c r="C347" t="s">
        <v>17</v>
      </c>
      <c r="D347" t="s">
        <v>24</v>
      </c>
      <c r="E347" t="s">
        <v>101</v>
      </c>
      <c r="F347">
        <v>24426.7</v>
      </c>
    </row>
    <row r="348" spans="1:6" x14ac:dyDescent="0.35">
      <c r="A348">
        <v>201730</v>
      </c>
      <c r="B348" t="s">
        <v>208</v>
      </c>
      <c r="C348" t="s">
        <v>17</v>
      </c>
      <c r="D348" t="s">
        <v>21</v>
      </c>
      <c r="E348" t="s">
        <v>101</v>
      </c>
      <c r="F348">
        <v>12203.7</v>
      </c>
    </row>
    <row r="349" spans="1:6" x14ac:dyDescent="0.35">
      <c r="A349">
        <v>201729</v>
      </c>
      <c r="B349" t="s">
        <v>208</v>
      </c>
      <c r="C349" t="s">
        <v>15</v>
      </c>
      <c r="D349" t="s">
        <v>25</v>
      </c>
      <c r="E349" t="s">
        <v>22</v>
      </c>
      <c r="F349">
        <v>233534.92</v>
      </c>
    </row>
    <row r="350" spans="1:6" x14ac:dyDescent="0.35">
      <c r="A350">
        <v>201728</v>
      </c>
      <c r="B350" t="s">
        <v>208</v>
      </c>
      <c r="C350" t="s">
        <v>15</v>
      </c>
      <c r="D350" t="s">
        <v>26</v>
      </c>
      <c r="E350" t="s">
        <v>22</v>
      </c>
      <c r="F350">
        <v>3333</v>
      </c>
    </row>
    <row r="351" spans="1:6" x14ac:dyDescent="0.35">
      <c r="A351">
        <v>201727</v>
      </c>
      <c r="B351" t="s">
        <v>208</v>
      </c>
      <c r="C351" t="s">
        <v>14</v>
      </c>
      <c r="D351" t="s">
        <v>23</v>
      </c>
      <c r="E351" t="s">
        <v>22</v>
      </c>
      <c r="F351">
        <v>7228</v>
      </c>
    </row>
    <row r="352" spans="1:6" x14ac:dyDescent="0.35">
      <c r="A352">
        <v>201726</v>
      </c>
      <c r="B352" t="s">
        <v>208</v>
      </c>
      <c r="C352" t="s">
        <v>15</v>
      </c>
      <c r="D352" t="s">
        <v>25</v>
      </c>
      <c r="E352" t="s">
        <v>27</v>
      </c>
      <c r="F352">
        <v>102835.98</v>
      </c>
    </row>
    <row r="353" spans="1:6" x14ac:dyDescent="0.35">
      <c r="A353">
        <v>201725</v>
      </c>
      <c r="B353" t="s">
        <v>208</v>
      </c>
      <c r="C353" t="s">
        <v>15</v>
      </c>
      <c r="D353" t="s">
        <v>26</v>
      </c>
      <c r="E353" t="s">
        <v>27</v>
      </c>
      <c r="F353">
        <v>828.6</v>
      </c>
    </row>
    <row r="354" spans="1:6" x14ac:dyDescent="0.35">
      <c r="A354">
        <v>201733</v>
      </c>
      <c r="B354" t="s">
        <v>208</v>
      </c>
      <c r="C354" t="s">
        <v>11</v>
      </c>
      <c r="D354" t="s">
        <v>21</v>
      </c>
      <c r="E354" t="s">
        <v>27</v>
      </c>
      <c r="F354">
        <v>128173.1</v>
      </c>
    </row>
    <row r="355" spans="1:6" x14ac:dyDescent="0.35">
      <c r="A355">
        <v>201722</v>
      </c>
      <c r="B355" t="s">
        <v>208</v>
      </c>
      <c r="C355" t="s">
        <v>16</v>
      </c>
      <c r="D355" t="s">
        <v>21</v>
      </c>
      <c r="E355" t="s">
        <v>22</v>
      </c>
      <c r="F355">
        <v>29324</v>
      </c>
    </row>
    <row r="356" spans="1:6" x14ac:dyDescent="0.35">
      <c r="A356">
        <v>201721</v>
      </c>
      <c r="B356" t="s">
        <v>208</v>
      </c>
      <c r="C356" t="s">
        <v>16</v>
      </c>
      <c r="D356" t="s">
        <v>21</v>
      </c>
      <c r="E356" t="s">
        <v>27</v>
      </c>
      <c r="F356">
        <v>25614.400000000001</v>
      </c>
    </row>
    <row r="357" spans="1:6" x14ac:dyDescent="0.35">
      <c r="A357">
        <v>201720</v>
      </c>
      <c r="B357" t="s">
        <v>208</v>
      </c>
      <c r="C357" t="s">
        <v>9</v>
      </c>
      <c r="D357" t="s">
        <v>201</v>
      </c>
      <c r="E357" t="s">
        <v>22</v>
      </c>
      <c r="F357">
        <v>29928.38</v>
      </c>
    </row>
    <row r="358" spans="1:6" x14ac:dyDescent="0.35">
      <c r="A358">
        <v>201719</v>
      </c>
      <c r="B358" t="s">
        <v>208</v>
      </c>
      <c r="C358" t="s">
        <v>14</v>
      </c>
      <c r="D358" t="s">
        <v>23</v>
      </c>
      <c r="E358" t="s">
        <v>27</v>
      </c>
      <c r="F358">
        <v>7206</v>
      </c>
    </row>
    <row r="359" spans="1:6" x14ac:dyDescent="0.35">
      <c r="A359">
        <v>201718</v>
      </c>
      <c r="B359" t="s">
        <v>208</v>
      </c>
      <c r="C359" t="s">
        <v>9</v>
      </c>
      <c r="D359" t="s">
        <v>24</v>
      </c>
      <c r="E359" t="s">
        <v>22</v>
      </c>
      <c r="F359">
        <v>7062.76</v>
      </c>
    </row>
    <row r="360" spans="1:6" x14ac:dyDescent="0.35">
      <c r="A360">
        <v>201717</v>
      </c>
      <c r="B360" t="s">
        <v>208</v>
      </c>
      <c r="C360" t="s">
        <v>9</v>
      </c>
      <c r="D360" t="s">
        <v>25</v>
      </c>
      <c r="E360" t="s">
        <v>22</v>
      </c>
      <c r="F360">
        <v>0</v>
      </c>
    </row>
    <row r="361" spans="1:6" x14ac:dyDescent="0.35">
      <c r="A361">
        <v>201716</v>
      </c>
      <c r="B361" t="s">
        <v>208</v>
      </c>
      <c r="C361" t="s">
        <v>9</v>
      </c>
      <c r="D361" t="s">
        <v>21</v>
      </c>
      <c r="E361" t="s">
        <v>22</v>
      </c>
      <c r="F361">
        <v>104415</v>
      </c>
    </row>
    <row r="362" spans="1:6" x14ac:dyDescent="0.35">
      <c r="A362">
        <v>201715</v>
      </c>
      <c r="B362" t="s">
        <v>208</v>
      </c>
      <c r="C362" t="s">
        <v>9</v>
      </c>
      <c r="D362" t="s">
        <v>26</v>
      </c>
      <c r="E362" t="s">
        <v>22</v>
      </c>
      <c r="F362">
        <v>0</v>
      </c>
    </row>
    <row r="363" spans="1:6" x14ac:dyDescent="0.35">
      <c r="A363">
        <v>201714</v>
      </c>
      <c r="B363" t="s">
        <v>208</v>
      </c>
      <c r="C363" t="s">
        <v>9</v>
      </c>
      <c r="D363" t="s">
        <v>24</v>
      </c>
      <c r="E363" t="s">
        <v>27</v>
      </c>
      <c r="F363">
        <v>0</v>
      </c>
    </row>
    <row r="364" spans="1:6" x14ac:dyDescent="0.35">
      <c r="A364">
        <v>201713</v>
      </c>
      <c r="B364" t="s">
        <v>208</v>
      </c>
      <c r="C364" t="s">
        <v>9</v>
      </c>
      <c r="D364" t="s">
        <v>21</v>
      </c>
      <c r="E364" t="s">
        <v>27</v>
      </c>
      <c r="F364">
        <v>70353.100000000006</v>
      </c>
    </row>
    <row r="365" spans="1:6" x14ac:dyDescent="0.35">
      <c r="A365">
        <v>201712</v>
      </c>
      <c r="B365" t="s">
        <v>208</v>
      </c>
      <c r="C365" t="s">
        <v>10</v>
      </c>
      <c r="D365" t="s">
        <v>131</v>
      </c>
      <c r="E365" t="s">
        <v>22</v>
      </c>
      <c r="F365">
        <v>34671.1</v>
      </c>
    </row>
    <row r="366" spans="1:6" x14ac:dyDescent="0.35">
      <c r="A366">
        <v>201711</v>
      </c>
      <c r="B366" t="s">
        <v>208</v>
      </c>
      <c r="C366" t="s">
        <v>10</v>
      </c>
      <c r="D366" t="s">
        <v>25</v>
      </c>
      <c r="E366" t="s">
        <v>22</v>
      </c>
      <c r="F366">
        <v>46874.6</v>
      </c>
    </row>
    <row r="367" spans="1:6" x14ac:dyDescent="0.35">
      <c r="A367">
        <v>201710</v>
      </c>
      <c r="B367" t="s">
        <v>208</v>
      </c>
      <c r="C367" t="s">
        <v>10</v>
      </c>
      <c r="D367" t="s">
        <v>26</v>
      </c>
      <c r="E367" t="s">
        <v>22</v>
      </c>
      <c r="F367">
        <v>228900.3</v>
      </c>
    </row>
    <row r="368" spans="1:6" x14ac:dyDescent="0.35">
      <c r="A368">
        <v>201709</v>
      </c>
      <c r="B368" t="s">
        <v>208</v>
      </c>
      <c r="C368" t="s">
        <v>10</v>
      </c>
      <c r="D368" t="s">
        <v>23</v>
      </c>
      <c r="E368" t="s">
        <v>22</v>
      </c>
      <c r="F368">
        <v>46933.8</v>
      </c>
    </row>
    <row r="369" spans="1:6" x14ac:dyDescent="0.35">
      <c r="A369">
        <v>201708</v>
      </c>
      <c r="B369" t="s">
        <v>208</v>
      </c>
      <c r="C369" t="s">
        <v>10</v>
      </c>
      <c r="D369" t="s">
        <v>25</v>
      </c>
      <c r="E369" t="s">
        <v>27</v>
      </c>
      <c r="F369">
        <v>25101.919999999998</v>
      </c>
    </row>
    <row r="370" spans="1:6" x14ac:dyDescent="0.35">
      <c r="A370">
        <v>201707</v>
      </c>
      <c r="B370" t="s">
        <v>208</v>
      </c>
      <c r="C370" t="s">
        <v>10</v>
      </c>
      <c r="D370" t="s">
        <v>26</v>
      </c>
      <c r="E370" t="s">
        <v>27</v>
      </c>
      <c r="F370">
        <v>136491.94</v>
      </c>
    </row>
    <row r="371" spans="1:6" x14ac:dyDescent="0.35">
      <c r="A371">
        <v>201706</v>
      </c>
      <c r="B371" t="s">
        <v>208</v>
      </c>
      <c r="C371" t="s">
        <v>10</v>
      </c>
      <c r="D371" t="s">
        <v>23</v>
      </c>
      <c r="E371" t="s">
        <v>27</v>
      </c>
      <c r="F371">
        <v>43592.46</v>
      </c>
    </row>
    <row r="372" spans="1:6" x14ac:dyDescent="0.35">
      <c r="A372">
        <v>201705</v>
      </c>
      <c r="B372" t="s">
        <v>208</v>
      </c>
      <c r="C372" t="s">
        <v>13</v>
      </c>
      <c r="D372" t="s">
        <v>24</v>
      </c>
      <c r="E372" t="s">
        <v>22</v>
      </c>
      <c r="F372">
        <v>4121.2</v>
      </c>
    </row>
    <row r="373" spans="1:6" x14ac:dyDescent="0.35">
      <c r="A373">
        <v>201704</v>
      </c>
      <c r="B373" t="s">
        <v>208</v>
      </c>
      <c r="C373" t="s">
        <v>13</v>
      </c>
      <c r="D373" t="s">
        <v>25</v>
      </c>
      <c r="E373" t="s">
        <v>22</v>
      </c>
      <c r="F373">
        <v>47783.8</v>
      </c>
    </row>
    <row r="374" spans="1:6" x14ac:dyDescent="0.35">
      <c r="A374">
        <v>201703</v>
      </c>
      <c r="B374" t="s">
        <v>208</v>
      </c>
      <c r="C374" t="s">
        <v>13</v>
      </c>
      <c r="D374" t="s">
        <v>21</v>
      </c>
      <c r="E374" t="s">
        <v>22</v>
      </c>
      <c r="F374">
        <v>66604.5</v>
      </c>
    </row>
    <row r="375" spans="1:6" x14ac:dyDescent="0.35">
      <c r="A375">
        <v>201702</v>
      </c>
      <c r="B375" t="s">
        <v>208</v>
      </c>
      <c r="C375" t="s">
        <v>13</v>
      </c>
      <c r="D375" t="s">
        <v>26</v>
      </c>
      <c r="E375" t="s">
        <v>22</v>
      </c>
      <c r="F375">
        <v>3550.6</v>
      </c>
    </row>
    <row r="376" spans="1:6" x14ac:dyDescent="0.35">
      <c r="A376">
        <v>201701</v>
      </c>
      <c r="B376" t="s">
        <v>208</v>
      </c>
      <c r="C376" t="s">
        <v>13</v>
      </c>
      <c r="D376" t="s">
        <v>23</v>
      </c>
      <c r="E376" t="s">
        <v>22</v>
      </c>
      <c r="F376">
        <v>141443.20000000001</v>
      </c>
    </row>
    <row r="377" spans="1:6" x14ac:dyDescent="0.35">
      <c r="A377">
        <v>201700</v>
      </c>
      <c r="B377" t="s">
        <v>208</v>
      </c>
      <c r="C377" t="s">
        <v>13</v>
      </c>
      <c r="D377" t="s">
        <v>24</v>
      </c>
      <c r="E377" t="s">
        <v>27</v>
      </c>
      <c r="F377">
        <v>0</v>
      </c>
    </row>
    <row r="378" spans="1:6" x14ac:dyDescent="0.35">
      <c r="A378">
        <v>201699</v>
      </c>
      <c r="B378" t="s">
        <v>208</v>
      </c>
      <c r="C378" t="s">
        <v>13</v>
      </c>
      <c r="D378" t="s">
        <v>21</v>
      </c>
      <c r="E378" t="s">
        <v>27</v>
      </c>
      <c r="F378">
        <v>0</v>
      </c>
    </row>
    <row r="379" spans="1:6" x14ac:dyDescent="0.35">
      <c r="A379">
        <v>201698</v>
      </c>
      <c r="B379" t="s">
        <v>208</v>
      </c>
      <c r="C379" t="s">
        <v>13</v>
      </c>
      <c r="D379" t="s">
        <v>26</v>
      </c>
      <c r="E379" t="s">
        <v>27</v>
      </c>
      <c r="F379">
        <v>0</v>
      </c>
    </row>
    <row r="380" spans="1:6" x14ac:dyDescent="0.35">
      <c r="A380">
        <v>201697</v>
      </c>
      <c r="B380" t="s">
        <v>208</v>
      </c>
      <c r="C380" t="s">
        <v>13</v>
      </c>
      <c r="D380" t="s">
        <v>23</v>
      </c>
      <c r="E380" t="s">
        <v>27</v>
      </c>
      <c r="F380">
        <v>96274.4</v>
      </c>
    </row>
    <row r="381" spans="1:6" x14ac:dyDescent="0.35">
      <c r="A381">
        <v>201696</v>
      </c>
      <c r="B381" t="s">
        <v>208</v>
      </c>
      <c r="C381" t="s">
        <v>12</v>
      </c>
      <c r="D381" t="s">
        <v>21</v>
      </c>
      <c r="E381" t="s">
        <v>27</v>
      </c>
      <c r="F381">
        <v>3639.8</v>
      </c>
    </row>
    <row r="382" spans="1:6" x14ac:dyDescent="0.35">
      <c r="A382">
        <v>201695</v>
      </c>
      <c r="B382" t="s">
        <v>208</v>
      </c>
      <c r="C382" t="s">
        <v>12</v>
      </c>
      <c r="D382" t="s">
        <v>23</v>
      </c>
      <c r="E382" t="s">
        <v>27</v>
      </c>
      <c r="F382">
        <v>74888.899999999994</v>
      </c>
    </row>
    <row r="383" spans="1:6" x14ac:dyDescent="0.35">
      <c r="A383">
        <v>201694</v>
      </c>
      <c r="B383" t="s">
        <v>208</v>
      </c>
      <c r="C383" t="s">
        <v>12</v>
      </c>
      <c r="D383" t="s">
        <v>24</v>
      </c>
      <c r="E383" t="s">
        <v>22</v>
      </c>
      <c r="F383">
        <v>63299.4</v>
      </c>
    </row>
    <row r="384" spans="1:6" x14ac:dyDescent="0.35">
      <c r="A384">
        <v>201693</v>
      </c>
      <c r="B384" t="s">
        <v>208</v>
      </c>
      <c r="C384" t="s">
        <v>12</v>
      </c>
      <c r="D384" t="s">
        <v>23</v>
      </c>
      <c r="E384" t="s">
        <v>22</v>
      </c>
      <c r="F384">
        <v>147760</v>
      </c>
    </row>
    <row r="385" spans="1:6" x14ac:dyDescent="0.35">
      <c r="A385">
        <v>201692</v>
      </c>
      <c r="B385" t="s">
        <v>208</v>
      </c>
      <c r="C385" t="s">
        <v>12</v>
      </c>
      <c r="D385" t="s">
        <v>21</v>
      </c>
      <c r="E385" t="s">
        <v>22</v>
      </c>
      <c r="F385">
        <v>123481.2</v>
      </c>
    </row>
    <row r="386" spans="1:6" x14ac:dyDescent="0.35">
      <c r="A386">
        <v>201734</v>
      </c>
      <c r="B386" t="s">
        <v>208</v>
      </c>
      <c r="C386" t="s">
        <v>11</v>
      </c>
      <c r="D386" t="s">
        <v>21</v>
      </c>
      <c r="E386" t="s">
        <v>22</v>
      </c>
      <c r="F386">
        <v>176815.3</v>
      </c>
    </row>
    <row r="387" spans="1:6" x14ac:dyDescent="0.35">
      <c r="A387">
        <v>201735</v>
      </c>
      <c r="B387" t="s">
        <v>209</v>
      </c>
      <c r="C387" t="s">
        <v>12</v>
      </c>
      <c r="D387" t="s">
        <v>21</v>
      </c>
      <c r="E387" t="s">
        <v>22</v>
      </c>
      <c r="F387">
        <v>112696.1</v>
      </c>
    </row>
    <row r="388" spans="1:6" x14ac:dyDescent="0.35">
      <c r="A388">
        <v>201736</v>
      </c>
      <c r="B388" t="s">
        <v>209</v>
      </c>
      <c r="C388" t="s">
        <v>12</v>
      </c>
      <c r="D388" t="s">
        <v>23</v>
      </c>
      <c r="E388" t="s">
        <v>22</v>
      </c>
      <c r="F388">
        <v>119770.1</v>
      </c>
    </row>
    <row r="389" spans="1:6" x14ac:dyDescent="0.35">
      <c r="A389">
        <v>201737</v>
      </c>
      <c r="B389" t="s">
        <v>209</v>
      </c>
      <c r="C389" t="s">
        <v>12</v>
      </c>
      <c r="D389" t="s">
        <v>24</v>
      </c>
      <c r="E389" t="s">
        <v>22</v>
      </c>
      <c r="F389">
        <v>64251.1</v>
      </c>
    </row>
    <row r="390" spans="1:6" x14ac:dyDescent="0.35">
      <c r="A390">
        <v>201738</v>
      </c>
      <c r="B390" t="s">
        <v>209</v>
      </c>
      <c r="C390" t="s">
        <v>12</v>
      </c>
      <c r="D390" t="s">
        <v>23</v>
      </c>
      <c r="E390" t="s">
        <v>27</v>
      </c>
      <c r="F390">
        <v>93390.9</v>
      </c>
    </row>
    <row r="391" spans="1:6" x14ac:dyDescent="0.35">
      <c r="A391">
        <v>201739</v>
      </c>
      <c r="B391" t="s">
        <v>209</v>
      </c>
      <c r="C391" t="s">
        <v>12</v>
      </c>
      <c r="D391" t="s">
        <v>21</v>
      </c>
      <c r="E391" t="s">
        <v>27</v>
      </c>
      <c r="F391">
        <v>0</v>
      </c>
    </row>
    <row r="392" spans="1:6" x14ac:dyDescent="0.35">
      <c r="A392">
        <v>201740</v>
      </c>
      <c r="B392" t="s">
        <v>209</v>
      </c>
      <c r="C392" t="s">
        <v>13</v>
      </c>
      <c r="D392" t="s">
        <v>23</v>
      </c>
      <c r="E392" t="s">
        <v>27</v>
      </c>
      <c r="F392">
        <v>69279.5</v>
      </c>
    </row>
    <row r="393" spans="1:6" x14ac:dyDescent="0.35">
      <c r="A393">
        <v>201741</v>
      </c>
      <c r="B393" t="s">
        <v>209</v>
      </c>
      <c r="C393" t="s">
        <v>13</v>
      </c>
      <c r="D393" t="s">
        <v>26</v>
      </c>
      <c r="E393" t="s">
        <v>27</v>
      </c>
      <c r="F393">
        <v>0</v>
      </c>
    </row>
    <row r="394" spans="1:6" x14ac:dyDescent="0.35">
      <c r="A394">
        <v>201742</v>
      </c>
      <c r="B394" t="s">
        <v>209</v>
      </c>
      <c r="C394" t="s">
        <v>13</v>
      </c>
      <c r="D394" t="s">
        <v>21</v>
      </c>
      <c r="E394" t="s">
        <v>27</v>
      </c>
      <c r="F394">
        <v>18140.5</v>
      </c>
    </row>
    <row r="395" spans="1:6" x14ac:dyDescent="0.35">
      <c r="A395">
        <v>201743</v>
      </c>
      <c r="B395" t="s">
        <v>209</v>
      </c>
      <c r="C395" t="s">
        <v>13</v>
      </c>
      <c r="D395" t="s">
        <v>24</v>
      </c>
      <c r="E395" t="s">
        <v>27</v>
      </c>
      <c r="F395">
        <v>0</v>
      </c>
    </row>
    <row r="396" spans="1:6" x14ac:dyDescent="0.35">
      <c r="A396">
        <v>201744</v>
      </c>
      <c r="B396" t="s">
        <v>209</v>
      </c>
      <c r="C396" t="s">
        <v>13</v>
      </c>
      <c r="D396" t="s">
        <v>23</v>
      </c>
      <c r="E396" t="s">
        <v>22</v>
      </c>
      <c r="F396">
        <v>176321.3</v>
      </c>
    </row>
    <row r="397" spans="1:6" x14ac:dyDescent="0.35">
      <c r="A397">
        <v>201745</v>
      </c>
      <c r="B397" t="s">
        <v>209</v>
      </c>
      <c r="C397" t="s">
        <v>13</v>
      </c>
      <c r="D397" t="s">
        <v>26</v>
      </c>
      <c r="E397" t="s">
        <v>22</v>
      </c>
      <c r="F397">
        <v>0</v>
      </c>
    </row>
    <row r="398" spans="1:6" x14ac:dyDescent="0.35">
      <c r="A398">
        <v>201746</v>
      </c>
      <c r="B398" t="s">
        <v>209</v>
      </c>
      <c r="C398" t="s">
        <v>13</v>
      </c>
      <c r="D398" t="s">
        <v>21</v>
      </c>
      <c r="E398" t="s">
        <v>22</v>
      </c>
      <c r="F398">
        <v>35348.800000000003</v>
      </c>
    </row>
    <row r="399" spans="1:6" x14ac:dyDescent="0.35">
      <c r="A399">
        <v>201747</v>
      </c>
      <c r="B399" t="s">
        <v>209</v>
      </c>
      <c r="C399" t="s">
        <v>13</v>
      </c>
      <c r="D399" t="s">
        <v>25</v>
      </c>
      <c r="E399" t="s">
        <v>22</v>
      </c>
      <c r="F399">
        <v>34707</v>
      </c>
    </row>
    <row r="400" spans="1:6" x14ac:dyDescent="0.35">
      <c r="A400">
        <v>201748</v>
      </c>
      <c r="B400" t="s">
        <v>209</v>
      </c>
      <c r="C400" t="s">
        <v>13</v>
      </c>
      <c r="D400" t="s">
        <v>24</v>
      </c>
      <c r="E400" t="s">
        <v>22</v>
      </c>
      <c r="F400">
        <v>3725.8</v>
      </c>
    </row>
    <row r="401" spans="1:6" x14ac:dyDescent="0.35">
      <c r="A401">
        <v>201749</v>
      </c>
      <c r="B401" t="s">
        <v>209</v>
      </c>
      <c r="C401" t="s">
        <v>10</v>
      </c>
      <c r="D401" t="s">
        <v>23</v>
      </c>
      <c r="E401" t="s">
        <v>27</v>
      </c>
      <c r="F401">
        <v>63698.15</v>
      </c>
    </row>
    <row r="402" spans="1:6" x14ac:dyDescent="0.35">
      <c r="A402">
        <v>201750</v>
      </c>
      <c r="B402" t="s">
        <v>209</v>
      </c>
      <c r="C402" t="s">
        <v>10</v>
      </c>
      <c r="D402" t="s">
        <v>26</v>
      </c>
      <c r="E402" t="s">
        <v>27</v>
      </c>
      <c r="F402">
        <v>134306.87</v>
      </c>
    </row>
    <row r="403" spans="1:6" x14ac:dyDescent="0.35">
      <c r="A403">
        <v>201751</v>
      </c>
      <c r="B403" t="s">
        <v>209</v>
      </c>
      <c r="C403" t="s">
        <v>10</v>
      </c>
      <c r="D403" t="s">
        <v>25</v>
      </c>
      <c r="E403" t="s">
        <v>27</v>
      </c>
      <c r="F403">
        <v>27293.88</v>
      </c>
    </row>
    <row r="404" spans="1:6" x14ac:dyDescent="0.35">
      <c r="A404">
        <v>201752</v>
      </c>
      <c r="B404" t="s">
        <v>209</v>
      </c>
      <c r="C404" t="s">
        <v>10</v>
      </c>
      <c r="D404" t="s">
        <v>23</v>
      </c>
      <c r="E404" t="s">
        <v>22</v>
      </c>
      <c r="F404">
        <v>56517.599999999999</v>
      </c>
    </row>
    <row r="405" spans="1:6" x14ac:dyDescent="0.35">
      <c r="A405">
        <v>201753</v>
      </c>
      <c r="B405" t="s">
        <v>209</v>
      </c>
      <c r="C405" t="s">
        <v>10</v>
      </c>
      <c r="D405" t="s">
        <v>26</v>
      </c>
      <c r="E405" t="s">
        <v>22</v>
      </c>
      <c r="F405">
        <v>237278.1</v>
      </c>
    </row>
    <row r="406" spans="1:6" x14ac:dyDescent="0.35">
      <c r="A406">
        <v>201754</v>
      </c>
      <c r="B406" t="s">
        <v>209</v>
      </c>
      <c r="C406" t="s">
        <v>10</v>
      </c>
      <c r="D406" t="s">
        <v>25</v>
      </c>
      <c r="E406" t="s">
        <v>22</v>
      </c>
      <c r="F406">
        <v>41022</v>
      </c>
    </row>
    <row r="407" spans="1:6" x14ac:dyDescent="0.35">
      <c r="A407">
        <v>201755</v>
      </c>
      <c r="B407" t="s">
        <v>209</v>
      </c>
      <c r="C407" t="s">
        <v>10</v>
      </c>
      <c r="D407" t="s">
        <v>113</v>
      </c>
      <c r="E407" t="s">
        <v>22</v>
      </c>
      <c r="F407">
        <v>15296.4</v>
      </c>
    </row>
    <row r="408" spans="1:6" x14ac:dyDescent="0.35">
      <c r="A408">
        <v>201756</v>
      </c>
      <c r="B408" t="s">
        <v>209</v>
      </c>
      <c r="C408" t="s">
        <v>9</v>
      </c>
      <c r="D408" t="s">
        <v>21</v>
      </c>
      <c r="E408" t="s">
        <v>27</v>
      </c>
      <c r="F408">
        <v>53757.5</v>
      </c>
    </row>
    <row r="409" spans="1:6" x14ac:dyDescent="0.35">
      <c r="A409">
        <v>201757</v>
      </c>
      <c r="B409" t="s">
        <v>209</v>
      </c>
      <c r="C409" t="s">
        <v>9</v>
      </c>
      <c r="D409" t="s">
        <v>24</v>
      </c>
      <c r="E409" t="s">
        <v>27</v>
      </c>
      <c r="F409">
        <v>0</v>
      </c>
    </row>
    <row r="410" spans="1:6" x14ac:dyDescent="0.35">
      <c r="A410">
        <v>201758</v>
      </c>
      <c r="B410" t="s">
        <v>209</v>
      </c>
      <c r="C410" t="s">
        <v>9</v>
      </c>
      <c r="D410" t="s">
        <v>26</v>
      </c>
      <c r="E410" t="s">
        <v>22</v>
      </c>
      <c r="F410">
        <v>0</v>
      </c>
    </row>
    <row r="411" spans="1:6" x14ac:dyDescent="0.35">
      <c r="A411">
        <v>201759</v>
      </c>
      <c r="B411" t="s">
        <v>209</v>
      </c>
      <c r="C411" t="s">
        <v>9</v>
      </c>
      <c r="D411" t="s">
        <v>21</v>
      </c>
      <c r="E411" t="s">
        <v>22</v>
      </c>
      <c r="F411">
        <v>100240.8</v>
      </c>
    </row>
    <row r="412" spans="1:6" x14ac:dyDescent="0.35">
      <c r="A412">
        <v>201760</v>
      </c>
      <c r="B412" t="s">
        <v>209</v>
      </c>
      <c r="C412" t="s">
        <v>9</v>
      </c>
      <c r="D412" t="s">
        <v>25</v>
      </c>
      <c r="E412" t="s">
        <v>22</v>
      </c>
      <c r="F412">
        <v>0</v>
      </c>
    </row>
    <row r="413" spans="1:6" x14ac:dyDescent="0.35">
      <c r="A413">
        <v>201761</v>
      </c>
      <c r="B413" t="s">
        <v>209</v>
      </c>
      <c r="C413" t="s">
        <v>9</v>
      </c>
      <c r="D413" t="s">
        <v>24</v>
      </c>
      <c r="E413" t="s">
        <v>22</v>
      </c>
      <c r="F413">
        <v>3006.82</v>
      </c>
    </row>
    <row r="414" spans="1:6" x14ac:dyDescent="0.35">
      <c r="A414">
        <v>201762</v>
      </c>
      <c r="B414" t="s">
        <v>209</v>
      </c>
      <c r="C414" t="s">
        <v>14</v>
      </c>
      <c r="D414" t="s">
        <v>23</v>
      </c>
      <c r="E414" t="s">
        <v>27</v>
      </c>
      <c r="F414">
        <v>3604</v>
      </c>
    </row>
    <row r="415" spans="1:6" x14ac:dyDescent="0.35">
      <c r="A415">
        <v>201763</v>
      </c>
      <c r="B415" t="s">
        <v>209</v>
      </c>
      <c r="C415" t="s">
        <v>9</v>
      </c>
      <c r="D415" t="s">
        <v>201</v>
      </c>
      <c r="E415" t="s">
        <v>22</v>
      </c>
      <c r="F415">
        <v>26175.39</v>
      </c>
    </row>
    <row r="416" spans="1:6" x14ac:dyDescent="0.35">
      <c r="A416">
        <v>201764</v>
      </c>
      <c r="B416" t="s">
        <v>209</v>
      </c>
      <c r="C416" t="s">
        <v>16</v>
      </c>
      <c r="D416" t="s">
        <v>21</v>
      </c>
      <c r="E416" t="s">
        <v>27</v>
      </c>
      <c r="F416">
        <v>22142.9</v>
      </c>
    </row>
    <row r="417" spans="1:6" x14ac:dyDescent="0.35">
      <c r="A417">
        <v>201765</v>
      </c>
      <c r="B417" t="s">
        <v>209</v>
      </c>
      <c r="C417" t="s">
        <v>16</v>
      </c>
      <c r="D417" t="s">
        <v>21</v>
      </c>
      <c r="E417" t="s">
        <v>22</v>
      </c>
      <c r="F417">
        <v>29603.599999999999</v>
      </c>
    </row>
    <row r="418" spans="1:6" x14ac:dyDescent="0.35">
      <c r="A418">
        <v>201766</v>
      </c>
      <c r="B418" t="s">
        <v>209</v>
      </c>
      <c r="C418" t="s">
        <v>11</v>
      </c>
      <c r="D418" t="s">
        <v>21</v>
      </c>
      <c r="E418" t="s">
        <v>27</v>
      </c>
      <c r="F418">
        <v>118652.9</v>
      </c>
    </row>
    <row r="419" spans="1:6" x14ac:dyDescent="0.35">
      <c r="A419">
        <v>201767</v>
      </c>
      <c r="B419" t="s">
        <v>209</v>
      </c>
      <c r="C419" t="s">
        <v>11</v>
      </c>
      <c r="D419" t="s">
        <v>21</v>
      </c>
      <c r="E419" t="s">
        <v>22</v>
      </c>
      <c r="F419">
        <v>185442.5</v>
      </c>
    </row>
    <row r="420" spans="1:6" x14ac:dyDescent="0.35">
      <c r="A420">
        <v>201768</v>
      </c>
      <c r="B420" t="s">
        <v>209</v>
      </c>
      <c r="C420" t="s">
        <v>15</v>
      </c>
      <c r="D420" t="s">
        <v>26</v>
      </c>
      <c r="E420" t="s">
        <v>27</v>
      </c>
      <c r="F420">
        <v>2760.8</v>
      </c>
    </row>
    <row r="421" spans="1:6" x14ac:dyDescent="0.35">
      <c r="A421">
        <v>201769</v>
      </c>
      <c r="B421" t="s">
        <v>209</v>
      </c>
      <c r="C421" t="s">
        <v>15</v>
      </c>
      <c r="D421" t="s">
        <v>25</v>
      </c>
      <c r="E421" t="s">
        <v>27</v>
      </c>
      <c r="F421">
        <v>96763.199999999997</v>
      </c>
    </row>
    <row r="422" spans="1:6" x14ac:dyDescent="0.35">
      <c r="A422">
        <v>201770</v>
      </c>
      <c r="B422" t="s">
        <v>209</v>
      </c>
      <c r="C422" t="s">
        <v>14</v>
      </c>
      <c r="D422" t="s">
        <v>23</v>
      </c>
      <c r="E422" t="s">
        <v>22</v>
      </c>
      <c r="F422">
        <v>3743.3</v>
      </c>
    </row>
    <row r="423" spans="1:6" x14ac:dyDescent="0.35">
      <c r="A423">
        <v>201771</v>
      </c>
      <c r="B423" t="s">
        <v>209</v>
      </c>
      <c r="C423" t="s">
        <v>15</v>
      </c>
      <c r="D423" t="s">
        <v>26</v>
      </c>
      <c r="E423" t="s">
        <v>22</v>
      </c>
      <c r="F423">
        <v>5501.2</v>
      </c>
    </row>
    <row r="424" spans="1:6" x14ac:dyDescent="0.35">
      <c r="A424">
        <v>201772</v>
      </c>
      <c r="B424" t="s">
        <v>209</v>
      </c>
      <c r="C424" t="s">
        <v>15</v>
      </c>
      <c r="D424" t="s">
        <v>25</v>
      </c>
      <c r="E424" t="s">
        <v>22</v>
      </c>
      <c r="F424">
        <v>230170.4</v>
      </c>
    </row>
    <row r="425" spans="1:6" x14ac:dyDescent="0.35">
      <c r="A425">
        <v>201773</v>
      </c>
      <c r="B425" t="s">
        <v>209</v>
      </c>
      <c r="C425" t="s">
        <v>17</v>
      </c>
      <c r="D425" t="s">
        <v>21</v>
      </c>
      <c r="E425" t="s">
        <v>101</v>
      </c>
      <c r="F425">
        <v>12273.8</v>
      </c>
    </row>
    <row r="426" spans="1:6" x14ac:dyDescent="0.35">
      <c r="A426">
        <v>201774</v>
      </c>
      <c r="B426" t="s">
        <v>209</v>
      </c>
      <c r="C426" t="s">
        <v>17</v>
      </c>
      <c r="D426" t="s">
        <v>24</v>
      </c>
      <c r="E426" t="s">
        <v>101</v>
      </c>
      <c r="F426">
        <v>12186.4</v>
      </c>
    </row>
    <row r="427" spans="1:6" x14ac:dyDescent="0.35">
      <c r="A427">
        <v>201775</v>
      </c>
      <c r="B427" t="s">
        <v>209</v>
      </c>
      <c r="C427" t="s">
        <v>17</v>
      </c>
      <c r="D427" t="s">
        <v>23</v>
      </c>
      <c r="E427" t="s">
        <v>101</v>
      </c>
      <c r="F427">
        <v>52976.1</v>
      </c>
    </row>
    <row r="428" spans="1:6" x14ac:dyDescent="0.35">
      <c r="A428">
        <v>201776</v>
      </c>
      <c r="B428" t="s">
        <v>209</v>
      </c>
      <c r="C428" t="s">
        <v>10</v>
      </c>
      <c r="D428" t="s">
        <v>210</v>
      </c>
      <c r="E428" t="s">
        <v>22</v>
      </c>
      <c r="F428">
        <v>45436.7</v>
      </c>
    </row>
    <row r="429" spans="1:6" x14ac:dyDescent="0.35">
      <c r="A429">
        <v>201777</v>
      </c>
      <c r="B429" t="s">
        <v>209</v>
      </c>
      <c r="C429" t="s">
        <v>15</v>
      </c>
      <c r="D429" t="s">
        <v>23</v>
      </c>
      <c r="E429" t="s">
        <v>22</v>
      </c>
      <c r="F429">
        <v>3023.6</v>
      </c>
    </row>
    <row r="430" spans="1:6" x14ac:dyDescent="0.35">
      <c r="A430">
        <v>201778</v>
      </c>
      <c r="B430" t="s">
        <v>184</v>
      </c>
      <c r="C430" t="s">
        <v>24</v>
      </c>
      <c r="D430" t="s">
        <v>21</v>
      </c>
      <c r="E430" t="s">
        <v>27</v>
      </c>
      <c r="F430">
        <v>7644.1</v>
      </c>
    </row>
    <row r="431" spans="1:6" x14ac:dyDescent="0.35">
      <c r="A431">
        <v>201779</v>
      </c>
      <c r="B431" t="s">
        <v>208</v>
      </c>
      <c r="C431" t="s">
        <v>10</v>
      </c>
      <c r="D431" t="s">
        <v>203</v>
      </c>
      <c r="E431" t="s">
        <v>22</v>
      </c>
      <c r="F431">
        <v>19400.099999999999</v>
      </c>
    </row>
    <row r="432" spans="1:6" x14ac:dyDescent="0.35">
      <c r="A432">
        <v>201780</v>
      </c>
      <c r="B432" t="s">
        <v>208</v>
      </c>
      <c r="C432" t="s">
        <v>10</v>
      </c>
      <c r="D432" t="s">
        <v>205</v>
      </c>
      <c r="E432" t="s">
        <v>22</v>
      </c>
      <c r="F432">
        <v>7503.5</v>
      </c>
    </row>
    <row r="433" spans="1:6" x14ac:dyDescent="0.35">
      <c r="A433">
        <v>201781</v>
      </c>
      <c r="B433" t="s">
        <v>208</v>
      </c>
      <c r="C433" t="s">
        <v>10</v>
      </c>
      <c r="D433" t="s">
        <v>204</v>
      </c>
      <c r="E433" t="s">
        <v>22</v>
      </c>
      <c r="F433">
        <v>16055.8</v>
      </c>
    </row>
    <row r="434" spans="1:6" x14ac:dyDescent="0.35">
      <c r="A434">
        <v>201782</v>
      </c>
      <c r="B434" t="s">
        <v>208</v>
      </c>
      <c r="C434" t="s">
        <v>10</v>
      </c>
      <c r="D434" t="s">
        <v>108</v>
      </c>
      <c r="E434" t="s">
        <v>22</v>
      </c>
      <c r="F434">
        <v>15803.3</v>
      </c>
    </row>
    <row r="435" spans="1:6" x14ac:dyDescent="0.35">
      <c r="A435">
        <v>201783</v>
      </c>
      <c r="B435" t="s">
        <v>209</v>
      </c>
      <c r="C435" t="s">
        <v>10</v>
      </c>
      <c r="D435" t="s">
        <v>204</v>
      </c>
      <c r="E435" t="s">
        <v>22</v>
      </c>
      <c r="F435">
        <v>3999.4</v>
      </c>
    </row>
    <row r="436" spans="1:6" x14ac:dyDescent="0.35">
      <c r="A436">
        <v>201784</v>
      </c>
      <c r="B436" t="s">
        <v>199</v>
      </c>
      <c r="C436" t="s">
        <v>9</v>
      </c>
      <c r="D436" t="s">
        <v>108</v>
      </c>
      <c r="E436" t="s">
        <v>22</v>
      </c>
      <c r="F436">
        <v>4033</v>
      </c>
    </row>
    <row r="437" spans="1:6" x14ac:dyDescent="0.35">
      <c r="A437">
        <v>201785</v>
      </c>
      <c r="B437" t="s">
        <v>199</v>
      </c>
      <c r="C437" t="s">
        <v>10</v>
      </c>
      <c r="D437" t="s">
        <v>113</v>
      </c>
      <c r="E437" t="s">
        <v>22</v>
      </c>
      <c r="F437">
        <v>7872.9</v>
      </c>
    </row>
    <row r="438" spans="1:6" x14ac:dyDescent="0.35">
      <c r="A438">
        <v>201786</v>
      </c>
      <c r="B438" t="s">
        <v>199</v>
      </c>
      <c r="C438" t="s">
        <v>10</v>
      </c>
      <c r="D438" t="s">
        <v>108</v>
      </c>
      <c r="E438" t="s">
        <v>22</v>
      </c>
      <c r="F438">
        <v>15896.1</v>
      </c>
    </row>
    <row r="439" spans="1:6" x14ac:dyDescent="0.35">
      <c r="A439">
        <v>201787</v>
      </c>
      <c r="B439" t="s">
        <v>199</v>
      </c>
      <c r="C439" t="s">
        <v>10</v>
      </c>
      <c r="D439" t="s">
        <v>205</v>
      </c>
      <c r="E439" t="s">
        <v>22</v>
      </c>
      <c r="F439">
        <v>14800.3</v>
      </c>
    </row>
    <row r="440" spans="1:6" x14ac:dyDescent="0.35">
      <c r="A440">
        <v>201788</v>
      </c>
      <c r="B440" t="s">
        <v>199</v>
      </c>
      <c r="C440" t="s">
        <v>10</v>
      </c>
      <c r="D440" t="s">
        <v>127</v>
      </c>
      <c r="E440" t="s">
        <v>22</v>
      </c>
      <c r="F440">
        <v>8548.7999999999993</v>
      </c>
    </row>
    <row r="441" spans="1:6" x14ac:dyDescent="0.35">
      <c r="A441">
        <v>201861</v>
      </c>
      <c r="B441" t="s">
        <v>211</v>
      </c>
      <c r="C441" t="s">
        <v>16</v>
      </c>
      <c r="D441" t="s">
        <v>21</v>
      </c>
      <c r="E441" t="s">
        <v>27</v>
      </c>
      <c r="F441">
        <v>29782.6</v>
      </c>
    </row>
    <row r="442" spans="1:6" x14ac:dyDescent="0.35">
      <c r="A442">
        <v>201862</v>
      </c>
      <c r="B442" t="s">
        <v>211</v>
      </c>
      <c r="C442" t="s">
        <v>16</v>
      </c>
      <c r="D442" t="s">
        <v>21</v>
      </c>
      <c r="E442" t="s">
        <v>22</v>
      </c>
      <c r="F442">
        <v>37044.1</v>
      </c>
    </row>
    <row r="443" spans="1:6" x14ac:dyDescent="0.35">
      <c r="A443">
        <v>201860</v>
      </c>
      <c r="B443" t="s">
        <v>211</v>
      </c>
      <c r="C443" t="s">
        <v>9</v>
      </c>
      <c r="D443" t="s">
        <v>201</v>
      </c>
      <c r="E443" t="s">
        <v>22</v>
      </c>
      <c r="F443">
        <v>25434.400000000001</v>
      </c>
    </row>
    <row r="444" spans="1:6" x14ac:dyDescent="0.35">
      <c r="A444">
        <v>201859</v>
      </c>
      <c r="B444" t="s">
        <v>211</v>
      </c>
      <c r="C444" t="s">
        <v>15</v>
      </c>
      <c r="D444" t="s">
        <v>23</v>
      </c>
      <c r="E444" t="s">
        <v>27</v>
      </c>
      <c r="F444">
        <v>1244</v>
      </c>
    </row>
    <row r="445" spans="1:6" x14ac:dyDescent="0.35">
      <c r="A445">
        <v>201858</v>
      </c>
      <c r="B445" t="s">
        <v>211</v>
      </c>
      <c r="C445" t="s">
        <v>9</v>
      </c>
      <c r="D445" t="s">
        <v>24</v>
      </c>
      <c r="E445" t="s">
        <v>22</v>
      </c>
      <c r="F445">
        <v>0</v>
      </c>
    </row>
    <row r="446" spans="1:6" x14ac:dyDescent="0.35">
      <c r="A446">
        <v>201843</v>
      </c>
      <c r="B446" t="s">
        <v>211</v>
      </c>
      <c r="C446" t="s">
        <v>13</v>
      </c>
      <c r="D446" t="s">
        <v>21</v>
      </c>
      <c r="E446" t="s">
        <v>22</v>
      </c>
      <c r="F446">
        <v>29043.9</v>
      </c>
    </row>
    <row r="447" spans="1:6" x14ac:dyDescent="0.35">
      <c r="A447">
        <v>201844</v>
      </c>
      <c r="B447" t="s">
        <v>211</v>
      </c>
      <c r="C447" t="s">
        <v>13</v>
      </c>
      <c r="D447" t="s">
        <v>25</v>
      </c>
      <c r="E447" t="s">
        <v>22</v>
      </c>
      <c r="F447">
        <v>41347.800000000003</v>
      </c>
    </row>
    <row r="448" spans="1:6" x14ac:dyDescent="0.35">
      <c r="A448">
        <v>201845</v>
      </c>
      <c r="B448" t="s">
        <v>211</v>
      </c>
      <c r="C448" t="s">
        <v>13</v>
      </c>
      <c r="D448" t="s">
        <v>24</v>
      </c>
      <c r="E448" t="s">
        <v>22</v>
      </c>
      <c r="F448">
        <v>0</v>
      </c>
    </row>
    <row r="449" spans="1:6" x14ac:dyDescent="0.35">
      <c r="A449">
        <v>201846</v>
      </c>
      <c r="B449" t="s">
        <v>211</v>
      </c>
      <c r="C449" t="s">
        <v>10</v>
      </c>
      <c r="D449" t="s">
        <v>23</v>
      </c>
      <c r="E449" t="s">
        <v>27</v>
      </c>
      <c r="F449">
        <v>72153.5</v>
      </c>
    </row>
    <row r="450" spans="1:6" x14ac:dyDescent="0.35">
      <c r="A450">
        <v>201847</v>
      </c>
      <c r="B450" t="s">
        <v>211</v>
      </c>
      <c r="C450" t="s">
        <v>10</v>
      </c>
      <c r="D450" t="s">
        <v>26</v>
      </c>
      <c r="E450" t="s">
        <v>27</v>
      </c>
      <c r="F450">
        <v>112575.1</v>
      </c>
    </row>
    <row r="451" spans="1:6" x14ac:dyDescent="0.35">
      <c r="A451">
        <v>201848</v>
      </c>
      <c r="B451" t="s">
        <v>211</v>
      </c>
      <c r="C451" t="s">
        <v>10</v>
      </c>
      <c r="D451" t="s">
        <v>25</v>
      </c>
      <c r="E451" t="s">
        <v>27</v>
      </c>
      <c r="F451">
        <v>15903.21</v>
      </c>
    </row>
    <row r="452" spans="1:6" x14ac:dyDescent="0.35">
      <c r="A452">
        <v>201849</v>
      </c>
      <c r="B452" t="s">
        <v>211</v>
      </c>
      <c r="C452" t="s">
        <v>10</v>
      </c>
      <c r="D452" t="s">
        <v>23</v>
      </c>
      <c r="E452" t="s">
        <v>22</v>
      </c>
      <c r="F452">
        <v>61890.9</v>
      </c>
    </row>
    <row r="453" spans="1:6" x14ac:dyDescent="0.35">
      <c r="A453">
        <v>201850</v>
      </c>
      <c r="B453" t="s">
        <v>211</v>
      </c>
      <c r="C453" t="s">
        <v>10</v>
      </c>
      <c r="D453" t="s">
        <v>26</v>
      </c>
      <c r="E453" t="s">
        <v>22</v>
      </c>
      <c r="F453">
        <v>216193.9</v>
      </c>
    </row>
    <row r="454" spans="1:6" x14ac:dyDescent="0.35">
      <c r="A454">
        <v>201851</v>
      </c>
      <c r="B454" t="s">
        <v>211</v>
      </c>
      <c r="C454" t="s">
        <v>10</v>
      </c>
      <c r="D454" t="s">
        <v>25</v>
      </c>
      <c r="E454" t="s">
        <v>22</v>
      </c>
      <c r="F454">
        <v>18693.099999999999</v>
      </c>
    </row>
    <row r="455" spans="1:6" x14ac:dyDescent="0.35">
      <c r="A455">
        <v>201852</v>
      </c>
      <c r="B455" t="s">
        <v>211</v>
      </c>
      <c r="C455" t="s">
        <v>10</v>
      </c>
      <c r="D455" t="s">
        <v>203</v>
      </c>
      <c r="E455" t="s">
        <v>22</v>
      </c>
      <c r="F455">
        <v>7950.61</v>
      </c>
    </row>
    <row r="456" spans="1:6" x14ac:dyDescent="0.35">
      <c r="A456">
        <v>201853</v>
      </c>
      <c r="B456" t="s">
        <v>211</v>
      </c>
      <c r="C456" t="s">
        <v>9</v>
      </c>
      <c r="D456" t="s">
        <v>21</v>
      </c>
      <c r="E456" t="s">
        <v>27</v>
      </c>
      <c r="F456">
        <v>66411.5</v>
      </c>
    </row>
    <row r="457" spans="1:6" x14ac:dyDescent="0.35">
      <c r="A457">
        <v>201854</v>
      </c>
      <c r="B457" t="s">
        <v>211</v>
      </c>
      <c r="C457" t="s">
        <v>9</v>
      </c>
      <c r="D457" t="s">
        <v>23</v>
      </c>
      <c r="E457" t="s">
        <v>27</v>
      </c>
      <c r="F457">
        <v>7585</v>
      </c>
    </row>
    <row r="458" spans="1:6" x14ac:dyDescent="0.35">
      <c r="A458">
        <v>201855</v>
      </c>
      <c r="B458" t="s">
        <v>211</v>
      </c>
      <c r="C458" t="s">
        <v>9</v>
      </c>
      <c r="D458" t="s">
        <v>26</v>
      </c>
      <c r="E458" t="s">
        <v>22</v>
      </c>
      <c r="F458">
        <v>0</v>
      </c>
    </row>
    <row r="459" spans="1:6" x14ac:dyDescent="0.35">
      <c r="A459">
        <v>201856</v>
      </c>
      <c r="B459" t="s">
        <v>211</v>
      </c>
      <c r="C459" t="s">
        <v>9</v>
      </c>
      <c r="D459" t="s">
        <v>21</v>
      </c>
      <c r="E459" t="s">
        <v>22</v>
      </c>
      <c r="F459">
        <v>75885.100000000006</v>
      </c>
    </row>
    <row r="460" spans="1:6" x14ac:dyDescent="0.35">
      <c r="A460">
        <v>201857</v>
      </c>
      <c r="B460" t="s">
        <v>211</v>
      </c>
      <c r="C460" t="s">
        <v>9</v>
      </c>
      <c r="D460" t="s">
        <v>25</v>
      </c>
      <c r="E460" t="s">
        <v>22</v>
      </c>
      <c r="F460">
        <v>0</v>
      </c>
    </row>
    <row r="461" spans="1:6" x14ac:dyDescent="0.35">
      <c r="A461">
        <v>201842</v>
      </c>
      <c r="B461" t="s">
        <v>211</v>
      </c>
      <c r="C461" t="s">
        <v>13</v>
      </c>
      <c r="D461" t="s">
        <v>26</v>
      </c>
      <c r="E461" t="s">
        <v>22</v>
      </c>
      <c r="F461">
        <v>0</v>
      </c>
    </row>
    <row r="462" spans="1:6" x14ac:dyDescent="0.35">
      <c r="A462">
        <v>201832</v>
      </c>
      <c r="B462" t="s">
        <v>211</v>
      </c>
      <c r="C462" t="s">
        <v>12</v>
      </c>
      <c r="D462" t="s">
        <v>21</v>
      </c>
      <c r="E462" t="s">
        <v>22</v>
      </c>
      <c r="F462">
        <v>114517.7</v>
      </c>
    </row>
    <row r="463" spans="1:6" x14ac:dyDescent="0.35">
      <c r="A463">
        <v>201833</v>
      </c>
      <c r="B463" t="s">
        <v>211</v>
      </c>
      <c r="C463" t="s">
        <v>12</v>
      </c>
      <c r="D463" t="s">
        <v>23</v>
      </c>
      <c r="E463" t="s">
        <v>22</v>
      </c>
      <c r="F463">
        <v>102105.8</v>
      </c>
    </row>
    <row r="464" spans="1:6" x14ac:dyDescent="0.35">
      <c r="A464">
        <v>201834</v>
      </c>
      <c r="B464" t="s">
        <v>211</v>
      </c>
      <c r="C464" t="s">
        <v>12</v>
      </c>
      <c r="D464" t="s">
        <v>24</v>
      </c>
      <c r="E464" t="s">
        <v>22</v>
      </c>
      <c r="F464">
        <v>57274.2</v>
      </c>
    </row>
    <row r="465" spans="1:6" x14ac:dyDescent="0.35">
      <c r="A465">
        <v>201835</v>
      </c>
      <c r="B465" t="s">
        <v>211</v>
      </c>
      <c r="C465" t="s">
        <v>12</v>
      </c>
      <c r="D465" t="s">
        <v>23</v>
      </c>
      <c r="E465" t="s">
        <v>27</v>
      </c>
      <c r="F465">
        <v>86851.6</v>
      </c>
    </row>
    <row r="466" spans="1:6" x14ac:dyDescent="0.35">
      <c r="A466">
        <v>201836</v>
      </c>
      <c r="B466" t="s">
        <v>211</v>
      </c>
      <c r="C466" t="s">
        <v>12</v>
      </c>
      <c r="D466" t="s">
        <v>21</v>
      </c>
      <c r="E466" t="s">
        <v>27</v>
      </c>
      <c r="F466">
        <v>0</v>
      </c>
    </row>
    <row r="467" spans="1:6" x14ac:dyDescent="0.35">
      <c r="A467">
        <v>201837</v>
      </c>
      <c r="B467" t="s">
        <v>211</v>
      </c>
      <c r="C467" t="s">
        <v>13</v>
      </c>
      <c r="D467" t="s">
        <v>23</v>
      </c>
      <c r="E467" t="s">
        <v>27</v>
      </c>
      <c r="F467">
        <v>79132.5</v>
      </c>
    </row>
    <row r="468" spans="1:6" x14ac:dyDescent="0.35">
      <c r="A468">
        <v>201838</v>
      </c>
      <c r="B468" t="s">
        <v>211</v>
      </c>
      <c r="C468" t="s">
        <v>13</v>
      </c>
      <c r="D468" t="s">
        <v>26</v>
      </c>
      <c r="E468" t="s">
        <v>27</v>
      </c>
      <c r="F468">
        <v>0</v>
      </c>
    </row>
    <row r="469" spans="1:6" x14ac:dyDescent="0.35">
      <c r="A469">
        <v>201839</v>
      </c>
      <c r="B469" t="s">
        <v>211</v>
      </c>
      <c r="C469" t="s">
        <v>13</v>
      </c>
      <c r="D469" t="s">
        <v>21</v>
      </c>
      <c r="E469" t="s">
        <v>27</v>
      </c>
      <c r="F469">
        <v>0</v>
      </c>
    </row>
    <row r="470" spans="1:6" x14ac:dyDescent="0.35">
      <c r="A470">
        <v>201840</v>
      </c>
      <c r="B470" t="s">
        <v>211</v>
      </c>
      <c r="C470" t="s">
        <v>13</v>
      </c>
      <c r="D470" t="s">
        <v>24</v>
      </c>
      <c r="E470" t="s">
        <v>27</v>
      </c>
      <c r="F470">
        <v>0</v>
      </c>
    </row>
    <row r="471" spans="1:6" x14ac:dyDescent="0.35">
      <c r="A471">
        <v>201841</v>
      </c>
      <c r="B471" t="s">
        <v>211</v>
      </c>
      <c r="C471" t="s">
        <v>13</v>
      </c>
      <c r="D471" t="s">
        <v>23</v>
      </c>
      <c r="E471" t="s">
        <v>22</v>
      </c>
      <c r="F471">
        <v>98744.2</v>
      </c>
    </row>
    <row r="472" spans="1:6" x14ac:dyDescent="0.35">
      <c r="A472">
        <v>201863</v>
      </c>
      <c r="B472" t="s">
        <v>211</v>
      </c>
      <c r="C472" t="s">
        <v>11</v>
      </c>
      <c r="D472" t="s">
        <v>21</v>
      </c>
      <c r="E472" t="s">
        <v>27</v>
      </c>
      <c r="F472">
        <v>118876.2</v>
      </c>
    </row>
    <row r="473" spans="1:6" x14ac:dyDescent="0.35">
      <c r="A473">
        <v>201864</v>
      </c>
      <c r="B473" t="s">
        <v>211</v>
      </c>
      <c r="C473" t="s">
        <v>11</v>
      </c>
      <c r="D473" t="s">
        <v>21</v>
      </c>
      <c r="E473" t="s">
        <v>22</v>
      </c>
      <c r="F473">
        <v>130194.2</v>
      </c>
    </row>
    <row r="474" spans="1:6" x14ac:dyDescent="0.35">
      <c r="A474">
        <v>201865</v>
      </c>
      <c r="B474" t="s">
        <v>211</v>
      </c>
      <c r="C474" t="s">
        <v>15</v>
      </c>
      <c r="D474" t="s">
        <v>26</v>
      </c>
      <c r="E474" t="s">
        <v>27</v>
      </c>
      <c r="F474">
        <v>1038.2</v>
      </c>
    </row>
    <row r="475" spans="1:6" x14ac:dyDescent="0.35">
      <c r="A475">
        <v>201866</v>
      </c>
      <c r="B475" t="s">
        <v>211</v>
      </c>
      <c r="C475" t="s">
        <v>15</v>
      </c>
      <c r="D475" t="s">
        <v>25</v>
      </c>
      <c r="E475" t="s">
        <v>27</v>
      </c>
      <c r="F475">
        <v>85431.4</v>
      </c>
    </row>
    <row r="476" spans="1:6" x14ac:dyDescent="0.35">
      <c r="A476">
        <v>201867</v>
      </c>
      <c r="B476" t="s">
        <v>211</v>
      </c>
      <c r="C476" t="s">
        <v>15</v>
      </c>
      <c r="D476" t="s">
        <v>23</v>
      </c>
      <c r="E476" t="s">
        <v>22</v>
      </c>
      <c r="F476">
        <v>12896.7</v>
      </c>
    </row>
    <row r="477" spans="1:6" x14ac:dyDescent="0.35">
      <c r="A477">
        <v>201868</v>
      </c>
      <c r="B477" t="s">
        <v>211</v>
      </c>
      <c r="C477" t="s">
        <v>15</v>
      </c>
      <c r="D477" t="s">
        <v>26</v>
      </c>
      <c r="E477" t="s">
        <v>22</v>
      </c>
      <c r="F477">
        <v>2868.2</v>
      </c>
    </row>
    <row r="478" spans="1:6" x14ac:dyDescent="0.35">
      <c r="A478">
        <v>201869</v>
      </c>
      <c r="B478" t="s">
        <v>211</v>
      </c>
      <c r="C478" t="s">
        <v>15</v>
      </c>
      <c r="D478" t="s">
        <v>25</v>
      </c>
      <c r="E478" t="s">
        <v>22</v>
      </c>
      <c r="F478">
        <v>212992.4</v>
      </c>
    </row>
    <row r="479" spans="1:6" x14ac:dyDescent="0.35">
      <c r="A479">
        <v>201870</v>
      </c>
      <c r="B479" t="s">
        <v>211</v>
      </c>
      <c r="C479" t="s">
        <v>17</v>
      </c>
      <c r="D479" t="s">
        <v>21</v>
      </c>
      <c r="E479" t="s">
        <v>101</v>
      </c>
      <c r="F479">
        <v>8127.8</v>
      </c>
    </row>
    <row r="480" spans="1:6" x14ac:dyDescent="0.35">
      <c r="A480">
        <v>201871</v>
      </c>
      <c r="B480" t="s">
        <v>211</v>
      </c>
      <c r="C480" t="s">
        <v>17</v>
      </c>
      <c r="D480" t="s">
        <v>24</v>
      </c>
      <c r="E480" t="s">
        <v>101</v>
      </c>
      <c r="F480">
        <v>4102.3</v>
      </c>
    </row>
    <row r="481" spans="1:6" x14ac:dyDescent="0.35">
      <c r="A481">
        <v>201872</v>
      </c>
      <c r="B481" t="s">
        <v>211</v>
      </c>
      <c r="C481" t="s">
        <v>17</v>
      </c>
      <c r="D481" t="s">
        <v>23</v>
      </c>
      <c r="E481" t="s">
        <v>101</v>
      </c>
      <c r="F481">
        <v>52548.3</v>
      </c>
    </row>
    <row r="482" spans="1:6" x14ac:dyDescent="0.35">
      <c r="A482">
        <v>201873</v>
      </c>
      <c r="B482" t="s">
        <v>211</v>
      </c>
      <c r="C482" t="s">
        <v>10</v>
      </c>
      <c r="D482" t="s">
        <v>210</v>
      </c>
      <c r="E482" t="s">
        <v>22</v>
      </c>
      <c r="F482">
        <v>42581.5</v>
      </c>
    </row>
    <row r="483" spans="1:6" x14ac:dyDescent="0.35">
      <c r="A483">
        <v>201874</v>
      </c>
      <c r="B483" t="s">
        <v>211</v>
      </c>
      <c r="C483" t="s">
        <v>10</v>
      </c>
      <c r="D483" t="s">
        <v>113</v>
      </c>
      <c r="E483" t="s">
        <v>22</v>
      </c>
      <c r="F483">
        <v>3939</v>
      </c>
    </row>
    <row r="484" spans="1:6" x14ac:dyDescent="0.35">
      <c r="A484">
        <v>201875</v>
      </c>
      <c r="B484" t="s">
        <v>211</v>
      </c>
      <c r="C484" t="s">
        <v>10</v>
      </c>
      <c r="D484" t="s">
        <v>204</v>
      </c>
      <c r="E484" t="s">
        <v>22</v>
      </c>
      <c r="F484">
        <v>19109.71</v>
      </c>
    </row>
    <row r="485" spans="1:6" x14ac:dyDescent="0.35">
      <c r="A485">
        <v>201947</v>
      </c>
      <c r="B485" t="s">
        <v>212</v>
      </c>
      <c r="C485" t="s">
        <v>16</v>
      </c>
      <c r="D485" t="s">
        <v>21</v>
      </c>
      <c r="E485" t="s">
        <v>27</v>
      </c>
      <c r="F485">
        <v>40347.9</v>
      </c>
    </row>
    <row r="486" spans="1:6" x14ac:dyDescent="0.35">
      <c r="A486">
        <v>201948</v>
      </c>
      <c r="B486" t="s">
        <v>212</v>
      </c>
      <c r="C486" t="s">
        <v>16</v>
      </c>
      <c r="D486" t="s">
        <v>21</v>
      </c>
      <c r="E486" t="s">
        <v>22</v>
      </c>
      <c r="F486">
        <v>44209.7</v>
      </c>
    </row>
    <row r="487" spans="1:6" x14ac:dyDescent="0.35">
      <c r="A487">
        <v>201946</v>
      </c>
      <c r="B487" t="s">
        <v>212</v>
      </c>
      <c r="C487" t="s">
        <v>9</v>
      </c>
      <c r="D487" t="s">
        <v>201</v>
      </c>
      <c r="E487" t="s">
        <v>22</v>
      </c>
      <c r="F487">
        <v>19103.22</v>
      </c>
    </row>
    <row r="488" spans="1:6" x14ac:dyDescent="0.35">
      <c r="A488">
        <v>201945</v>
      </c>
      <c r="B488" t="s">
        <v>212</v>
      </c>
      <c r="C488" t="s">
        <v>15</v>
      </c>
      <c r="D488" t="s">
        <v>23</v>
      </c>
      <c r="E488" t="s">
        <v>27</v>
      </c>
      <c r="F488">
        <v>1502.8</v>
      </c>
    </row>
    <row r="489" spans="1:6" x14ac:dyDescent="0.35">
      <c r="A489">
        <v>201944</v>
      </c>
      <c r="B489" t="s">
        <v>212</v>
      </c>
      <c r="C489" t="s">
        <v>9</v>
      </c>
      <c r="D489" t="s">
        <v>24</v>
      </c>
      <c r="E489" t="s">
        <v>22</v>
      </c>
      <c r="F489">
        <v>0</v>
      </c>
    </row>
    <row r="490" spans="1:6" x14ac:dyDescent="0.35">
      <c r="A490">
        <v>201928</v>
      </c>
      <c r="B490" t="s">
        <v>212</v>
      </c>
      <c r="C490" t="s">
        <v>13</v>
      </c>
      <c r="D490" t="s">
        <v>26</v>
      </c>
      <c r="E490" t="s">
        <v>22</v>
      </c>
      <c r="F490">
        <v>0</v>
      </c>
    </row>
    <row r="491" spans="1:6" x14ac:dyDescent="0.35">
      <c r="A491">
        <v>201929</v>
      </c>
      <c r="B491" t="s">
        <v>212</v>
      </c>
      <c r="C491" t="s">
        <v>13</v>
      </c>
      <c r="D491" t="s">
        <v>21</v>
      </c>
      <c r="E491" t="s">
        <v>22</v>
      </c>
      <c r="F491">
        <v>25828.7</v>
      </c>
    </row>
    <row r="492" spans="1:6" x14ac:dyDescent="0.35">
      <c r="A492">
        <v>201930</v>
      </c>
      <c r="B492" t="s">
        <v>212</v>
      </c>
      <c r="C492" t="s">
        <v>13</v>
      </c>
      <c r="D492" t="s">
        <v>25</v>
      </c>
      <c r="E492" t="s">
        <v>22</v>
      </c>
      <c r="F492">
        <v>29503.9</v>
      </c>
    </row>
    <row r="493" spans="1:6" x14ac:dyDescent="0.35">
      <c r="A493">
        <v>201931</v>
      </c>
      <c r="B493" t="s">
        <v>212</v>
      </c>
      <c r="C493" t="s">
        <v>13</v>
      </c>
      <c r="D493" t="s">
        <v>24</v>
      </c>
      <c r="E493" t="s">
        <v>22</v>
      </c>
      <c r="F493">
        <v>0</v>
      </c>
    </row>
    <row r="494" spans="1:6" x14ac:dyDescent="0.35">
      <c r="A494">
        <v>201932</v>
      </c>
      <c r="B494" t="s">
        <v>212</v>
      </c>
      <c r="C494" t="s">
        <v>10</v>
      </c>
      <c r="D494" t="s">
        <v>23</v>
      </c>
      <c r="E494" t="s">
        <v>27</v>
      </c>
      <c r="F494">
        <v>70274.399999999994</v>
      </c>
    </row>
    <row r="495" spans="1:6" x14ac:dyDescent="0.35">
      <c r="A495">
        <v>201933</v>
      </c>
      <c r="B495" t="s">
        <v>212</v>
      </c>
      <c r="C495" t="s">
        <v>10</v>
      </c>
      <c r="D495" t="s">
        <v>26</v>
      </c>
      <c r="E495" t="s">
        <v>27</v>
      </c>
      <c r="F495">
        <v>139136.76999999999</v>
      </c>
    </row>
    <row r="496" spans="1:6" x14ac:dyDescent="0.35">
      <c r="A496">
        <v>201934</v>
      </c>
      <c r="B496" t="s">
        <v>212</v>
      </c>
      <c r="C496" t="s">
        <v>10</v>
      </c>
      <c r="D496" t="s">
        <v>25</v>
      </c>
      <c r="E496" t="s">
        <v>27</v>
      </c>
      <c r="F496">
        <v>1927.8</v>
      </c>
    </row>
    <row r="497" spans="1:6" x14ac:dyDescent="0.35">
      <c r="A497">
        <v>201935</v>
      </c>
      <c r="B497" t="s">
        <v>212</v>
      </c>
      <c r="C497" t="s">
        <v>10</v>
      </c>
      <c r="D497" t="s">
        <v>23</v>
      </c>
      <c r="E497" t="s">
        <v>22</v>
      </c>
      <c r="F497">
        <v>87215.4</v>
      </c>
    </row>
    <row r="498" spans="1:6" x14ac:dyDescent="0.35">
      <c r="A498">
        <v>201936</v>
      </c>
      <c r="B498" t="s">
        <v>212</v>
      </c>
      <c r="C498" t="s">
        <v>10</v>
      </c>
      <c r="D498" t="s">
        <v>26</v>
      </c>
      <c r="E498" t="s">
        <v>22</v>
      </c>
      <c r="F498">
        <v>210179.94</v>
      </c>
    </row>
    <row r="499" spans="1:6" x14ac:dyDescent="0.35">
      <c r="A499">
        <v>201937</v>
      </c>
      <c r="B499" t="s">
        <v>212</v>
      </c>
      <c r="C499" t="s">
        <v>10</v>
      </c>
      <c r="D499" t="s">
        <v>25</v>
      </c>
      <c r="E499" t="s">
        <v>22</v>
      </c>
      <c r="F499">
        <v>53832.6</v>
      </c>
    </row>
    <row r="500" spans="1:6" x14ac:dyDescent="0.35">
      <c r="A500">
        <v>201938</v>
      </c>
      <c r="B500" t="s">
        <v>212</v>
      </c>
      <c r="C500" t="s">
        <v>10</v>
      </c>
      <c r="D500" t="s">
        <v>213</v>
      </c>
      <c r="E500" t="s">
        <v>22</v>
      </c>
      <c r="F500">
        <v>7885.2</v>
      </c>
    </row>
    <row r="501" spans="1:6" x14ac:dyDescent="0.35">
      <c r="A501">
        <v>201939</v>
      </c>
      <c r="B501" t="s">
        <v>212</v>
      </c>
      <c r="C501" t="s">
        <v>9</v>
      </c>
      <c r="D501" t="s">
        <v>21</v>
      </c>
      <c r="E501" t="s">
        <v>27</v>
      </c>
      <c r="F501">
        <v>90075.3</v>
      </c>
    </row>
    <row r="502" spans="1:6" x14ac:dyDescent="0.35">
      <c r="A502">
        <v>201940</v>
      </c>
      <c r="B502" t="s">
        <v>212</v>
      </c>
      <c r="C502" t="s">
        <v>9</v>
      </c>
      <c r="D502" t="s">
        <v>23</v>
      </c>
      <c r="E502" t="s">
        <v>27</v>
      </c>
      <c r="F502">
        <v>0</v>
      </c>
    </row>
    <row r="503" spans="1:6" x14ac:dyDescent="0.35">
      <c r="A503">
        <v>201941</v>
      </c>
      <c r="B503" t="s">
        <v>212</v>
      </c>
      <c r="C503" t="s">
        <v>9</v>
      </c>
      <c r="D503" t="s">
        <v>26</v>
      </c>
      <c r="E503" t="s">
        <v>22</v>
      </c>
      <c r="F503">
        <v>0</v>
      </c>
    </row>
    <row r="504" spans="1:6" x14ac:dyDescent="0.35">
      <c r="A504">
        <v>201942</v>
      </c>
      <c r="B504" t="s">
        <v>212</v>
      </c>
      <c r="C504" t="s">
        <v>9</v>
      </c>
      <c r="D504" t="s">
        <v>21</v>
      </c>
      <c r="E504" t="s">
        <v>22</v>
      </c>
      <c r="F504">
        <v>125678.39999999999</v>
      </c>
    </row>
    <row r="505" spans="1:6" x14ac:dyDescent="0.35">
      <c r="A505">
        <v>201943</v>
      </c>
      <c r="B505" t="s">
        <v>212</v>
      </c>
      <c r="C505" t="s">
        <v>9</v>
      </c>
      <c r="D505" t="s">
        <v>25</v>
      </c>
      <c r="E505" t="s">
        <v>22</v>
      </c>
      <c r="F505">
        <v>0</v>
      </c>
    </row>
    <row r="506" spans="1:6" x14ac:dyDescent="0.35">
      <c r="A506">
        <v>201918</v>
      </c>
      <c r="B506" t="s">
        <v>212</v>
      </c>
      <c r="C506" t="s">
        <v>12</v>
      </c>
      <c r="D506" t="s">
        <v>21</v>
      </c>
      <c r="E506" t="s">
        <v>22</v>
      </c>
      <c r="F506">
        <v>93379</v>
      </c>
    </row>
    <row r="507" spans="1:6" x14ac:dyDescent="0.35">
      <c r="A507">
        <v>201919</v>
      </c>
      <c r="B507" t="s">
        <v>212</v>
      </c>
      <c r="C507" t="s">
        <v>12</v>
      </c>
      <c r="D507" t="s">
        <v>23</v>
      </c>
      <c r="E507" t="s">
        <v>22</v>
      </c>
      <c r="F507">
        <v>117003.6</v>
      </c>
    </row>
    <row r="508" spans="1:6" x14ac:dyDescent="0.35">
      <c r="A508">
        <v>201920</v>
      </c>
      <c r="B508" t="s">
        <v>212</v>
      </c>
      <c r="C508" t="s">
        <v>12</v>
      </c>
      <c r="D508" t="s">
        <v>24</v>
      </c>
      <c r="E508" t="s">
        <v>22</v>
      </c>
      <c r="F508">
        <v>66889.2</v>
      </c>
    </row>
    <row r="509" spans="1:6" x14ac:dyDescent="0.35">
      <c r="A509">
        <v>201921</v>
      </c>
      <c r="B509" t="s">
        <v>212</v>
      </c>
      <c r="C509" t="s">
        <v>12</v>
      </c>
      <c r="D509" t="s">
        <v>23</v>
      </c>
      <c r="E509" t="s">
        <v>27</v>
      </c>
      <c r="F509">
        <v>86045.4</v>
      </c>
    </row>
    <row r="510" spans="1:6" x14ac:dyDescent="0.35">
      <c r="A510">
        <v>201922</v>
      </c>
      <c r="B510" t="s">
        <v>212</v>
      </c>
      <c r="C510" t="s">
        <v>12</v>
      </c>
      <c r="D510" t="s">
        <v>21</v>
      </c>
      <c r="E510" t="s">
        <v>27</v>
      </c>
      <c r="F510">
        <v>14250.1</v>
      </c>
    </row>
    <row r="511" spans="1:6" x14ac:dyDescent="0.35">
      <c r="A511">
        <v>201923</v>
      </c>
      <c r="B511" t="s">
        <v>212</v>
      </c>
      <c r="C511" t="s">
        <v>13</v>
      </c>
      <c r="D511" t="s">
        <v>23</v>
      </c>
      <c r="E511" t="s">
        <v>27</v>
      </c>
      <c r="F511">
        <v>111817.3</v>
      </c>
    </row>
    <row r="512" spans="1:6" x14ac:dyDescent="0.35">
      <c r="A512">
        <v>201924</v>
      </c>
      <c r="B512" t="s">
        <v>212</v>
      </c>
      <c r="C512" t="s">
        <v>13</v>
      </c>
      <c r="D512" t="s">
        <v>26</v>
      </c>
      <c r="E512" t="s">
        <v>27</v>
      </c>
      <c r="F512">
        <v>0</v>
      </c>
    </row>
    <row r="513" spans="1:6" x14ac:dyDescent="0.35">
      <c r="A513">
        <v>201925</v>
      </c>
      <c r="B513" t="s">
        <v>212</v>
      </c>
      <c r="C513" t="s">
        <v>13</v>
      </c>
      <c r="D513" t="s">
        <v>21</v>
      </c>
      <c r="E513" t="s">
        <v>27</v>
      </c>
      <c r="F513">
        <v>21754.799999999999</v>
      </c>
    </row>
    <row r="514" spans="1:6" x14ac:dyDescent="0.35">
      <c r="A514">
        <v>201926</v>
      </c>
      <c r="B514" t="s">
        <v>212</v>
      </c>
      <c r="C514" t="s">
        <v>13</v>
      </c>
      <c r="D514" t="s">
        <v>24</v>
      </c>
      <c r="E514" t="s">
        <v>27</v>
      </c>
      <c r="F514">
        <v>0</v>
      </c>
    </row>
    <row r="515" spans="1:6" x14ac:dyDescent="0.35">
      <c r="A515">
        <v>201927</v>
      </c>
      <c r="B515" t="s">
        <v>212</v>
      </c>
      <c r="C515" t="s">
        <v>13</v>
      </c>
      <c r="D515" t="s">
        <v>23</v>
      </c>
      <c r="E515" t="s">
        <v>22</v>
      </c>
      <c r="F515">
        <v>159234.70000000001</v>
      </c>
    </row>
    <row r="516" spans="1:6" x14ac:dyDescent="0.35">
      <c r="A516">
        <v>201949</v>
      </c>
      <c r="B516" t="s">
        <v>212</v>
      </c>
      <c r="C516" t="s">
        <v>11</v>
      </c>
      <c r="D516" t="s">
        <v>21</v>
      </c>
      <c r="E516" t="s">
        <v>27</v>
      </c>
      <c r="F516">
        <v>99106.6</v>
      </c>
    </row>
    <row r="517" spans="1:6" x14ac:dyDescent="0.35">
      <c r="A517">
        <v>201950</v>
      </c>
      <c r="B517" t="s">
        <v>212</v>
      </c>
      <c r="C517" t="s">
        <v>11</v>
      </c>
      <c r="D517" t="s">
        <v>21</v>
      </c>
      <c r="E517" t="s">
        <v>22</v>
      </c>
      <c r="F517">
        <v>86077.6</v>
      </c>
    </row>
    <row r="518" spans="1:6" x14ac:dyDescent="0.35">
      <c r="A518">
        <v>201951</v>
      </c>
      <c r="B518" t="s">
        <v>212</v>
      </c>
      <c r="C518" t="s">
        <v>15</v>
      </c>
      <c r="D518" t="s">
        <v>26</v>
      </c>
      <c r="E518" t="s">
        <v>27</v>
      </c>
      <c r="F518">
        <v>2341.3000000000002</v>
      </c>
    </row>
    <row r="519" spans="1:6" x14ac:dyDescent="0.35">
      <c r="A519">
        <v>201952</v>
      </c>
      <c r="B519" t="s">
        <v>212</v>
      </c>
      <c r="C519" t="s">
        <v>15</v>
      </c>
      <c r="D519" t="s">
        <v>25</v>
      </c>
      <c r="E519" t="s">
        <v>27</v>
      </c>
      <c r="F519">
        <v>94229.6</v>
      </c>
    </row>
    <row r="520" spans="1:6" x14ac:dyDescent="0.35">
      <c r="A520">
        <v>201953</v>
      </c>
      <c r="B520" t="s">
        <v>212</v>
      </c>
      <c r="C520" t="s">
        <v>15</v>
      </c>
      <c r="D520" t="s">
        <v>23</v>
      </c>
      <c r="E520" t="s">
        <v>22</v>
      </c>
      <c r="F520">
        <v>12259.6</v>
      </c>
    </row>
    <row r="521" spans="1:6" x14ac:dyDescent="0.35">
      <c r="A521">
        <v>201954</v>
      </c>
      <c r="B521" t="s">
        <v>212</v>
      </c>
      <c r="C521" t="s">
        <v>15</v>
      </c>
      <c r="D521" t="s">
        <v>26</v>
      </c>
      <c r="E521" t="s">
        <v>22</v>
      </c>
      <c r="F521">
        <v>8911.7999999999993</v>
      </c>
    </row>
    <row r="522" spans="1:6" x14ac:dyDescent="0.35">
      <c r="A522">
        <v>201955</v>
      </c>
      <c r="B522" t="s">
        <v>212</v>
      </c>
      <c r="C522" t="s">
        <v>15</v>
      </c>
      <c r="D522" t="s">
        <v>25</v>
      </c>
      <c r="E522" t="s">
        <v>22</v>
      </c>
      <c r="F522">
        <v>263264.40000000002</v>
      </c>
    </row>
    <row r="523" spans="1:6" x14ac:dyDescent="0.35">
      <c r="A523">
        <v>201956</v>
      </c>
      <c r="B523" t="s">
        <v>212</v>
      </c>
      <c r="C523" t="s">
        <v>17</v>
      </c>
      <c r="D523" t="s">
        <v>21</v>
      </c>
      <c r="E523" t="s">
        <v>101</v>
      </c>
      <c r="F523">
        <v>8162.9</v>
      </c>
    </row>
    <row r="524" spans="1:6" x14ac:dyDescent="0.35">
      <c r="A524">
        <v>201957</v>
      </c>
      <c r="B524" t="s">
        <v>212</v>
      </c>
      <c r="C524" t="s">
        <v>17</v>
      </c>
      <c r="D524" t="s">
        <v>24</v>
      </c>
      <c r="E524" t="s">
        <v>101</v>
      </c>
      <c r="F524">
        <v>8262.9</v>
      </c>
    </row>
    <row r="525" spans="1:6" x14ac:dyDescent="0.35">
      <c r="A525">
        <v>201958</v>
      </c>
      <c r="B525" t="s">
        <v>212</v>
      </c>
      <c r="C525" t="s">
        <v>17</v>
      </c>
      <c r="D525" t="s">
        <v>23</v>
      </c>
      <c r="E525" t="s">
        <v>101</v>
      </c>
      <c r="F525">
        <v>56951.199999999997</v>
      </c>
    </row>
    <row r="526" spans="1:6" x14ac:dyDescent="0.35">
      <c r="A526">
        <v>201959</v>
      </c>
      <c r="B526" t="s">
        <v>212</v>
      </c>
      <c r="C526" t="s">
        <v>10</v>
      </c>
      <c r="D526" t="s">
        <v>210</v>
      </c>
      <c r="E526" t="s">
        <v>22</v>
      </c>
      <c r="F526">
        <v>33469.81</v>
      </c>
    </row>
    <row r="527" spans="1:6" x14ac:dyDescent="0.35">
      <c r="A527">
        <v>201960</v>
      </c>
      <c r="B527" t="s">
        <v>212</v>
      </c>
      <c r="C527" t="s">
        <v>10</v>
      </c>
      <c r="D527" t="s">
        <v>204</v>
      </c>
      <c r="E527" t="s">
        <v>22</v>
      </c>
      <c r="F527">
        <v>11284.6</v>
      </c>
    </row>
    <row r="528" spans="1:6" x14ac:dyDescent="0.35">
      <c r="A528">
        <v>201961</v>
      </c>
      <c r="B528" t="s">
        <v>212</v>
      </c>
      <c r="C528" t="s">
        <v>10</v>
      </c>
      <c r="D528" t="s">
        <v>113</v>
      </c>
      <c r="E528" t="s">
        <v>22</v>
      </c>
      <c r="F528">
        <v>3789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xauto_filter">
                <anchor moveWithCells="1" sizeWithCells="1">
                  <from>
                    <xdr:col>22</xdr:col>
                    <xdr:colOff>63500</xdr:colOff>
                    <xdr:row>34</xdr:row>
                    <xdr:rowOff>88900</xdr:rowOff>
                  </from>
                  <to>
                    <xdr:col>23</xdr:col>
                    <xdr:colOff>349250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yymm_filter">
                <anchor moveWithCells="1">
                  <from>
                    <xdr:col>22</xdr:col>
                    <xdr:colOff>107950</xdr:colOff>
                    <xdr:row>30</xdr:row>
                    <xdr:rowOff>82550</xdr:rowOff>
                  </from>
                  <to>
                    <xdr:col>23</xdr:col>
                    <xdr:colOff>349250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_data">
                <anchor moveWithCells="1" sizeWithCells="1">
                  <from>
                    <xdr:col>22</xdr:col>
                    <xdr:colOff>139700</xdr:colOff>
                    <xdr:row>28</xdr:row>
                    <xdr:rowOff>88900</xdr:rowOff>
                  </from>
                  <to>
                    <xdr:col>23</xdr:col>
                    <xdr:colOff>323850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 macro="[0]!Plant_filter4">
                <anchor moveWithCells="1">
                  <from>
                    <xdr:col>22</xdr:col>
                    <xdr:colOff>107950</xdr:colOff>
                    <xdr:row>32</xdr:row>
                    <xdr:rowOff>88900</xdr:rowOff>
                  </from>
                  <to>
                    <xdr:col>23</xdr:col>
                    <xdr:colOff>349250</xdr:colOff>
                    <xdr:row>33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Label 5">
              <controlPr defaultSize="0" autoFill="0" autoLine="0" autoPict="0">
                <anchor moveWithCells="1" sizeWithCells="1">
                  <from>
                    <xdr:col>18</xdr:col>
                    <xdr:colOff>165100</xdr:colOff>
                    <xdr:row>29</xdr:row>
                    <xdr:rowOff>0</xdr:rowOff>
                  </from>
                  <to>
                    <xdr:col>21</xdr:col>
                    <xdr:colOff>228600</xdr:colOff>
                    <xdr:row>30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Label 6">
              <controlPr defaultSize="0" autoFill="0" autoLine="0" autoPict="0">
                <anchor moveWithCells="1" sizeWithCells="1">
                  <from>
                    <xdr:col>18</xdr:col>
                    <xdr:colOff>158750</xdr:colOff>
                    <xdr:row>30</xdr:row>
                    <xdr:rowOff>88900</xdr:rowOff>
                  </from>
                  <to>
                    <xdr:col>21</xdr:col>
                    <xdr:colOff>222250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Label 7">
              <controlPr defaultSize="0" autoFill="0" autoLine="0" autoPict="0">
                <anchor moveWithCells="1" sizeWithCells="1">
                  <from>
                    <xdr:col>18</xdr:col>
                    <xdr:colOff>152400</xdr:colOff>
                    <xdr:row>32</xdr:row>
                    <xdr:rowOff>88900</xdr:rowOff>
                  </from>
                  <to>
                    <xdr:col>21</xdr:col>
                    <xdr:colOff>215900</xdr:colOff>
                    <xdr:row>33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Label 8">
              <controlPr defaultSize="0" autoFill="0" autoLine="0" autoPict="0">
                <anchor moveWithCells="1" sizeWithCells="1">
                  <from>
                    <xdr:col>18</xdr:col>
                    <xdr:colOff>171450</xdr:colOff>
                    <xdr:row>35</xdr:row>
                    <xdr:rowOff>0</xdr:rowOff>
                  </from>
                  <to>
                    <xdr:col>21</xdr:col>
                    <xdr:colOff>234950</xdr:colOff>
                    <xdr:row>36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acroNew">
                <anchor moveWithCells="1" sizeWithCells="1">
                  <from>
                    <xdr:col>22</xdr:col>
                    <xdr:colOff>114300</xdr:colOff>
                    <xdr:row>37</xdr:row>
                    <xdr:rowOff>50800</xdr:rowOff>
                  </from>
                  <to>
                    <xdr:col>23</xdr:col>
                    <xdr:colOff>101600</xdr:colOff>
                    <xdr:row>39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5">
    <tablePart r:id="rId13"/>
    <tablePart r:id="rId14"/>
    <tablePart r:id="rId15"/>
    <tablePart r:id="rId16"/>
    <tablePart r:id="rId1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BH118"/>
  <sheetViews>
    <sheetView showZeros="0" topLeftCell="A4" zoomScaleNormal="100" workbookViewId="0">
      <selection activeCell="A4" sqref="A4"/>
    </sheetView>
  </sheetViews>
  <sheetFormatPr defaultRowHeight="14.5" x14ac:dyDescent="0.35"/>
  <cols>
    <col min="2" max="2" width="16.7265625" bestFit="1" customWidth="1"/>
    <col min="10" max="10" width="9.54296875" bestFit="1" customWidth="1"/>
    <col min="18" max="18" width="9.36328125" bestFit="1" customWidth="1"/>
    <col min="19" max="19" width="11.90625" bestFit="1" customWidth="1"/>
    <col min="21" max="21" width="7.81640625" bestFit="1" customWidth="1"/>
    <col min="24" max="24" width="9.90625" bestFit="1" customWidth="1"/>
    <col min="34" max="35" width="0" hidden="1" customWidth="1"/>
    <col min="39" max="39" width="11.6328125" bestFit="1" customWidth="1"/>
    <col min="41" max="41" width="13.7265625" bestFit="1" customWidth="1"/>
    <col min="50" max="50" width="6.453125" customWidth="1"/>
    <col min="51" max="51" width="5.453125" customWidth="1"/>
    <col min="52" max="52" width="9.453125" customWidth="1"/>
    <col min="53" max="53" width="6.54296875" customWidth="1"/>
    <col min="54" max="55" width="9.453125" customWidth="1"/>
    <col min="56" max="56" width="6.54296875" customWidth="1"/>
    <col min="57" max="58" width="9.453125" customWidth="1"/>
    <col min="59" max="59" width="6.54296875" customWidth="1"/>
    <col min="60" max="61" width="9.453125" customWidth="1"/>
  </cols>
  <sheetData>
    <row r="1" spans="2:35" ht="18.5" x14ac:dyDescent="0.45">
      <c r="B1" s="605" t="s">
        <v>192</v>
      </c>
      <c r="C1" s="605"/>
      <c r="D1" s="605"/>
      <c r="E1" s="605"/>
      <c r="F1" s="605"/>
      <c r="G1" s="605"/>
      <c r="H1" s="605"/>
      <c r="I1" s="605"/>
    </row>
    <row r="2" spans="2:35" x14ac:dyDescent="0.35">
      <c r="I2" t="s">
        <v>134</v>
      </c>
    </row>
    <row r="3" spans="2:35" x14ac:dyDescent="0.35">
      <c r="B3" s="578"/>
      <c r="C3" s="579"/>
      <c r="D3" s="579"/>
      <c r="E3" s="579"/>
      <c r="F3" s="579"/>
      <c r="G3" s="579"/>
      <c r="H3" s="579"/>
      <c r="I3" s="579"/>
    </row>
    <row r="4" spans="2:35" x14ac:dyDescent="0.35">
      <c r="B4" s="578"/>
      <c r="C4" s="579"/>
      <c r="D4" s="579"/>
      <c r="E4" s="579"/>
      <c r="F4" s="579"/>
      <c r="G4" s="579"/>
      <c r="H4" s="579"/>
      <c r="I4" s="579"/>
    </row>
    <row r="5" spans="2:35" x14ac:dyDescent="0.35">
      <c r="AA5" s="573">
        <v>44440</v>
      </c>
    </row>
    <row r="6" spans="2:35" ht="19" thickBot="1" x14ac:dyDescent="0.4">
      <c r="B6" s="606" t="s">
        <v>136</v>
      </c>
      <c r="C6" s="606"/>
      <c r="D6" s="606"/>
      <c r="E6" s="606"/>
      <c r="F6" s="606"/>
      <c r="G6" s="606"/>
      <c r="H6" s="606"/>
      <c r="I6" s="606"/>
      <c r="J6" s="481" t="s">
        <v>137</v>
      </c>
      <c r="K6" s="603" t="s">
        <v>138</v>
      </c>
      <c r="L6" s="607"/>
      <c r="M6" s="607"/>
      <c r="N6" s="607"/>
      <c r="O6" s="607"/>
      <c r="P6" s="482"/>
      <c r="Q6" s="483"/>
      <c r="R6" s="484"/>
      <c r="S6" s="603" t="s">
        <v>193</v>
      </c>
      <c r="T6" s="603"/>
      <c r="U6" s="603"/>
      <c r="V6" s="603"/>
      <c r="W6" s="603"/>
      <c r="X6" s="603"/>
      <c r="Y6" s="484"/>
      <c r="AA6" s="484"/>
      <c r="AB6" s="603" t="s">
        <v>195</v>
      </c>
      <c r="AC6" s="603"/>
      <c r="AD6" s="603"/>
      <c r="AE6" s="603"/>
      <c r="AF6" s="603"/>
      <c r="AG6" s="603"/>
      <c r="AH6" s="484"/>
    </row>
    <row r="7" spans="2:35" ht="15" thickBot="1" x14ac:dyDescent="0.4">
      <c r="B7" s="476"/>
      <c r="C7" s="477" t="s">
        <v>23</v>
      </c>
      <c r="D7" s="478" t="s">
        <v>26</v>
      </c>
      <c r="E7" s="478" t="s">
        <v>21</v>
      </c>
      <c r="F7" s="478" t="s">
        <v>25</v>
      </c>
      <c r="G7" s="478"/>
      <c r="H7" s="479"/>
      <c r="I7" s="480" t="s">
        <v>135</v>
      </c>
      <c r="J7" s="484"/>
      <c r="K7" s="485" t="s">
        <v>139</v>
      </c>
      <c r="L7" s="486" t="s">
        <v>140</v>
      </c>
      <c r="M7" s="486" t="s">
        <v>141</v>
      </c>
      <c r="N7" s="487" t="s">
        <v>142</v>
      </c>
      <c r="O7" s="488" t="s">
        <v>143</v>
      </c>
      <c r="P7" s="489" t="s">
        <v>144</v>
      </c>
      <c r="Q7" s="483"/>
      <c r="R7" s="484"/>
      <c r="S7" s="490" t="s">
        <v>145</v>
      </c>
      <c r="T7" s="490" t="s">
        <v>140</v>
      </c>
      <c r="U7" s="490" t="s">
        <v>141</v>
      </c>
      <c r="V7" s="491" t="s">
        <v>142</v>
      </c>
      <c r="W7" s="492" t="s">
        <v>143</v>
      </c>
      <c r="X7" s="493" t="s">
        <v>144</v>
      </c>
      <c r="Y7" s="493" t="s">
        <v>146</v>
      </c>
      <c r="AA7" s="484"/>
      <c r="AB7" s="490" t="s">
        <v>145</v>
      </c>
      <c r="AC7" s="490" t="s">
        <v>140</v>
      </c>
      <c r="AD7" s="490" t="s">
        <v>141</v>
      </c>
      <c r="AE7" s="491" t="s">
        <v>142</v>
      </c>
      <c r="AF7" s="492" t="s">
        <v>143</v>
      </c>
      <c r="AG7" s="493" t="s">
        <v>144</v>
      </c>
      <c r="AH7" s="493" t="s">
        <v>146</v>
      </c>
    </row>
    <row r="8" spans="2:35" ht="15" thickBot="1" x14ac:dyDescent="0.4">
      <c r="C8" s="494"/>
      <c r="D8" s="494"/>
      <c r="E8" s="494"/>
      <c r="F8" s="494"/>
      <c r="G8" s="494"/>
      <c r="H8" s="494"/>
      <c r="I8" s="494"/>
      <c r="J8" s="495" t="s">
        <v>147</v>
      </c>
      <c r="K8" s="496">
        <v>62.3</v>
      </c>
      <c r="L8" s="497">
        <v>3.9</v>
      </c>
      <c r="M8" s="497">
        <v>2.2000000000000002</v>
      </c>
      <c r="N8" s="498">
        <v>10</v>
      </c>
      <c r="O8" s="499">
        <v>10</v>
      </c>
      <c r="P8" s="499">
        <f t="shared" ref="P8:P9" si="0">+L8+M8</f>
        <v>6.1</v>
      </c>
      <c r="Q8" s="483"/>
      <c r="R8" s="500" t="s">
        <v>23</v>
      </c>
      <c r="S8" s="501">
        <f>IFERROR((SUMPRODUCT(K$8:K$11,$C$9:$C$12)+SUMPRODUCT($C$14:$C$17,K$12:K$15))/($C$13+$C$18),"-")</f>
        <v>62.294800000000002</v>
      </c>
      <c r="T8" s="501">
        <f>IFERROR((SUMPRODUCT(L$8:L$11,$C$9:$C$12)+SUMPRODUCT($C$14:$C$17,L$12:L$15))/($C$13+$C$18),"-")</f>
        <v>3.6203999999999996</v>
      </c>
      <c r="U8" s="501">
        <f>IFERROR((SUMPRODUCT(M$8:M$11,$C$9:$C$12)+SUMPRODUCT($C$14:$C$17,M$12:M$15))/($C$13+$C$18),"-")</f>
        <v>2.3239999999999998</v>
      </c>
      <c r="V8" s="501">
        <f>IFERROR((SUMPRODUCT(N$8:N$11,$C$9:$C$12)+SUMPRODUCT($C$14:$C$17,N$12:N$15))/($C$13+$C$18),"-")</f>
        <v>10</v>
      </c>
      <c r="W8" s="501">
        <f>IFERROR((SUMPRODUCT(O$8:O$11,$C$9:$C$12)+SUMPRODUCT($C$14:$C$17,O$12:O$15))/($C$13+$C$18),"-")</f>
        <v>10</v>
      </c>
      <c r="X8" s="502">
        <f>IFERROR((U8+T8),"-")</f>
        <v>5.9443999999999999</v>
      </c>
      <c r="Y8" s="503">
        <f>IFERROR((U8/T8),"-")</f>
        <v>0.64191802010827537</v>
      </c>
      <c r="AA8" s="500" t="s">
        <v>23</v>
      </c>
      <c r="AB8" s="501">
        <f>VLOOKUP($AA$5,BLEND!$A$8:$F$20,2,FALSE)</f>
        <v>61.258377658241976</v>
      </c>
      <c r="AC8" s="501">
        <f>VLOOKUP($AA$5,BLEND!$A$8:$F$20,3,FALSE)</f>
        <v>4.7787665848337308</v>
      </c>
      <c r="AD8" s="501">
        <f>VLOOKUP($AA$5,BLEND!$A$8:$F$20,4,FALSE)</f>
        <v>2.5587872176649831</v>
      </c>
      <c r="AE8" s="501">
        <f>VLOOKUP($AA$5,BLEND!$A$8:$F$20,5,FALSE)</f>
        <v>13.974188601385542</v>
      </c>
      <c r="AF8" s="501">
        <f>VLOOKUP($AA$5,BLEND!$A$8:$F$20,6,FALSE)</f>
        <v>29.365294757985545</v>
      </c>
      <c r="AG8" s="502">
        <f>IFERROR((AD8+AC8),"-")</f>
        <v>7.3375538024987144</v>
      </c>
      <c r="AH8" s="503">
        <f>IFERROR((AD8/AC8),"-")</f>
        <v>0.53544929894373816</v>
      </c>
      <c r="AI8" t="str">
        <f>AA8</f>
        <v>BSL</v>
      </c>
    </row>
    <row r="9" spans="2:35" ht="15" thickBot="1" x14ac:dyDescent="0.4">
      <c r="B9" s="504" t="s">
        <v>148</v>
      </c>
      <c r="C9" s="505">
        <v>74</v>
      </c>
      <c r="D9" s="506"/>
      <c r="E9" s="506">
        <v>10</v>
      </c>
      <c r="F9" s="506"/>
      <c r="G9" s="506"/>
      <c r="H9" s="507"/>
      <c r="I9" s="508">
        <f t="shared" ref="I9:I19" si="1">SUM(C9:H9)</f>
        <v>84</v>
      </c>
      <c r="J9" s="509" t="s">
        <v>149</v>
      </c>
      <c r="K9" s="510">
        <v>62</v>
      </c>
      <c r="L9" s="511">
        <v>4.2</v>
      </c>
      <c r="M9" s="511">
        <v>2.4</v>
      </c>
      <c r="N9" s="498">
        <v>10</v>
      </c>
      <c r="O9" s="499">
        <v>10</v>
      </c>
      <c r="P9" s="512">
        <f t="shared" si="0"/>
        <v>6.6</v>
      </c>
      <c r="Q9" s="483"/>
      <c r="R9" s="513" t="s">
        <v>26</v>
      </c>
      <c r="S9" s="501">
        <f>IFERROR((SUMPRODUCT(K$8:K$11,$D$9:$D$12)+SUMPRODUCT($D$14:$D$17,K$12:K$15))/($D$13+$D$18),"-")</f>
        <v>62.5</v>
      </c>
      <c r="T9" s="501">
        <f>IFERROR((SUMPRODUCT(L$8:L$11,$D$9:$D$12)+SUMPRODUCT($D$14:$D$17,L$12:L$15))/($D$13+$D$18),"-")</f>
        <v>3</v>
      </c>
      <c r="U9" s="501">
        <f>IFERROR((SUMPRODUCT(M$8:M$11,$D$9:$D$12)+SUMPRODUCT($D$14:$D$17,M$12:M$15))/($D$13+$D$18),"-")</f>
        <v>2.2000000000000002</v>
      </c>
      <c r="V9" s="501">
        <f>IFERROR((SUMPRODUCT(N$8:N$11,$D$9:$D$12)+SUMPRODUCT($D$14:$D$17,N$12:N$15))/($D$13+$D$18),"-")</f>
        <v>10</v>
      </c>
      <c r="W9" s="501">
        <f>IFERROR((SUMPRODUCT(O$8:O$11,$D$9:$D$12)+SUMPRODUCT($D$14:$D$17,O$12:O$15))/($D$13+$D$18),"-")</f>
        <v>10</v>
      </c>
      <c r="X9" s="514">
        <f>IFERROR((U9+T9),"-")</f>
        <v>5.2</v>
      </c>
      <c r="Y9" s="515">
        <f>IFERROR((U9/T9),"-")</f>
        <v>0.73333333333333339</v>
      </c>
      <c r="AA9" s="513" t="s">
        <v>26</v>
      </c>
      <c r="AB9" s="501">
        <f>VLOOKUP($AA$5,BLEND!$A$31:$F$43,2,FALSE)</f>
        <v>61.184056489023483</v>
      </c>
      <c r="AC9" s="501">
        <f>VLOOKUP($AA$5,BLEND!$A$31:$F$43,3,FALSE)</f>
        <v>4.3510793648130592</v>
      </c>
      <c r="AD9" s="501">
        <f>VLOOKUP($AA$5,BLEND!$A$31:$F$43,4,FALSE)</f>
        <v>1.7188991602982995</v>
      </c>
      <c r="AE9" s="501">
        <f>VLOOKUP($AA$5,BLEND!$A$31:$F$43,5,FALSE)</f>
        <v>29.067366474007834</v>
      </c>
      <c r="AF9" s="501">
        <f>VLOOKUP($AA$5,BLEND!$A$31:$F$43,6,FALSE)</f>
        <v>13.430611111577146</v>
      </c>
      <c r="AG9" s="514">
        <f>IFERROR((AD9+AC9),"-")</f>
        <v>6.0699785251113587</v>
      </c>
      <c r="AH9" s="515">
        <f>IFERROR((AD9/AC9),"-")</f>
        <v>0.39505120825856288</v>
      </c>
      <c r="AI9" t="str">
        <f t="shared" ref="AI9:AI11" si="2">AA9</f>
        <v>DSP</v>
      </c>
    </row>
    <row r="10" spans="2:35" ht="15" thickBot="1" x14ac:dyDescent="0.4">
      <c r="B10" s="516" t="s">
        <v>150</v>
      </c>
      <c r="C10" s="517">
        <v>80</v>
      </c>
      <c r="D10" s="518"/>
      <c r="E10" s="518">
        <v>10</v>
      </c>
      <c r="F10" s="518"/>
      <c r="G10" s="518"/>
      <c r="H10" s="519"/>
      <c r="I10" s="520">
        <f t="shared" si="1"/>
        <v>90</v>
      </c>
      <c r="J10" s="509" t="s">
        <v>15</v>
      </c>
      <c r="K10" s="510">
        <v>62.5</v>
      </c>
      <c r="L10" s="511">
        <v>3.6</v>
      </c>
      <c r="M10" s="511">
        <v>2.2000000000000002</v>
      </c>
      <c r="N10" s="521">
        <v>10</v>
      </c>
      <c r="O10" s="512">
        <v>10</v>
      </c>
      <c r="P10" s="512">
        <f t="shared" ref="P10:P15" si="3">+L10+M10</f>
        <v>5.8000000000000007</v>
      </c>
      <c r="Q10" s="483"/>
      <c r="R10" s="513" t="s">
        <v>21</v>
      </c>
      <c r="S10" s="501">
        <f>IFERROR((SUMPRODUCT(K$8:K$11,$E$9:$E$12)+SUMPRODUCT($E$14:$E$17,K$12:K$15))/($E$13+$E$18),"-")</f>
        <v>62.683999999999997</v>
      </c>
      <c r="T10" s="501">
        <f>IFERROR((SUMPRODUCT(L$8:L$11,$E$9:$E$12)+SUMPRODUCT($E$14:$E$17,L$12:L$15))/($E$13+$E$18),"-")</f>
        <v>2.78</v>
      </c>
      <c r="U10" s="501">
        <f>IFERROR((SUMPRODUCT(M$8:M$11,$E$9:$E$12)+SUMPRODUCT($E$14:$E$17,M$12:M$15))/($E$13+$E$18),"-")</f>
        <v>2.42</v>
      </c>
      <c r="V10" s="501">
        <f>IFERROR((SUMPRODUCT(N$8:N$11,$E$9:$E$12)+SUMPRODUCT($E$14:$E$17,N$12:N$15))/($E$13+$E$18),"-")</f>
        <v>6.6</v>
      </c>
      <c r="W10" s="501">
        <f>IFERROR((SUMPRODUCT(O$8:O$11,$E$9:$E$12)+SUMPRODUCT($E$14:$E$17,O$12:O$15))/($E$13+$E$18),"-")</f>
        <v>7.4</v>
      </c>
      <c r="X10" s="514">
        <f>IFERROR((U10+T10),"-")</f>
        <v>5.1999999999999993</v>
      </c>
      <c r="Y10" s="515">
        <f>IFERROR((U10/T10),"-")</f>
        <v>0.87050359712230219</v>
      </c>
      <c r="AA10" s="513" t="s">
        <v>21</v>
      </c>
      <c r="AB10" s="501">
        <f>VLOOKUP($AA$5,BLEND!$A$56:$F$68,2,FALSE)</f>
        <v>61.668212910580998</v>
      </c>
      <c r="AC10" s="501">
        <f>VLOOKUP($AA$5,BLEND!$A$56:$F$68,3,FALSE)</f>
        <v>4.3392742799371895</v>
      </c>
      <c r="AD10" s="501">
        <f>VLOOKUP($AA$5,BLEND!$A$56:$F$68,4,FALSE)</f>
        <v>2.5659436856030453</v>
      </c>
      <c r="AE10" s="501">
        <f>VLOOKUP($AA$5,BLEND!$A$56:$F$68,5,FALSE)</f>
        <v>6.8109860397083191</v>
      </c>
      <c r="AF10" s="501">
        <f>VLOOKUP($AA$5,BLEND!$A$56:$F$68,6,FALSE)</f>
        <v>17.327388543526425</v>
      </c>
      <c r="AG10" s="514">
        <f>IFERROR((AD10+AC10),"-")</f>
        <v>6.9052179655402348</v>
      </c>
      <c r="AH10" s="515">
        <f>IFERROR((AD10/AC10),"-")</f>
        <v>0.591330144182586</v>
      </c>
      <c r="AI10" t="str">
        <f t="shared" si="2"/>
        <v>RSP</v>
      </c>
    </row>
    <row r="11" spans="2:35" ht="15" thickBot="1" x14ac:dyDescent="0.4">
      <c r="B11" s="516" t="s">
        <v>151</v>
      </c>
      <c r="C11" s="517"/>
      <c r="D11" s="518"/>
      <c r="E11" s="518"/>
      <c r="F11" s="518">
        <v>95</v>
      </c>
      <c r="G11" s="518"/>
      <c r="H11" s="519"/>
      <c r="I11" s="520">
        <f t="shared" si="1"/>
        <v>95</v>
      </c>
      <c r="J11" s="522" t="s">
        <v>152</v>
      </c>
      <c r="K11" s="510">
        <v>63</v>
      </c>
      <c r="L11" s="511">
        <v>2.5</v>
      </c>
      <c r="M11" s="511">
        <v>2.2000000000000002</v>
      </c>
      <c r="N11" s="521">
        <v>10</v>
      </c>
      <c r="O11" s="512">
        <v>10</v>
      </c>
      <c r="P11" s="512">
        <f t="shared" si="3"/>
        <v>4.7</v>
      </c>
      <c r="Q11" s="483"/>
      <c r="R11" s="513" t="s">
        <v>25</v>
      </c>
      <c r="S11" s="501">
        <f>IFERROR((SUMPRODUCT(K$8:K$11,$F$9:$F$12)+SUMPRODUCT($F$14:$F$17,K$12:K$15))/($F$13+$F$18),"-")</f>
        <v>62.5</v>
      </c>
      <c r="T11" s="501">
        <f>IFERROR((SUMPRODUCT(L$8:L$11,$F$9:$F$12)+SUMPRODUCT($F$14:$F$17,L$12:L$15))/($F$13+$F$18),"-")</f>
        <v>3.456</v>
      </c>
      <c r="U11" s="501">
        <f>IFERROR((SUMPRODUCT(M$8:M$11,$F$9:$F$12)+SUMPRODUCT($F$14:$F$17,M$12:M$15))/($F$13+$F$18),"-")</f>
        <v>2.2000000000000002</v>
      </c>
      <c r="V11" s="501">
        <f>IFERROR((SUMPRODUCT(N$8:N$11,$F$9:$F$12)+SUMPRODUCT($F$14:$F$17,N$12:N$15))/($F$13+$F$18),"-")</f>
        <v>10</v>
      </c>
      <c r="W11" s="501">
        <f>IFERROR((SUMPRODUCT(O$8:O$11,$F$9:$F$12)+SUMPRODUCT($F$14:$F$17,O$12:O$15))/($F$13+$F$18),"-")</f>
        <v>10</v>
      </c>
      <c r="X11" s="514">
        <f>IFERROR((U11+T11),"-")</f>
        <v>5.6560000000000006</v>
      </c>
      <c r="Y11" s="515">
        <f>IFERROR((U11/T11),"-")</f>
        <v>0.63657407407407418</v>
      </c>
      <c r="AA11" s="513" t="s">
        <v>25</v>
      </c>
      <c r="AB11" s="501">
        <f>VLOOKUP($AA$5,BLEND!$A$76:$F$88,2,FALSE)</f>
        <v>63.793990904159891</v>
      </c>
      <c r="AC11" s="501">
        <f>VLOOKUP($AA$5,BLEND!$A$76:$F$88,3,FALSE)</f>
        <v>2.8656383777694332</v>
      </c>
      <c r="AD11" s="501">
        <f>VLOOKUP($AA$5,BLEND!$A$76:$F$88,4,FALSE)</f>
        <v>1.3215377393916636</v>
      </c>
      <c r="AE11" s="501">
        <f>VLOOKUP($AA$5,BLEND!$A$76:$F$88,5,FALSE)</f>
        <v>2.1873179788876373</v>
      </c>
      <c r="AF11" s="501">
        <f>VLOOKUP($AA$5,BLEND!$A$76:$F$88,6,FALSE)</f>
        <v>4.1871761171610968</v>
      </c>
      <c r="AG11" s="514">
        <f>IFERROR((AD11+AC11),"-")</f>
        <v>4.1871761171610968</v>
      </c>
      <c r="AH11" s="515">
        <f>IFERROR((AD11/AC11),"-")</f>
        <v>0.46116696008947483</v>
      </c>
      <c r="AI11" t="str">
        <f t="shared" si="2"/>
        <v>ISP</v>
      </c>
    </row>
    <row r="12" spans="2:35" ht="15" thickBot="1" x14ac:dyDescent="0.4">
      <c r="B12" s="523" t="s">
        <v>153</v>
      </c>
      <c r="C12" s="524">
        <v>15</v>
      </c>
      <c r="D12" s="525"/>
      <c r="E12" s="525"/>
      <c r="F12" s="525"/>
      <c r="G12" s="525"/>
      <c r="H12" s="526"/>
      <c r="I12" s="527">
        <f t="shared" si="1"/>
        <v>15</v>
      </c>
      <c r="J12" s="509" t="s">
        <v>155</v>
      </c>
      <c r="K12" s="510">
        <v>62.5</v>
      </c>
      <c r="L12" s="511">
        <v>3</v>
      </c>
      <c r="M12" s="511">
        <v>2.2000000000000002</v>
      </c>
      <c r="N12" s="498">
        <v>10</v>
      </c>
      <c r="O12" s="499">
        <v>10</v>
      </c>
      <c r="P12" s="512">
        <f t="shared" si="3"/>
        <v>5.2</v>
      </c>
      <c r="Q12" s="483"/>
      <c r="R12" s="529" t="s">
        <v>24</v>
      </c>
      <c r="S12" s="501" t="str">
        <f>IFERROR((SUMPRODUCT(K$8:K$11,$G$9:$G$12)+SUMPRODUCT($G$14:$G$17,K$12:K$15))/($G$13+$G$18),"-")</f>
        <v>-</v>
      </c>
      <c r="T12" s="501" t="str">
        <f>IFERROR((SUMPRODUCT(L$8:L$11,$G$9:$G$12)+SUMPRODUCT($G$14:$G$17,L$12:L$15))/($G$13+$G$18),"-")</f>
        <v>-</v>
      </c>
      <c r="U12" s="501" t="str">
        <f>IFERROR((SUMPRODUCT(M$8:M$11,$G$9:$G$12)+SUMPRODUCT($G$14:$G$17,M$12:M$15))/($G$13+$G$18),"-")</f>
        <v>-</v>
      </c>
      <c r="V12" s="501" t="str">
        <f>IFERROR((SUMPRODUCT(N$8:N$11,$G$9:$G$12)+SUMPRODUCT($G$14:$G$17,N$12:N$15))/($G$13+$G$18),"-")</f>
        <v>-</v>
      </c>
      <c r="W12" s="501" t="str">
        <f>IFERROR((SUMPRODUCT(O$8:O$11,$G$9:$G$12)+SUMPRODUCT($G$14:$G$17,O$12:O$15))/($G$13+$G$18),"-")</f>
        <v>-</v>
      </c>
      <c r="X12" s="530" t="str">
        <f>IFERROR((U12+T12),"-")</f>
        <v>-</v>
      </c>
      <c r="Y12" s="531" t="str">
        <f>IFERROR((U12/T12),"-")</f>
        <v>-</v>
      </c>
      <c r="AA12" s="529" t="s">
        <v>24</v>
      </c>
      <c r="AB12" s="501"/>
      <c r="AC12" s="501"/>
      <c r="AD12" s="501"/>
      <c r="AE12" s="501"/>
      <c r="AF12" s="501"/>
      <c r="AG12" s="530">
        <f>IFERROR((AD12+AC12),"-")</f>
        <v>0</v>
      </c>
      <c r="AH12" s="531" t="str">
        <f>IFERROR((AD12/AC12),"-")</f>
        <v>-</v>
      </c>
    </row>
    <row r="13" spans="2:35" ht="15" thickBot="1" x14ac:dyDescent="0.4">
      <c r="B13" s="528" t="s">
        <v>154</v>
      </c>
      <c r="C13" s="532">
        <f>SUM(C9:C12)</f>
        <v>169</v>
      </c>
      <c r="D13" s="478">
        <f t="shared" ref="D13:H13" si="4">SUM(D9:D12)</f>
        <v>0</v>
      </c>
      <c r="E13" s="478">
        <f t="shared" si="4"/>
        <v>20</v>
      </c>
      <c r="F13" s="478">
        <f t="shared" si="4"/>
        <v>95</v>
      </c>
      <c r="G13" s="478">
        <f t="shared" si="4"/>
        <v>0</v>
      </c>
      <c r="H13" s="479">
        <f t="shared" si="4"/>
        <v>0</v>
      </c>
      <c r="I13" s="480">
        <f t="shared" si="1"/>
        <v>284</v>
      </c>
      <c r="J13" s="509" t="s">
        <v>157</v>
      </c>
      <c r="K13" s="510">
        <v>62.3</v>
      </c>
      <c r="L13" s="511">
        <v>3</v>
      </c>
      <c r="M13" s="511">
        <v>2.95</v>
      </c>
      <c r="N13" s="498">
        <v>10</v>
      </c>
      <c r="O13" s="499">
        <v>10</v>
      </c>
      <c r="P13" s="512">
        <f t="shared" si="3"/>
        <v>5.95</v>
      </c>
      <c r="Q13" s="483"/>
      <c r="R13" s="484"/>
      <c r="S13" s="484"/>
      <c r="T13" s="484"/>
      <c r="U13" s="484"/>
      <c r="V13" s="484"/>
      <c r="W13" s="484"/>
      <c r="X13" s="484"/>
      <c r="Y13" s="484"/>
      <c r="AA13" s="484"/>
      <c r="AB13" s="484"/>
      <c r="AC13" s="484"/>
      <c r="AD13" s="484"/>
      <c r="AE13" s="484"/>
      <c r="AF13" s="484"/>
      <c r="AG13" s="484"/>
      <c r="AH13" s="484"/>
    </row>
    <row r="14" spans="2:35" x14ac:dyDescent="0.35">
      <c r="B14" s="533" t="s">
        <v>156</v>
      </c>
      <c r="C14" s="534">
        <v>61</v>
      </c>
      <c r="D14" s="535">
        <v>134</v>
      </c>
      <c r="E14" s="535"/>
      <c r="F14" s="535">
        <v>30</v>
      </c>
      <c r="G14" s="535"/>
      <c r="H14" s="536"/>
      <c r="I14" s="537">
        <f t="shared" si="1"/>
        <v>225</v>
      </c>
      <c r="J14" s="509" t="s">
        <v>159</v>
      </c>
      <c r="K14" s="510">
        <v>62.5</v>
      </c>
      <c r="L14" s="511">
        <v>2.4</v>
      </c>
      <c r="M14" s="511">
        <v>2.4</v>
      </c>
      <c r="N14" s="521">
        <v>5</v>
      </c>
      <c r="O14" s="512">
        <v>10</v>
      </c>
      <c r="P14" s="512">
        <f t="shared" si="3"/>
        <v>4.8</v>
      </c>
      <c r="Q14" s="483"/>
      <c r="R14" s="484"/>
      <c r="S14" s="484"/>
      <c r="T14" s="484"/>
      <c r="U14" s="484"/>
      <c r="V14" s="484"/>
      <c r="W14" s="484"/>
      <c r="X14" s="484"/>
      <c r="Y14" s="484"/>
      <c r="AA14" s="484"/>
      <c r="AB14" s="484"/>
      <c r="AC14" s="484"/>
      <c r="AD14" s="484"/>
      <c r="AE14" s="484"/>
      <c r="AF14" s="484"/>
      <c r="AG14" s="484"/>
      <c r="AH14" s="484"/>
    </row>
    <row r="15" spans="2:35" x14ac:dyDescent="0.35">
      <c r="B15" s="516" t="s">
        <v>158</v>
      </c>
      <c r="C15" s="517">
        <v>20</v>
      </c>
      <c r="D15" s="518"/>
      <c r="E15" s="518">
        <v>60</v>
      </c>
      <c r="F15" s="518"/>
      <c r="G15" s="518"/>
      <c r="H15" s="519"/>
      <c r="I15" s="520">
        <f t="shared" si="1"/>
        <v>80</v>
      </c>
      <c r="J15" s="509" t="s">
        <v>161</v>
      </c>
      <c r="K15" s="510">
        <v>63</v>
      </c>
      <c r="L15" s="511">
        <v>2.6</v>
      </c>
      <c r="M15" s="511">
        <v>2.2000000000000002</v>
      </c>
      <c r="N15" s="521">
        <v>5</v>
      </c>
      <c r="O15" s="512">
        <v>5</v>
      </c>
      <c r="P15" s="512">
        <f t="shared" si="3"/>
        <v>4.8000000000000007</v>
      </c>
      <c r="Q15" s="483"/>
      <c r="R15" s="484"/>
      <c r="S15" s="484"/>
      <c r="T15" s="484"/>
      <c r="U15" s="484"/>
      <c r="V15" s="484"/>
      <c r="W15" s="484"/>
      <c r="X15" s="484"/>
      <c r="Y15" s="484"/>
      <c r="AA15" s="484"/>
      <c r="AB15" s="484"/>
      <c r="AC15" s="484"/>
      <c r="AD15" s="484"/>
      <c r="AE15" s="484"/>
      <c r="AF15" s="484"/>
      <c r="AG15" s="484"/>
      <c r="AH15" s="484"/>
    </row>
    <row r="16" spans="2:35" ht="15" thickBot="1" x14ac:dyDescent="0.4">
      <c r="B16" s="516" t="s">
        <v>160</v>
      </c>
      <c r="C16" s="517"/>
      <c r="D16" s="518"/>
      <c r="E16" s="518">
        <v>40</v>
      </c>
      <c r="F16" s="518"/>
      <c r="G16" s="518"/>
      <c r="H16" s="519"/>
      <c r="I16" s="520">
        <f t="shared" si="1"/>
        <v>40</v>
      </c>
      <c r="Q16" s="483"/>
      <c r="R16" s="538"/>
      <c r="S16" s="539"/>
      <c r="T16" s="539"/>
      <c r="U16" s="539"/>
      <c r="V16" s="539"/>
      <c r="W16" s="539"/>
      <c r="X16" s="538"/>
      <c r="Y16" s="538"/>
      <c r="AA16" s="538"/>
      <c r="AB16" s="539"/>
      <c r="AC16" s="539"/>
      <c r="AD16" s="539"/>
      <c r="AE16" s="539"/>
      <c r="AF16" s="539"/>
      <c r="AG16" s="538"/>
      <c r="AH16" s="538"/>
    </row>
    <row r="17" spans="2:35" ht="15" thickBot="1" x14ac:dyDescent="0.4">
      <c r="B17" s="523" t="s">
        <v>162</v>
      </c>
      <c r="C17" s="524"/>
      <c r="D17" s="525"/>
      <c r="E17" s="525">
        <v>130</v>
      </c>
      <c r="F17" s="525"/>
      <c r="G17" s="525"/>
      <c r="H17" s="526"/>
      <c r="I17" s="527">
        <f t="shared" si="1"/>
        <v>130</v>
      </c>
      <c r="J17" s="528"/>
      <c r="Q17" s="483"/>
      <c r="R17" s="538"/>
      <c r="S17" s="539"/>
      <c r="T17" s="539"/>
      <c r="U17" s="539"/>
      <c r="V17" s="539"/>
      <c r="W17" s="539"/>
      <c r="X17" s="538"/>
      <c r="Y17" s="538"/>
      <c r="AA17" s="538"/>
      <c r="AB17" s="539"/>
      <c r="AC17" s="539"/>
      <c r="AD17" s="539"/>
      <c r="AE17" s="539"/>
      <c r="AF17" s="539"/>
      <c r="AG17" s="538"/>
      <c r="AH17" s="538"/>
    </row>
    <row r="18" spans="2:35" ht="15" thickBot="1" x14ac:dyDescent="0.4">
      <c r="B18" s="528" t="s">
        <v>163</v>
      </c>
      <c r="C18" s="532">
        <f>SUM(C14:C17)</f>
        <v>81</v>
      </c>
      <c r="D18" s="478">
        <f t="shared" ref="D18:H18" si="5">SUM(D14:D17)</f>
        <v>134</v>
      </c>
      <c r="E18" s="478">
        <f t="shared" si="5"/>
        <v>230</v>
      </c>
      <c r="F18" s="478">
        <f t="shared" si="5"/>
        <v>30</v>
      </c>
      <c r="G18" s="478">
        <f t="shared" si="5"/>
        <v>0</v>
      </c>
      <c r="H18" s="479">
        <f t="shared" si="5"/>
        <v>0</v>
      </c>
      <c r="I18" s="480">
        <f>SUM(C18:H18)</f>
        <v>475</v>
      </c>
      <c r="J18" s="540"/>
      <c r="K18" s="541"/>
      <c r="L18" s="541"/>
      <c r="M18" s="541"/>
      <c r="N18" s="541"/>
      <c r="O18" s="542"/>
      <c r="P18" s="542"/>
      <c r="Q18" s="483"/>
      <c r="R18" s="538"/>
      <c r="S18" s="539"/>
      <c r="T18" s="539"/>
      <c r="U18" s="539"/>
      <c r="V18" s="539"/>
      <c r="W18" s="539"/>
      <c r="X18" s="538"/>
      <c r="Y18" s="538"/>
      <c r="AA18" s="538"/>
      <c r="AB18" s="539"/>
      <c r="AC18" s="539"/>
      <c r="AD18" s="539"/>
      <c r="AE18" s="539"/>
      <c r="AF18" s="539"/>
      <c r="AG18" s="538"/>
      <c r="AH18" s="538"/>
    </row>
    <row r="19" spans="2:35" ht="15" thickBot="1" x14ac:dyDescent="0.4">
      <c r="B19" s="543" t="s">
        <v>164</v>
      </c>
      <c r="C19" s="544"/>
      <c r="D19" s="494"/>
      <c r="E19" s="494"/>
      <c r="F19" s="494"/>
      <c r="G19" s="494"/>
      <c r="H19" s="545"/>
      <c r="I19" s="546">
        <f t="shared" si="1"/>
        <v>0</v>
      </c>
      <c r="J19" s="547"/>
      <c r="K19" s="538"/>
      <c r="L19" s="547"/>
      <c r="M19" s="538"/>
      <c r="N19" s="538"/>
      <c r="O19" s="538"/>
      <c r="P19" s="538"/>
      <c r="Q19" s="483"/>
      <c r="R19" s="538"/>
      <c r="S19" s="539"/>
      <c r="T19" s="539"/>
      <c r="U19" s="539"/>
      <c r="V19" s="539"/>
      <c r="W19" s="539"/>
      <c r="X19" s="538"/>
      <c r="Y19" s="538"/>
      <c r="AA19" s="538"/>
      <c r="AB19" s="539"/>
      <c r="AC19" s="539"/>
      <c r="AD19" s="539"/>
      <c r="AE19" s="539"/>
      <c r="AF19" s="539"/>
      <c r="AG19" s="538"/>
      <c r="AH19" s="538"/>
    </row>
    <row r="20" spans="2:35" ht="15" thickBot="1" x14ac:dyDescent="0.4">
      <c r="B20" s="528" t="s">
        <v>135</v>
      </c>
      <c r="C20" s="532">
        <f>C18+C19+C13</f>
        <v>250</v>
      </c>
      <c r="D20" s="478">
        <f t="shared" ref="D20:I20" si="6">D18+D19+D13</f>
        <v>134</v>
      </c>
      <c r="E20" s="478">
        <f t="shared" si="6"/>
        <v>250</v>
      </c>
      <c r="F20" s="478">
        <f t="shared" si="6"/>
        <v>125</v>
      </c>
      <c r="G20" s="478">
        <f t="shared" si="6"/>
        <v>0</v>
      </c>
      <c r="H20" s="479">
        <f t="shared" si="6"/>
        <v>0</v>
      </c>
      <c r="I20" s="480">
        <f t="shared" si="6"/>
        <v>759</v>
      </c>
      <c r="J20" s="538"/>
      <c r="K20" s="601" t="s">
        <v>165</v>
      </c>
      <c r="L20" s="602"/>
      <c r="M20" s="602"/>
      <c r="N20" s="602"/>
      <c r="O20" s="602"/>
      <c r="P20" s="484"/>
      <c r="Q20" s="483"/>
      <c r="R20" s="484"/>
      <c r="S20" s="603" t="s">
        <v>194</v>
      </c>
      <c r="T20" s="603"/>
      <c r="U20" s="603"/>
      <c r="V20" s="603"/>
      <c r="W20" s="603"/>
      <c r="X20" s="603"/>
      <c r="Y20" s="484"/>
      <c r="AA20" s="484"/>
      <c r="AB20" s="603" t="s">
        <v>196</v>
      </c>
      <c r="AC20" s="603"/>
      <c r="AD20" s="603"/>
      <c r="AE20" s="603"/>
      <c r="AF20" s="603"/>
      <c r="AG20" s="603"/>
      <c r="AH20" s="484"/>
    </row>
    <row r="21" spans="2:35" ht="15" thickBot="1" x14ac:dyDescent="0.4">
      <c r="J21" s="548"/>
      <c r="K21" s="485" t="s">
        <v>139</v>
      </c>
      <c r="L21" s="486" t="s">
        <v>140</v>
      </c>
      <c r="M21" s="486" t="s">
        <v>141</v>
      </c>
      <c r="N21" s="487" t="s">
        <v>142</v>
      </c>
      <c r="O21" s="488" t="s">
        <v>143</v>
      </c>
      <c r="P21" s="549" t="s">
        <v>144</v>
      </c>
      <c r="Q21" s="483"/>
      <c r="R21" s="484"/>
      <c r="S21" s="550" t="s">
        <v>166</v>
      </c>
      <c r="T21" s="551" t="s">
        <v>140</v>
      </c>
      <c r="U21" s="551" t="s">
        <v>141</v>
      </c>
      <c r="V21" s="552" t="s">
        <v>142</v>
      </c>
      <c r="W21" s="553" t="s">
        <v>143</v>
      </c>
      <c r="X21" s="554" t="s">
        <v>144</v>
      </c>
      <c r="Y21" s="555" t="s">
        <v>146</v>
      </c>
      <c r="AA21" s="484"/>
      <c r="AB21" s="550" t="s">
        <v>166</v>
      </c>
      <c r="AC21" s="551" t="s">
        <v>140</v>
      </c>
      <c r="AD21" s="551" t="s">
        <v>141</v>
      </c>
      <c r="AE21" s="552" t="s">
        <v>142</v>
      </c>
      <c r="AF21" s="553" t="s">
        <v>143</v>
      </c>
      <c r="AG21" s="554" t="s">
        <v>144</v>
      </c>
      <c r="AH21" s="555" t="s">
        <v>146</v>
      </c>
    </row>
    <row r="22" spans="2:35" ht="15" thickBot="1" x14ac:dyDescent="0.4">
      <c r="B22" s="608" t="s">
        <v>167</v>
      </c>
      <c r="C22" s="608"/>
      <c r="D22" s="608"/>
      <c r="E22" s="608"/>
      <c r="F22" s="608"/>
      <c r="G22" s="608"/>
      <c r="H22" s="608"/>
      <c r="I22" s="608"/>
      <c r="J22" s="495" t="s">
        <v>147</v>
      </c>
      <c r="K22" s="496">
        <v>61.5</v>
      </c>
      <c r="L22" s="497">
        <v>4.8</v>
      </c>
      <c r="M22" s="497">
        <v>3</v>
      </c>
      <c r="N22" s="497">
        <v>7</v>
      </c>
      <c r="O22" s="556">
        <v>40</v>
      </c>
      <c r="P22" s="556">
        <f t="shared" ref="P22:P23" si="7">+L22+M22</f>
        <v>7.8</v>
      </c>
      <c r="Q22" s="483"/>
      <c r="R22" s="500" t="s">
        <v>23</v>
      </c>
      <c r="S22" s="501">
        <f>IFERROR((SUMPRODUCT(K$22:K$25,$C$24:$C$27)+SUMPRODUCT($C$29:$C$32,K$26:K$29))/($C$28+$C$33),"-")</f>
        <v>61.6</v>
      </c>
      <c r="T22" s="501">
        <f>IFERROR((SUMPRODUCT(L$22:L$25,$C$24:$C$27)+SUMPRODUCT($C$29:$C$32,L$26:L$29))/($C$28+$C$33),"-")</f>
        <v>4.3236111111111111</v>
      </c>
      <c r="U22" s="501">
        <f>IFERROR((SUMPRODUCT(M$22:M$25,$C$24:$C$27)+SUMPRODUCT($C$29:$C$32,M$26:M$29))/($C$28+$C$33),"-")</f>
        <v>2.7958333333333334</v>
      </c>
      <c r="V22" s="501">
        <f>IFERROR((SUMPRODUCT(N$22:N$25,$C$24:$C$27)+SUMPRODUCT($C$29:$C$32,N$26:N$29))/($C$28+$C$33),"-")</f>
        <v>6.9444444444444446</v>
      </c>
      <c r="W22" s="501">
        <f>IFERROR((SUMPRODUCT(O$22:O$25,$C$24:$C$27)+SUMPRODUCT($C$29:$C$32,O$26:O$29))/($C$28+$C$33),"-")</f>
        <v>40</v>
      </c>
      <c r="X22" s="502">
        <f t="shared" ref="X22:X27" si="8">IFERROR((T22+U22),"-")</f>
        <v>7.1194444444444445</v>
      </c>
      <c r="Y22" s="503">
        <f t="shared" ref="Y22:Y27" si="9">IFERROR((U22/T22),"-")</f>
        <v>0.64664310954063609</v>
      </c>
      <c r="AA22" s="500" t="s">
        <v>23</v>
      </c>
      <c r="AB22" s="501">
        <f>VLOOKUP($AA$5,BLEND!$K$8:$P$20,2,FALSE)</f>
        <v>60.449305424625138</v>
      </c>
      <c r="AC22" s="501">
        <f>VLOOKUP($AA$5,BLEND!$K$8:$P$20,3,FALSE)</f>
        <v>5.8416235773292389</v>
      </c>
      <c r="AD22" s="501">
        <f>VLOOKUP($AA$5,BLEND!$K$8:$P$20,4,FALSE)</f>
        <v>2.9682910213667495</v>
      </c>
      <c r="AE22" s="501">
        <f>VLOOKUP($AA$5,BLEND!$K$8:$P$20,5,FALSE)</f>
        <v>5.4722667148417612</v>
      </c>
      <c r="AF22" s="501">
        <f>VLOOKUP($AA$5,BLEND!$K$8:$P$20,6,FALSE)</f>
        <v>41.922018952520155</v>
      </c>
      <c r="AG22" s="502">
        <v>8.0967727037698598</v>
      </c>
      <c r="AH22" s="503">
        <f t="shared" ref="AH22:AH27" si="10">IFERROR((AD22/AC22),"-")</f>
        <v>0.50812774600650279</v>
      </c>
      <c r="AI22" t="str">
        <f>AA22</f>
        <v>BSL</v>
      </c>
    </row>
    <row r="23" spans="2:35" ht="15" thickBot="1" x14ac:dyDescent="0.4">
      <c r="B23" s="476"/>
      <c r="C23" s="477" t="s">
        <v>23</v>
      </c>
      <c r="D23" s="478" t="s">
        <v>26</v>
      </c>
      <c r="E23" s="478" t="s">
        <v>21</v>
      </c>
      <c r="F23" s="478" t="s">
        <v>25</v>
      </c>
      <c r="G23" s="478" t="s">
        <v>24</v>
      </c>
      <c r="H23" s="479" t="s">
        <v>168</v>
      </c>
      <c r="I23" s="480" t="s">
        <v>135</v>
      </c>
      <c r="J23" s="509" t="s">
        <v>149</v>
      </c>
      <c r="K23" s="510">
        <v>61</v>
      </c>
      <c r="L23" s="511">
        <v>5</v>
      </c>
      <c r="M23" s="511">
        <v>3</v>
      </c>
      <c r="N23" s="497">
        <v>7</v>
      </c>
      <c r="O23" s="557">
        <v>40</v>
      </c>
      <c r="P23" s="557">
        <f t="shared" si="7"/>
        <v>8</v>
      </c>
      <c r="Q23" s="483"/>
      <c r="R23" s="513" t="s">
        <v>26</v>
      </c>
      <c r="S23" s="501">
        <f>IFERROR((SUMPRODUCT(K$22:K$25,$D$24:$D$27)+SUMPRODUCT($D$29:$D$32,K$26:K$29))/($D$28+$D$33),"-")</f>
        <v>61.924778761061944</v>
      </c>
      <c r="T23" s="501">
        <f>IFERROR((SUMPRODUCT(L$22:L$25,$D$24:$D$27)+SUMPRODUCT($D$29:$D$32,L$26:L$29))/($D$28+$D$33),"-")</f>
        <v>3.7389380530973453</v>
      </c>
      <c r="U23" s="501">
        <f>IFERROR((SUMPRODUCT(M$22:M$25,$D$24:$D$27)+SUMPRODUCT($D$29:$D$32,M$26:M$29))/($D$28+$D$33),"-")</f>
        <v>2.5796460176991149</v>
      </c>
      <c r="V23" s="501">
        <f>IFERROR((SUMPRODUCT(N$22:N$25,$D$24:$D$27)+SUMPRODUCT($D$29:$D$32,N$26:N$29))/($D$28+$D$33),"-")</f>
        <v>7</v>
      </c>
      <c r="W23" s="501">
        <f>IFERROR((SUMPRODUCT(O$22:O$25,$D$24:$D$27)+SUMPRODUCT($D$29:$D$32,O$26:O$29))/($D$28+$D$33),"-")</f>
        <v>40</v>
      </c>
      <c r="X23" s="514">
        <f t="shared" si="8"/>
        <v>6.3185840707964598</v>
      </c>
      <c r="Y23" s="515">
        <f t="shared" si="9"/>
        <v>0.68994082840236681</v>
      </c>
      <c r="AA23" s="513" t="s">
        <v>26</v>
      </c>
      <c r="AB23" s="501">
        <f>VLOOKUP($AA$5,BLEND!$K$31:$P$43,2,FALSE)</f>
        <v>61.110195988180479</v>
      </c>
      <c r="AC23" s="501">
        <f>VLOOKUP($AA$5,BLEND!$K$31:$P$43,3,FALSE)</f>
        <v>4.9734852255938167</v>
      </c>
      <c r="AD23" s="501">
        <f>VLOOKUP($AA$5,BLEND!$K$31:$P$43,4,FALSE)</f>
        <v>2.1065911467212182</v>
      </c>
      <c r="AE23" s="501">
        <f>VLOOKUP($AA$5,BLEND!$K$31:$P$43,5,FALSE)</f>
        <v>11.621387828162291</v>
      </c>
      <c r="AF23" s="501">
        <f>VLOOKUP($AA$5,BLEND!$K$31:$P$43,6,FALSE)</f>
        <v>34.442680418229344</v>
      </c>
      <c r="AG23" s="514">
        <f t="shared" ref="AG23:AG27" si="11">IFERROR((AC23+AD23),"-")</f>
        <v>7.0800763723150348</v>
      </c>
      <c r="AH23" s="515">
        <f t="shared" si="10"/>
        <v>0.42356437209878284</v>
      </c>
      <c r="AI23" t="str">
        <f t="shared" ref="AI23:AI25" si="12">AA23</f>
        <v>DSP</v>
      </c>
    </row>
    <row r="24" spans="2:35" ht="15" thickBot="1" x14ac:dyDescent="0.4">
      <c r="B24" s="504" t="s">
        <v>148</v>
      </c>
      <c r="C24" s="505">
        <v>95</v>
      </c>
      <c r="D24" s="506"/>
      <c r="E24" s="506">
        <v>51</v>
      </c>
      <c r="F24" s="506"/>
      <c r="G24" s="506">
        <v>100</v>
      </c>
      <c r="H24" s="507"/>
      <c r="I24" s="508">
        <f t="shared" ref="I24:I34" si="13">SUM(C24:H24)</f>
        <v>246</v>
      </c>
      <c r="J24" s="509" t="s">
        <v>15</v>
      </c>
      <c r="K24" s="510">
        <v>62</v>
      </c>
      <c r="L24" s="511">
        <v>3.8</v>
      </c>
      <c r="M24" s="511">
        <v>2.7</v>
      </c>
      <c r="N24" s="511">
        <v>7</v>
      </c>
      <c r="O24" s="557">
        <v>40</v>
      </c>
      <c r="P24" s="557">
        <f t="shared" ref="P24:P29" si="14">+L24+M24</f>
        <v>6.5</v>
      </c>
      <c r="Q24" s="483"/>
      <c r="R24" s="513" t="s">
        <v>21</v>
      </c>
      <c r="S24" s="501">
        <f>IFERROR((SUMPRODUCT(K$22:K$25,$E$24:$E$27)+SUMPRODUCT($E$29:$E$32,K$26:K$29))/($E$28+$E$33),"-")</f>
        <v>62.065384615384616</v>
      </c>
      <c r="T24" s="501">
        <f>IFERROR((SUMPRODUCT(L$22:L$25,$E$24:$E$27)+SUMPRODUCT($E$29:$E$32,L$26:L$29))/($E$28+$E$33),"-")</f>
        <v>3.5034615384615382</v>
      </c>
      <c r="U24" s="501">
        <f>IFERROR((SUMPRODUCT(M$22:M$25,$E$24:$E$27)+SUMPRODUCT($E$29:$E$32,M$26:M$29))/($E$28+$E$33),"-")</f>
        <v>2.9730769230769232</v>
      </c>
      <c r="V24" s="501">
        <f>IFERROR((SUMPRODUCT(N$22:N$25,$E$24:$E$27)+SUMPRODUCT($E$29:$E$32,N$26:N$29))/($E$28+$E$33),"-")</f>
        <v>5.9230769230769234</v>
      </c>
      <c r="W24" s="501">
        <f>IFERROR((SUMPRODUCT(O$22:O$25,$E$24:$E$27)+SUMPRODUCT($E$29:$E$32,O$26:O$29))/($E$28+$E$33),"-")</f>
        <v>40</v>
      </c>
      <c r="X24" s="514">
        <f t="shared" si="8"/>
        <v>6.4765384615384614</v>
      </c>
      <c r="Y24" s="515">
        <f t="shared" si="9"/>
        <v>0.84861126358546501</v>
      </c>
      <c r="AA24" s="513" t="s">
        <v>21</v>
      </c>
      <c r="AB24" s="501">
        <f>VLOOKUP($AA$5,BLEND!$K$56:$P$68,2,FALSE)</f>
        <v>61.866480919043653</v>
      </c>
      <c r="AC24" s="501">
        <f>VLOOKUP($AA$5,BLEND!$K$56:$P$68,3,FALSE)</f>
        <v>3.7716426194434169</v>
      </c>
      <c r="AD24" s="501">
        <f>VLOOKUP($AA$5,BLEND!$K$56:$P$68,4,FALSE)</f>
        <v>2.5384665721267261</v>
      </c>
      <c r="AE24" s="501">
        <f>VLOOKUP($AA$5,BLEND!$K$56:$P$68,5,FALSE)</f>
        <v>0</v>
      </c>
      <c r="AF24" s="501">
        <f>VLOOKUP($AA$5,BLEND!$K$56:$P$68,6,FALSE)</f>
        <v>0</v>
      </c>
      <c r="AG24" s="514">
        <f t="shared" si="11"/>
        <v>6.3101091915701435</v>
      </c>
      <c r="AH24" s="515">
        <f t="shared" si="10"/>
        <v>0.67304005926768551</v>
      </c>
      <c r="AI24" t="str">
        <f t="shared" si="12"/>
        <v>RSP</v>
      </c>
    </row>
    <row r="25" spans="2:35" ht="15" thickBot="1" x14ac:dyDescent="0.4">
      <c r="B25" s="516" t="s">
        <v>150</v>
      </c>
      <c r="C25" s="517">
        <v>120</v>
      </c>
      <c r="D25" s="518">
        <v>36</v>
      </c>
      <c r="E25" s="518">
        <v>54</v>
      </c>
      <c r="F25" s="518">
        <v>50</v>
      </c>
      <c r="G25" s="518"/>
      <c r="H25" s="519"/>
      <c r="I25" s="520">
        <f t="shared" si="13"/>
        <v>260</v>
      </c>
      <c r="J25" s="558" t="s">
        <v>152</v>
      </c>
      <c r="K25" s="559">
        <v>63</v>
      </c>
      <c r="L25" s="560">
        <v>2.8</v>
      </c>
      <c r="M25" s="560">
        <v>2.4</v>
      </c>
      <c r="N25" s="560">
        <v>5</v>
      </c>
      <c r="O25" s="561">
        <v>40</v>
      </c>
      <c r="P25" s="561">
        <f t="shared" si="14"/>
        <v>5.1999999999999993</v>
      </c>
      <c r="Q25" s="483"/>
      <c r="R25" s="513" t="s">
        <v>25</v>
      </c>
      <c r="S25" s="501">
        <f>IFERROR((SUMPRODUCT(K$22:K$25,$F$24:$F$27)+SUMPRODUCT($F$29:$F$32,K$26:K$29))/($F$28+$F$33),"-")</f>
        <v>61.83606557377049</v>
      </c>
      <c r="T25" s="501">
        <f>IFERROR((SUMPRODUCT(L$22:L$25,$F$24:$F$27)+SUMPRODUCT($F$29:$F$32,L$26:L$29))/($F$28+$F$33),"-")</f>
        <v>3.9967213114754099</v>
      </c>
      <c r="U25" s="501">
        <f>IFERROR((SUMPRODUCT(M$22:M$25,$F$24:$F$27)+SUMPRODUCT($F$29:$F$32,M$26:M$29))/($F$28+$F$33),"-")</f>
        <v>2.7491803278688525</v>
      </c>
      <c r="V25" s="501">
        <f>IFERROR((SUMPRODUCT(N$22:N$25,$F$24:$F$27)+SUMPRODUCT($F$29:$F$32,N$26:N$29))/($F$28+$F$33),"-")</f>
        <v>7</v>
      </c>
      <c r="W25" s="501">
        <f>IFERROR((SUMPRODUCT(O$22:O$25,$F$24:$F$27)+SUMPRODUCT($F$29:$F$32,O$26:O$29))/($F$28+$F$33),"-")</f>
        <v>40</v>
      </c>
      <c r="X25" s="514">
        <f t="shared" si="8"/>
        <v>6.7459016393442628</v>
      </c>
      <c r="Y25" s="515">
        <f t="shared" si="9"/>
        <v>0.68785890073831013</v>
      </c>
      <c r="AA25" s="513" t="s">
        <v>25</v>
      </c>
      <c r="AB25" s="501">
        <f>VLOOKUP($AA$5,BLEND!$K$76:$P$88,2,FALSE)</f>
        <v>62.07196176907366</v>
      </c>
      <c r="AC25" s="501">
        <f>VLOOKUP($AA$5,BLEND!$K$76:$P$88,3,FALSE)</f>
        <v>5.1212148858678015</v>
      </c>
      <c r="AD25" s="501">
        <f>VLOOKUP($AA$5,BLEND!$K$76:$P$88,4,FALSE)</f>
        <v>1.8497616713818794</v>
      </c>
      <c r="AE25" s="501">
        <f>VLOOKUP($AA$5,BLEND!$K$76:$P$88,5,FALSE)</f>
        <v>7.8829235086431009</v>
      </c>
      <c r="AF25" s="501">
        <f>VLOOKUP($AA$5,BLEND!$K$76:$P$88,6,FALSE)</f>
        <v>41.57072619746198</v>
      </c>
      <c r="AG25" s="514">
        <f t="shared" si="11"/>
        <v>6.9709765572496813</v>
      </c>
      <c r="AH25" s="515">
        <f t="shared" si="10"/>
        <v>0.36119587102005252</v>
      </c>
      <c r="AI25" t="str">
        <f t="shared" si="12"/>
        <v>ISP</v>
      </c>
    </row>
    <row r="26" spans="2:35" ht="15" thickBot="1" x14ac:dyDescent="0.4">
      <c r="B26" s="516" t="s">
        <v>151</v>
      </c>
      <c r="C26" s="517"/>
      <c r="D26" s="518"/>
      <c r="E26" s="518"/>
      <c r="F26" s="518">
        <v>255</v>
      </c>
      <c r="G26" s="518"/>
      <c r="H26" s="519"/>
      <c r="I26" s="520">
        <f t="shared" si="13"/>
        <v>255</v>
      </c>
      <c r="J26" s="509" t="s">
        <v>155</v>
      </c>
      <c r="K26" s="510">
        <v>62.1</v>
      </c>
      <c r="L26" s="511">
        <v>3.5</v>
      </c>
      <c r="M26" s="511">
        <v>2.5</v>
      </c>
      <c r="N26" s="497">
        <v>7</v>
      </c>
      <c r="O26" s="557">
        <v>40</v>
      </c>
      <c r="P26" s="557">
        <f t="shared" si="14"/>
        <v>6</v>
      </c>
      <c r="Q26" s="483"/>
      <c r="R26" s="562" t="s">
        <v>24</v>
      </c>
      <c r="S26" s="501">
        <f>IFERROR((SUMPRODUCT(K$22:K$25,$G$24:$G$27)+SUMPRODUCT($G$29:$G$32,K$26:K$29))/($G$28+$G$33),"-")</f>
        <v>61.5</v>
      </c>
      <c r="T26" s="501">
        <f>IFERROR((SUMPRODUCT(L$22:L$25,$G$24:$G$27)+SUMPRODUCT($G$29:$G$32,L$26:L$29))/($G$28+$G$33),"-")</f>
        <v>4.8</v>
      </c>
      <c r="U26" s="501">
        <f>IFERROR((SUMPRODUCT(M$22:M$25,$G$24:$G$27)+SUMPRODUCT($G$29:$G$32,M$26:M$29))/($G$28+$G$33),"-")</f>
        <v>3</v>
      </c>
      <c r="V26" s="501">
        <f>IFERROR((SUMPRODUCT(N$22:N$25,$G$24:$G$27)+SUMPRODUCT($G$29:$G$32,N$26:N$29))/($G$28+$G$33),"-")</f>
        <v>7</v>
      </c>
      <c r="W26" s="501">
        <f>IFERROR((SUMPRODUCT(O$22:O$25,$G$24:$G$27)+SUMPRODUCT($G$29:$G$32,O$26:O$29))/($G$28+$G$33),"-")</f>
        <v>40</v>
      </c>
      <c r="X26" s="514">
        <f t="shared" si="8"/>
        <v>7.8</v>
      </c>
      <c r="Y26" s="515">
        <f t="shared" si="9"/>
        <v>0.625</v>
      </c>
      <c r="AA26" s="562" t="s">
        <v>24</v>
      </c>
      <c r="AB26" s="501"/>
      <c r="AC26" s="501"/>
      <c r="AD26" s="501"/>
      <c r="AE26" s="501"/>
      <c r="AF26" s="501"/>
      <c r="AG26" s="514">
        <f t="shared" si="11"/>
        <v>0</v>
      </c>
      <c r="AH26" s="515" t="str">
        <f t="shared" si="10"/>
        <v>-</v>
      </c>
    </row>
    <row r="27" spans="2:35" ht="15" thickBot="1" x14ac:dyDescent="0.4">
      <c r="B27" s="523" t="s">
        <v>153</v>
      </c>
      <c r="C27" s="524">
        <v>10</v>
      </c>
      <c r="D27" s="525"/>
      <c r="E27" s="525"/>
      <c r="F27" s="525"/>
      <c r="G27" s="525"/>
      <c r="H27" s="526"/>
      <c r="I27" s="527">
        <f t="shared" si="13"/>
        <v>10</v>
      </c>
      <c r="J27" s="509" t="s">
        <v>157</v>
      </c>
      <c r="K27" s="510">
        <v>61.3</v>
      </c>
      <c r="L27" s="511">
        <v>3.6</v>
      </c>
      <c r="M27" s="511">
        <v>3.6</v>
      </c>
      <c r="N27" s="497">
        <v>7</v>
      </c>
      <c r="O27" s="557">
        <v>40</v>
      </c>
      <c r="P27" s="557">
        <f t="shared" si="14"/>
        <v>7.2</v>
      </c>
      <c r="Q27" s="483"/>
      <c r="R27" s="563" t="s">
        <v>169</v>
      </c>
      <c r="S27" s="501">
        <f>IFERROR((SUMPRODUCT(K$22:K$25,$H$24:$H$27)+SUMPRODUCT($H$29:$H$32,K$26:K$29))/($H$28+$H$33),"-")</f>
        <v>61.417391304347824</v>
      </c>
      <c r="T27" s="501">
        <f>IFERROR((SUMPRODUCT(L$22:L$25,$H$24:$H$27)+SUMPRODUCT($H$29:$H$32,L$26:L$29))/($H$28+$H$33),"-")</f>
        <v>3.5217391304347827</v>
      </c>
      <c r="U27" s="501">
        <f>IFERROR((SUMPRODUCT(M$22:M$25,$H$24:$H$27)+SUMPRODUCT($H$29:$H$32,M$26:M$29))/($H$28+$H$33),"-")</f>
        <v>3.5217391304347827</v>
      </c>
      <c r="V27" s="501">
        <f>IFERROR((SUMPRODUCT(N$22:N$25,$H$24:$H$27)+SUMPRODUCT($H$29:$H$32,N$26:N$29))/($H$28+$H$33),"-")</f>
        <v>6.7391304347826084</v>
      </c>
      <c r="W27" s="501">
        <f>IFERROR((SUMPRODUCT(O$22:O$25,$H$24:$H$27)+SUMPRODUCT($H$29:$H$32,O$26:O$29))/($H$28+$H$33),"-")</f>
        <v>40</v>
      </c>
      <c r="X27" s="530">
        <f t="shared" si="8"/>
        <v>7.0434782608695654</v>
      </c>
      <c r="Y27" s="531">
        <f t="shared" si="9"/>
        <v>1</v>
      </c>
      <c r="AA27" s="563" t="s">
        <v>169</v>
      </c>
      <c r="AB27" s="501"/>
      <c r="AC27" s="501"/>
      <c r="AD27" s="501"/>
      <c r="AE27" s="501"/>
      <c r="AF27" s="501"/>
      <c r="AG27" s="530">
        <f t="shared" si="11"/>
        <v>0</v>
      </c>
      <c r="AH27" s="531" t="str">
        <f t="shared" si="10"/>
        <v>-</v>
      </c>
    </row>
    <row r="28" spans="2:35" ht="15" thickBot="1" x14ac:dyDescent="0.4">
      <c r="B28" s="528" t="s">
        <v>154</v>
      </c>
      <c r="C28" s="532">
        <f>SUM(C24:C27)</f>
        <v>225</v>
      </c>
      <c r="D28" s="478">
        <f t="shared" ref="D28:H28" si="15">SUM(D24:D27)</f>
        <v>36</v>
      </c>
      <c r="E28" s="478">
        <f t="shared" si="15"/>
        <v>105</v>
      </c>
      <c r="F28" s="478">
        <f t="shared" si="15"/>
        <v>305</v>
      </c>
      <c r="G28" s="478">
        <f t="shared" si="15"/>
        <v>100</v>
      </c>
      <c r="H28" s="479">
        <f t="shared" si="15"/>
        <v>0</v>
      </c>
      <c r="I28" s="480">
        <f t="shared" si="13"/>
        <v>771</v>
      </c>
      <c r="J28" s="509" t="s">
        <v>159</v>
      </c>
      <c r="K28" s="510">
        <v>62.2</v>
      </c>
      <c r="L28" s="511">
        <v>3</v>
      </c>
      <c r="M28" s="511">
        <v>3</v>
      </c>
      <c r="N28" s="511">
        <v>5</v>
      </c>
      <c r="O28" s="557">
        <v>40</v>
      </c>
      <c r="P28" s="557">
        <f t="shared" si="14"/>
        <v>6</v>
      </c>
      <c r="Q28" s="483"/>
      <c r="R28" s="484"/>
      <c r="S28" s="484"/>
      <c r="T28" s="484"/>
      <c r="U28" s="484"/>
      <c r="V28" s="484"/>
      <c r="W28" s="484"/>
      <c r="X28" s="484"/>
      <c r="Y28" s="484"/>
    </row>
    <row r="29" spans="2:35" x14ac:dyDescent="0.35">
      <c r="B29" s="533" t="s">
        <v>156</v>
      </c>
      <c r="C29" s="534">
        <v>135</v>
      </c>
      <c r="D29" s="535">
        <v>190</v>
      </c>
      <c r="E29" s="535"/>
      <c r="F29" s="535"/>
      <c r="G29" s="535"/>
      <c r="H29" s="536"/>
      <c r="I29" s="537">
        <f t="shared" si="13"/>
        <v>325</v>
      </c>
      <c r="J29" s="509" t="s">
        <v>161</v>
      </c>
      <c r="K29" s="510">
        <v>63</v>
      </c>
      <c r="L29" s="511">
        <v>2.9</v>
      </c>
      <c r="M29" s="511">
        <v>2.5</v>
      </c>
      <c r="N29" s="511">
        <v>5</v>
      </c>
      <c r="O29" s="557">
        <v>40</v>
      </c>
      <c r="P29" s="557">
        <f t="shared" si="14"/>
        <v>5.4</v>
      </c>
      <c r="Q29" s="483"/>
      <c r="R29" s="484"/>
      <c r="S29" s="484"/>
      <c r="T29" s="484"/>
      <c r="U29" s="484"/>
      <c r="V29" s="484"/>
      <c r="W29" s="484"/>
      <c r="X29" s="484"/>
      <c r="Y29" s="484"/>
    </row>
    <row r="30" spans="2:35" x14ac:dyDescent="0.35">
      <c r="B30" s="516" t="s">
        <v>158</v>
      </c>
      <c r="C30" s="517"/>
      <c r="D30" s="518"/>
      <c r="E30" s="518">
        <v>135</v>
      </c>
      <c r="F30" s="518"/>
      <c r="G30" s="518"/>
      <c r="H30" s="519">
        <v>100</v>
      </c>
      <c r="I30" s="520">
        <f t="shared" si="13"/>
        <v>235</v>
      </c>
      <c r="Q30" s="538"/>
      <c r="R30" s="538"/>
      <c r="S30" s="538"/>
      <c r="T30" s="538"/>
      <c r="U30" s="538"/>
      <c r="V30" s="538"/>
      <c r="W30" s="538"/>
      <c r="X30" s="538"/>
      <c r="Y30" s="538"/>
    </row>
    <row r="31" spans="2:35" ht="15" thickBot="1" x14ac:dyDescent="0.4">
      <c r="B31" s="516" t="s">
        <v>160</v>
      </c>
      <c r="C31" s="517"/>
      <c r="D31" s="518"/>
      <c r="E31" s="518">
        <v>90</v>
      </c>
      <c r="F31" s="518"/>
      <c r="G31" s="518"/>
      <c r="H31" s="519">
        <v>15</v>
      </c>
      <c r="I31" s="520">
        <f t="shared" si="13"/>
        <v>105</v>
      </c>
      <c r="W31" s="564"/>
      <c r="X31" s="564"/>
      <c r="Y31" s="564"/>
    </row>
    <row r="32" spans="2:35" ht="15" thickBot="1" x14ac:dyDescent="0.4">
      <c r="B32" s="523" t="s">
        <v>162</v>
      </c>
      <c r="C32" s="524"/>
      <c r="D32" s="525"/>
      <c r="E32" s="525">
        <v>190</v>
      </c>
      <c r="F32" s="525"/>
      <c r="G32" s="525"/>
      <c r="H32" s="526"/>
      <c r="I32" s="527">
        <f t="shared" si="13"/>
        <v>190</v>
      </c>
      <c r="J32" s="540"/>
      <c r="K32" s="541"/>
      <c r="L32" s="541"/>
      <c r="M32" s="541"/>
      <c r="N32" s="541"/>
      <c r="O32" s="541"/>
      <c r="P32" s="565"/>
    </row>
    <row r="33" spans="2:58" ht="15" thickBot="1" x14ac:dyDescent="0.4">
      <c r="B33" s="528" t="s">
        <v>163</v>
      </c>
      <c r="C33" s="532">
        <f>SUM(C29:C32)</f>
        <v>135</v>
      </c>
      <c r="D33" s="478">
        <f t="shared" ref="D33:H33" si="16">SUM(D29:D32)</f>
        <v>190</v>
      </c>
      <c r="E33" s="478">
        <f t="shared" si="16"/>
        <v>415</v>
      </c>
      <c r="F33" s="478">
        <f t="shared" si="16"/>
        <v>0</v>
      </c>
      <c r="G33" s="478">
        <f t="shared" si="16"/>
        <v>0</v>
      </c>
      <c r="H33" s="479">
        <f t="shared" si="16"/>
        <v>115</v>
      </c>
      <c r="I33" s="480">
        <f t="shared" si="13"/>
        <v>855</v>
      </c>
    </row>
    <row r="34" spans="2:58" ht="15" thickBot="1" x14ac:dyDescent="0.4">
      <c r="B34" s="543" t="s">
        <v>164</v>
      </c>
      <c r="C34" s="544"/>
      <c r="D34" s="494"/>
      <c r="E34" s="494"/>
      <c r="F34" s="494"/>
      <c r="G34" s="494"/>
      <c r="H34" s="545"/>
      <c r="I34" s="546">
        <f t="shared" si="13"/>
        <v>0</v>
      </c>
    </row>
    <row r="35" spans="2:58" ht="15" thickBot="1" x14ac:dyDescent="0.4">
      <c r="B35" s="528" t="s">
        <v>135</v>
      </c>
      <c r="C35" s="532">
        <f>C33+C34+C28</f>
        <v>360</v>
      </c>
      <c r="D35" s="478">
        <f t="shared" ref="D35:I35" si="17">D33+D34+D28</f>
        <v>226</v>
      </c>
      <c r="E35" s="478">
        <f t="shared" si="17"/>
        <v>520</v>
      </c>
      <c r="F35" s="478">
        <f t="shared" si="17"/>
        <v>305</v>
      </c>
      <c r="G35" s="478">
        <f t="shared" si="17"/>
        <v>100</v>
      </c>
      <c r="H35" s="479">
        <f t="shared" si="17"/>
        <v>115</v>
      </c>
      <c r="I35" s="480">
        <f t="shared" si="17"/>
        <v>1626</v>
      </c>
    </row>
    <row r="36" spans="2:58" x14ac:dyDescent="0.35">
      <c r="U36" s="1"/>
      <c r="V36" s="2"/>
      <c r="W36" s="2"/>
    </row>
    <row r="38" spans="2:58" x14ac:dyDescent="0.35">
      <c r="C38" s="566"/>
      <c r="D38" s="566"/>
      <c r="E38" s="566"/>
      <c r="F38" s="566"/>
      <c r="G38" s="566"/>
      <c r="S38" s="567"/>
    </row>
    <row r="39" spans="2:58" ht="15" thickBot="1" x14ac:dyDescent="0.4">
      <c r="B39" s="608" t="s">
        <v>170</v>
      </c>
      <c r="C39" s="608"/>
      <c r="D39" s="608"/>
      <c r="E39" s="608"/>
      <c r="F39" s="608"/>
      <c r="G39" s="608"/>
      <c r="H39" s="608"/>
      <c r="I39" s="608"/>
    </row>
    <row r="40" spans="2:58" ht="15" thickBot="1" x14ac:dyDescent="0.4">
      <c r="B40" s="476"/>
      <c r="C40" s="477" t="s">
        <v>23</v>
      </c>
      <c r="D40" s="478" t="s">
        <v>26</v>
      </c>
      <c r="E40" s="478" t="s">
        <v>21</v>
      </c>
      <c r="F40" s="478" t="s">
        <v>25</v>
      </c>
      <c r="G40" s="478" t="s">
        <v>24</v>
      </c>
      <c r="H40" s="479" t="s">
        <v>168</v>
      </c>
      <c r="I40" s="480" t="s">
        <v>135</v>
      </c>
      <c r="X40" s="567"/>
    </row>
    <row r="41" spans="2:58" x14ac:dyDescent="0.35">
      <c r="B41" s="504" t="s">
        <v>148</v>
      </c>
      <c r="C41" s="505">
        <f t="shared" ref="C41:G44" si="18">+C24+C9</f>
        <v>169</v>
      </c>
      <c r="D41" s="506">
        <f t="shared" si="18"/>
        <v>0</v>
      </c>
      <c r="E41" s="506">
        <f t="shared" si="18"/>
        <v>61</v>
      </c>
      <c r="F41" s="506">
        <f t="shared" si="18"/>
        <v>0</v>
      </c>
      <c r="G41" s="506">
        <f t="shared" si="18"/>
        <v>100</v>
      </c>
      <c r="H41" s="507"/>
      <c r="I41" s="508">
        <f t="shared" ref="I41:I51" si="19">SUM(C41:H41)</f>
        <v>330</v>
      </c>
    </row>
    <row r="42" spans="2:58" x14ac:dyDescent="0.35">
      <c r="B42" s="516" t="s">
        <v>150</v>
      </c>
      <c r="C42" s="517">
        <f t="shared" si="18"/>
        <v>200</v>
      </c>
      <c r="D42" s="518">
        <f t="shared" si="18"/>
        <v>36</v>
      </c>
      <c r="E42" s="518">
        <f t="shared" si="18"/>
        <v>64</v>
      </c>
      <c r="F42" s="518">
        <f t="shared" si="18"/>
        <v>50</v>
      </c>
      <c r="G42" s="518">
        <f t="shared" si="18"/>
        <v>0</v>
      </c>
      <c r="H42" s="519"/>
      <c r="I42" s="520">
        <f t="shared" si="19"/>
        <v>350</v>
      </c>
      <c r="S42" s="567"/>
    </row>
    <row r="43" spans="2:58" ht="18.5" x14ac:dyDescent="0.45">
      <c r="B43" s="516" t="s">
        <v>151</v>
      </c>
      <c r="C43" s="517">
        <f t="shared" si="18"/>
        <v>0</v>
      </c>
      <c r="D43" s="518">
        <f t="shared" si="18"/>
        <v>0</v>
      </c>
      <c r="E43" s="518">
        <f t="shared" si="18"/>
        <v>0</v>
      </c>
      <c r="F43" s="518">
        <f t="shared" si="18"/>
        <v>350</v>
      </c>
      <c r="G43" s="518">
        <f t="shared" si="18"/>
        <v>0</v>
      </c>
      <c r="H43" s="519"/>
      <c r="I43" s="520">
        <f t="shared" si="19"/>
        <v>350</v>
      </c>
      <c r="P43" s="605" t="s">
        <v>198</v>
      </c>
      <c r="Q43" s="605"/>
      <c r="R43" s="605"/>
      <c r="S43" s="605"/>
      <c r="T43" s="605"/>
      <c r="U43" s="605"/>
      <c r="V43" s="605"/>
      <c r="W43" s="605"/>
      <c r="X43" s="605"/>
      <c r="Y43" s="605"/>
      <c r="Z43" s="605"/>
      <c r="AA43" s="605"/>
      <c r="AB43" s="605"/>
      <c r="AC43" s="605"/>
      <c r="AD43" s="605"/>
    </row>
    <row r="44" spans="2:58" ht="15" thickBot="1" x14ac:dyDescent="0.4">
      <c r="B44" s="523" t="s">
        <v>153</v>
      </c>
      <c r="C44" s="524">
        <f t="shared" si="18"/>
        <v>25</v>
      </c>
      <c r="D44" s="525">
        <f t="shared" si="18"/>
        <v>0</v>
      </c>
      <c r="E44" s="525">
        <f t="shared" si="18"/>
        <v>0</v>
      </c>
      <c r="F44" s="525">
        <f t="shared" si="18"/>
        <v>0</v>
      </c>
      <c r="G44" s="525">
        <f t="shared" si="18"/>
        <v>0</v>
      </c>
      <c r="H44" s="526"/>
      <c r="I44" s="527">
        <f t="shared" si="19"/>
        <v>25</v>
      </c>
      <c r="S44" t="s">
        <v>197</v>
      </c>
    </row>
    <row r="45" spans="2:58" ht="15" thickBot="1" x14ac:dyDescent="0.4">
      <c r="B45" s="528" t="s">
        <v>154</v>
      </c>
      <c r="C45" s="532">
        <f>SUM(C41:C44)</f>
        <v>394</v>
      </c>
      <c r="D45" s="478">
        <f t="shared" ref="D45:H45" si="20">SUM(D41:D44)</f>
        <v>36</v>
      </c>
      <c r="E45" s="478">
        <f t="shared" si="20"/>
        <v>125</v>
      </c>
      <c r="F45" s="478">
        <f t="shared" si="20"/>
        <v>400</v>
      </c>
      <c r="G45" s="478">
        <f t="shared" si="20"/>
        <v>100</v>
      </c>
      <c r="H45" s="479">
        <f t="shared" si="20"/>
        <v>0</v>
      </c>
      <c r="I45" s="480">
        <f t="shared" si="19"/>
        <v>1055</v>
      </c>
      <c r="Q45" s="568"/>
      <c r="R45" s="568"/>
      <c r="S45" s="569" t="s">
        <v>23</v>
      </c>
      <c r="T45" s="569" t="s">
        <v>26</v>
      </c>
      <c r="U45" s="569" t="s">
        <v>21</v>
      </c>
      <c r="V45" s="569" t="s">
        <v>25</v>
      </c>
      <c r="AW45">
        <v>202109</v>
      </c>
    </row>
    <row r="46" spans="2:58" x14ac:dyDescent="0.35">
      <c r="B46" s="533" t="s">
        <v>156</v>
      </c>
      <c r="C46" s="534">
        <f t="shared" ref="C46:H49" si="21">+C29+C14</f>
        <v>196</v>
      </c>
      <c r="D46" s="535">
        <f t="shared" si="21"/>
        <v>324</v>
      </c>
      <c r="E46" s="535">
        <f t="shared" si="21"/>
        <v>0</v>
      </c>
      <c r="F46" s="535">
        <f t="shared" si="21"/>
        <v>30</v>
      </c>
      <c r="G46" s="535">
        <f t="shared" si="21"/>
        <v>0</v>
      </c>
      <c r="H46" s="536">
        <f t="shared" si="21"/>
        <v>0</v>
      </c>
      <c r="I46" s="537">
        <f t="shared" si="19"/>
        <v>550</v>
      </c>
      <c r="Q46" s="604" t="s">
        <v>139</v>
      </c>
      <c r="R46" s="570" t="s">
        <v>186</v>
      </c>
      <c r="S46" s="571">
        <f t="array" ref="S46:V46">TRANSPOSE(S22:S25)</f>
        <v>61.6</v>
      </c>
      <c r="T46" s="571">
        <v>61.924778761061944</v>
      </c>
      <c r="U46" s="571">
        <v>62.065384615384616</v>
      </c>
      <c r="V46" s="571">
        <v>61.83606557377049</v>
      </c>
      <c r="AW46" t="s">
        <v>22</v>
      </c>
    </row>
    <row r="47" spans="2:58" x14ac:dyDescent="0.35">
      <c r="B47" s="516" t="s">
        <v>158</v>
      </c>
      <c r="C47" s="517">
        <f t="shared" si="21"/>
        <v>20</v>
      </c>
      <c r="D47" s="518">
        <f t="shared" si="21"/>
        <v>0</v>
      </c>
      <c r="E47" s="518">
        <f t="shared" si="21"/>
        <v>195</v>
      </c>
      <c r="F47" s="518">
        <f t="shared" si="21"/>
        <v>0</v>
      </c>
      <c r="G47" s="518">
        <f t="shared" si="21"/>
        <v>0</v>
      </c>
      <c r="H47" s="519">
        <f t="shared" si="21"/>
        <v>100</v>
      </c>
      <c r="I47" s="520">
        <f t="shared" si="19"/>
        <v>315</v>
      </c>
      <c r="Q47" s="604"/>
      <c r="R47" s="570" t="s">
        <v>171</v>
      </c>
      <c r="S47" s="571">
        <f t="array" ref="S47:V47">TRANSPOSE(AB22:AB25)</f>
        <v>60.449305424625138</v>
      </c>
      <c r="T47" s="571">
        <v>61.110195988180479</v>
      </c>
      <c r="U47" s="571">
        <v>61.866480919043653</v>
      </c>
      <c r="V47" s="571">
        <v>62.07196176907366</v>
      </c>
      <c r="AW47" t="s">
        <v>23</v>
      </c>
      <c r="AZ47" t="s">
        <v>26</v>
      </c>
      <c r="BC47" t="s">
        <v>21</v>
      </c>
      <c r="BF47" t="s">
        <v>25</v>
      </c>
    </row>
    <row r="48" spans="2:58" x14ac:dyDescent="0.35">
      <c r="B48" s="516" t="s">
        <v>160</v>
      </c>
      <c r="C48" s="517">
        <f t="shared" si="21"/>
        <v>0</v>
      </c>
      <c r="D48" s="518">
        <f t="shared" si="21"/>
        <v>0</v>
      </c>
      <c r="E48" s="518">
        <f t="shared" si="21"/>
        <v>130</v>
      </c>
      <c r="F48" s="518">
        <f t="shared" si="21"/>
        <v>0</v>
      </c>
      <c r="G48" s="518">
        <f t="shared" si="21"/>
        <v>0</v>
      </c>
      <c r="H48" s="519">
        <f t="shared" si="21"/>
        <v>15</v>
      </c>
      <c r="I48" s="520">
        <f t="shared" si="19"/>
        <v>145</v>
      </c>
      <c r="Q48" s="604" t="s">
        <v>172</v>
      </c>
      <c r="R48" s="570" t="s">
        <v>186</v>
      </c>
      <c r="S48" s="571">
        <f t="array" ref="S48:V48">TRANSPOSE(T22:T25)</f>
        <v>4.3236111111111111</v>
      </c>
      <c r="T48" s="571">
        <v>3.7389380530973453</v>
      </c>
      <c r="U48" s="571">
        <v>3.5034615384615382</v>
      </c>
      <c r="V48" s="571">
        <v>3.9967213114754099</v>
      </c>
    </row>
    <row r="49" spans="2:60" ht="15" thickBot="1" x14ac:dyDescent="0.4">
      <c r="B49" s="523" t="s">
        <v>162</v>
      </c>
      <c r="C49" s="524">
        <f t="shared" si="21"/>
        <v>0</v>
      </c>
      <c r="D49" s="525">
        <f t="shared" si="21"/>
        <v>0</v>
      </c>
      <c r="E49" s="525">
        <f t="shared" si="21"/>
        <v>320</v>
      </c>
      <c r="F49" s="525">
        <f t="shared" si="21"/>
        <v>0</v>
      </c>
      <c r="G49" s="525">
        <f t="shared" si="21"/>
        <v>0</v>
      </c>
      <c r="H49" s="526">
        <f t="shared" si="21"/>
        <v>0</v>
      </c>
      <c r="I49" s="527">
        <f t="shared" si="19"/>
        <v>320</v>
      </c>
      <c r="Q49" s="604"/>
      <c r="R49" s="570" t="s">
        <v>171</v>
      </c>
      <c r="S49" s="571">
        <f t="array" ref="S49:V49">TRANSPOSE(AC22:AC25)</f>
        <v>5.8416235773292389</v>
      </c>
      <c r="T49" s="571">
        <v>4.9734852255938167</v>
      </c>
      <c r="U49" s="571">
        <v>3.7716426194434169</v>
      </c>
      <c r="V49" s="571">
        <v>5.1212148858678015</v>
      </c>
      <c r="AL49" s="568" t="s">
        <v>174</v>
      </c>
      <c r="AM49" s="518" t="s">
        <v>175</v>
      </c>
      <c r="AN49" s="518"/>
      <c r="AO49" s="518" t="s">
        <v>176</v>
      </c>
      <c r="AP49" s="518"/>
      <c r="AQ49" s="518" t="s">
        <v>177</v>
      </c>
      <c r="AR49" s="518"/>
      <c r="AS49" s="518" t="s">
        <v>178</v>
      </c>
      <c r="AT49" s="518"/>
      <c r="AU49" s="518" t="s">
        <v>179</v>
      </c>
      <c r="AW49" t="s">
        <v>139</v>
      </c>
      <c r="AX49" t="s">
        <v>1</v>
      </c>
      <c r="AY49" t="s">
        <v>180</v>
      </c>
      <c r="AZ49" t="s">
        <v>139</v>
      </c>
      <c r="BA49" t="s">
        <v>1</v>
      </c>
      <c r="BB49" t="s">
        <v>180</v>
      </c>
      <c r="BC49" t="s">
        <v>139</v>
      </c>
      <c r="BD49" t="s">
        <v>1</v>
      </c>
      <c r="BE49" t="s">
        <v>180</v>
      </c>
      <c r="BF49" t="s">
        <v>139</v>
      </c>
      <c r="BG49" t="s">
        <v>1</v>
      </c>
      <c r="BH49" t="s">
        <v>180</v>
      </c>
    </row>
    <row r="50" spans="2:60" ht="15" thickBot="1" x14ac:dyDescent="0.4">
      <c r="B50" s="528" t="s">
        <v>163</v>
      </c>
      <c r="C50" s="532">
        <f>SUM(C46:C49)</f>
        <v>216</v>
      </c>
      <c r="D50" s="478">
        <f t="shared" ref="D50:H50" si="22">SUM(D46:D49)</f>
        <v>324</v>
      </c>
      <c r="E50" s="478">
        <f t="shared" si="22"/>
        <v>645</v>
      </c>
      <c r="F50" s="478">
        <f t="shared" si="22"/>
        <v>30</v>
      </c>
      <c r="G50" s="478">
        <f t="shared" si="22"/>
        <v>0</v>
      </c>
      <c r="H50" s="479">
        <f t="shared" si="22"/>
        <v>115</v>
      </c>
      <c r="I50" s="480">
        <f t="shared" si="19"/>
        <v>1330</v>
      </c>
      <c r="Q50" s="604" t="s">
        <v>173</v>
      </c>
      <c r="R50" s="570" t="s">
        <v>186</v>
      </c>
      <c r="S50" s="571">
        <f t="array" ref="S50:V50">TRANSPOSE(U22:U25)</f>
        <v>2.7958333333333334</v>
      </c>
      <c r="T50" s="571">
        <v>2.5796460176991149</v>
      </c>
      <c r="U50" s="571">
        <v>2.9730769230769232</v>
      </c>
      <c r="V50" s="571">
        <v>2.7491803278688525</v>
      </c>
      <c r="AG50" s="568"/>
      <c r="AH50" s="604"/>
      <c r="AI50" s="604"/>
      <c r="AL50" s="600" t="s">
        <v>23</v>
      </c>
      <c r="AM50" s="600"/>
      <c r="AN50" s="600"/>
      <c r="AO50" s="600"/>
      <c r="AP50" s="600"/>
      <c r="AQ50" s="600"/>
      <c r="AR50" s="600"/>
      <c r="AS50" s="600"/>
      <c r="AT50" s="600"/>
      <c r="AU50" s="600"/>
      <c r="AX50" t="s">
        <v>10</v>
      </c>
      <c r="AY50" s="575">
        <v>-0.27467778539999999</v>
      </c>
      <c r="BA50" t="s">
        <v>10</v>
      </c>
      <c r="BB50" s="575">
        <v>-0.65103125319999999</v>
      </c>
      <c r="BD50" t="s">
        <v>12</v>
      </c>
      <c r="BE50" s="575">
        <v>-0.23371796089999999</v>
      </c>
      <c r="BG50" t="s">
        <v>13</v>
      </c>
      <c r="BH50" s="575">
        <v>-8.4508902900000002E-2</v>
      </c>
    </row>
    <row r="51" spans="2:60" ht="15" thickBot="1" x14ac:dyDescent="0.4">
      <c r="B51" s="543" t="s">
        <v>164</v>
      </c>
      <c r="C51" s="544">
        <f>+C34+C19</f>
        <v>0</v>
      </c>
      <c r="D51" s="494">
        <f>+D34+D19</f>
        <v>0</v>
      </c>
      <c r="E51" s="494">
        <f>+E34+E19</f>
        <v>0</v>
      </c>
      <c r="F51" s="494">
        <f>+F34+F19</f>
        <v>0</v>
      </c>
      <c r="G51" s="494">
        <f>+G34+G19</f>
        <v>0</v>
      </c>
      <c r="H51" s="545"/>
      <c r="I51" s="546">
        <f t="shared" si="19"/>
        <v>0</v>
      </c>
      <c r="Q51" s="604"/>
      <c r="R51" s="570" t="s">
        <v>171</v>
      </c>
      <c r="S51" s="571">
        <f t="array" ref="S51:V51">TRANSPOSE(AD22:AD25)</f>
        <v>2.9682910213667495</v>
      </c>
      <c r="T51" s="571">
        <v>2.1065911467212182</v>
      </c>
      <c r="U51" s="571">
        <v>2.5384665721267261</v>
      </c>
      <c r="V51" s="571">
        <v>1.8497616713818794</v>
      </c>
      <c r="AG51" s="568"/>
      <c r="AH51" s="570"/>
      <c r="AI51" s="570"/>
      <c r="AL51" s="518"/>
      <c r="AN51" s="518"/>
      <c r="AP51" s="518"/>
      <c r="AR51" s="518"/>
      <c r="AS51" s="571">
        <f>AE22-V22</f>
        <v>-1.4721777296026834</v>
      </c>
      <c r="AT51" s="518"/>
      <c r="AU51" s="571">
        <f>AF22-W22</f>
        <v>1.9220189525201548</v>
      </c>
      <c r="AX51" t="s">
        <v>12</v>
      </c>
      <c r="AY51" s="575">
        <v>-0.27005409720000001</v>
      </c>
      <c r="BA51" t="s">
        <v>13</v>
      </c>
      <c r="BB51" s="575">
        <v>-0.18954096819999999</v>
      </c>
      <c r="BD51" t="s">
        <v>9</v>
      </c>
      <c r="BE51" s="575">
        <v>-0.20510907270000001</v>
      </c>
      <c r="BG51" t="s">
        <v>10</v>
      </c>
      <c r="BH51" s="575">
        <v>8.3739496499999996E-2</v>
      </c>
    </row>
    <row r="52" spans="2:60" ht="15" thickBot="1" x14ac:dyDescent="0.4">
      <c r="B52" s="528" t="s">
        <v>135</v>
      </c>
      <c r="C52" s="532">
        <f>C50+C51+C45</f>
        <v>610</v>
      </c>
      <c r="D52" s="478">
        <f t="shared" ref="D52:I52" si="23">D50+D51+D45</f>
        <v>360</v>
      </c>
      <c r="E52" s="478">
        <f t="shared" si="23"/>
        <v>770</v>
      </c>
      <c r="F52" s="478">
        <f t="shared" si="23"/>
        <v>430</v>
      </c>
      <c r="G52" s="478">
        <f t="shared" si="23"/>
        <v>100</v>
      </c>
      <c r="H52" s="479">
        <f t="shared" si="23"/>
        <v>115</v>
      </c>
      <c r="I52" s="480">
        <f t="shared" si="23"/>
        <v>2385</v>
      </c>
      <c r="Q52" s="604" t="s">
        <v>142</v>
      </c>
      <c r="R52" s="570" t="s">
        <v>186</v>
      </c>
      <c r="S52" s="571">
        <f t="array" ref="S52:V52">TRANSPOSE(V22:V25)</f>
        <v>6.9444444444444446</v>
      </c>
      <c r="T52" s="571">
        <v>7</v>
      </c>
      <c r="U52" s="571">
        <v>5.9230769230769234</v>
      </c>
      <c r="V52" s="571">
        <v>7</v>
      </c>
      <c r="AG52" s="569"/>
      <c r="AH52" s="571"/>
      <c r="AI52" s="571"/>
      <c r="AJ52" s="575"/>
      <c r="AR52" s="518">
        <f t="array" ref="AR52:AS53">AX60:AY61</f>
        <v>0</v>
      </c>
      <c r="AS52" s="518">
        <v>0</v>
      </c>
      <c r="AT52" s="518" t="str">
        <f t="array" ref="AT52:AU53">AX63:AY64</f>
        <v>KRB</v>
      </c>
      <c r="AU52" s="571">
        <v>0.81349629280000002</v>
      </c>
      <c r="AW52" t="s">
        <v>55</v>
      </c>
      <c r="AX52" t="s">
        <v>1</v>
      </c>
      <c r="AY52" t="s">
        <v>183</v>
      </c>
      <c r="AZ52" t="s">
        <v>55</v>
      </c>
      <c r="BA52" t="s">
        <v>1</v>
      </c>
      <c r="BB52" t="s">
        <v>183</v>
      </c>
      <c r="BC52" t="s">
        <v>55</v>
      </c>
      <c r="BD52" t="s">
        <v>1</v>
      </c>
      <c r="BE52" t="s">
        <v>183</v>
      </c>
      <c r="BF52" t="s">
        <v>55</v>
      </c>
      <c r="BG52" t="s">
        <v>1</v>
      </c>
      <c r="BH52" t="s">
        <v>183</v>
      </c>
    </row>
    <row r="53" spans="2:60" x14ac:dyDescent="0.35">
      <c r="Q53" s="604"/>
      <c r="R53" s="570" t="s">
        <v>171</v>
      </c>
      <c r="S53" s="571">
        <f t="array" ref="S53:V53">TRANSPOSE(AE22:AE25)</f>
        <v>5.4722667148417612</v>
      </c>
      <c r="T53" s="571">
        <v>11.621387828162291</v>
      </c>
      <c r="U53" s="571">
        <v>0</v>
      </c>
      <c r="V53" s="571">
        <v>7.8829235086431009</v>
      </c>
      <c r="AR53" s="518">
        <v>0</v>
      </c>
      <c r="AS53" s="518">
        <v>0</v>
      </c>
      <c r="AT53" s="518" t="str">
        <v>BAR</v>
      </c>
      <c r="AU53" s="571">
        <v>0.47652140939999998</v>
      </c>
      <c r="AX53" t="s">
        <v>13</v>
      </c>
      <c r="AY53" s="575">
        <v>0.44041955640000002</v>
      </c>
      <c r="BA53" t="s">
        <v>10</v>
      </c>
      <c r="BB53" s="575">
        <v>0.97654687979999999</v>
      </c>
      <c r="BD53" t="s">
        <v>9</v>
      </c>
      <c r="BE53" s="575">
        <v>0.39698530199999998</v>
      </c>
      <c r="BG53" t="s">
        <v>13</v>
      </c>
      <c r="BH53" s="575">
        <v>0.76349422619999996</v>
      </c>
    </row>
    <row r="54" spans="2:60" x14ac:dyDescent="0.35">
      <c r="Q54" s="604" t="s">
        <v>143</v>
      </c>
      <c r="R54" s="570" t="s">
        <v>186</v>
      </c>
      <c r="S54" s="571">
        <f t="array" ref="S54:V54">TRANSPOSE(W22:W25)</f>
        <v>40</v>
      </c>
      <c r="T54" s="571">
        <v>40</v>
      </c>
      <c r="U54" s="571">
        <v>40</v>
      </c>
      <c r="V54" s="571">
        <v>40</v>
      </c>
      <c r="AL54" s="600" t="s">
        <v>26</v>
      </c>
      <c r="AM54" s="600"/>
      <c r="AN54" s="600"/>
      <c r="AO54" s="600"/>
      <c r="AP54" s="600"/>
      <c r="AQ54" s="600"/>
      <c r="AR54" s="600"/>
      <c r="AS54" s="600"/>
      <c r="AT54" s="600"/>
      <c r="AU54" s="600"/>
      <c r="AV54" s="576"/>
      <c r="AX54" t="s">
        <v>10</v>
      </c>
      <c r="AY54" s="575">
        <v>0.39351001880000003</v>
      </c>
      <c r="BA54" t="s">
        <v>13</v>
      </c>
      <c r="BB54" s="575">
        <v>0.30880270100000001</v>
      </c>
      <c r="BD54" t="s">
        <v>12</v>
      </c>
      <c r="BE54" s="575">
        <v>0.23975495620000001</v>
      </c>
      <c r="BG54" t="s">
        <v>15</v>
      </c>
      <c r="BH54" s="575">
        <v>0.18096134559999999</v>
      </c>
    </row>
    <row r="55" spans="2:60" x14ac:dyDescent="0.35">
      <c r="Q55" s="604"/>
      <c r="R55" s="570" t="s">
        <v>171</v>
      </c>
      <c r="S55" s="571">
        <f t="array" ref="S55:V55">TRANSPOSE(AF22:AF25)</f>
        <v>41.922018952520155</v>
      </c>
      <c r="T55" s="571">
        <v>34.442680418229344</v>
      </c>
      <c r="U55" s="571">
        <v>0</v>
      </c>
      <c r="V55" s="571">
        <v>41.57072619746198</v>
      </c>
      <c r="AL55" s="518"/>
      <c r="AN55" s="518"/>
      <c r="AP55" s="518"/>
      <c r="AR55" s="518"/>
      <c r="AS55" s="571">
        <f>AE23-V23</f>
        <v>4.6213878281622911</v>
      </c>
      <c r="AT55" s="518"/>
      <c r="AU55" s="577">
        <f>AF23-W23</f>
        <v>-5.5573195817706562</v>
      </c>
      <c r="AW55" t="s">
        <v>181</v>
      </c>
      <c r="AX55" t="s">
        <v>1</v>
      </c>
      <c r="AY55" t="s">
        <v>183</v>
      </c>
      <c r="AZ55" t="s">
        <v>181</v>
      </c>
      <c r="BA55" t="s">
        <v>1</v>
      </c>
      <c r="BB55" t="s">
        <v>183</v>
      </c>
      <c r="BC55" t="s">
        <v>181</v>
      </c>
      <c r="BD55" t="s">
        <v>1</v>
      </c>
      <c r="BE55" t="s">
        <v>183</v>
      </c>
      <c r="BF55" t="s">
        <v>181</v>
      </c>
      <c r="BG55" t="s">
        <v>1</v>
      </c>
      <c r="BH55" t="s">
        <v>183</v>
      </c>
    </row>
    <row r="56" spans="2:60" x14ac:dyDescent="0.35">
      <c r="B56" s="572"/>
      <c r="S56" s="566" t="str">
        <f>S45</f>
        <v>BSL</v>
      </c>
      <c r="T56" s="566" t="str">
        <f t="shared" ref="T56:V56" si="24">T45</f>
        <v>DSP</v>
      </c>
      <c r="U56" s="566" t="str">
        <f t="shared" si="24"/>
        <v>RSP</v>
      </c>
      <c r="V56" s="566" t="str">
        <f t="shared" si="24"/>
        <v>ISP</v>
      </c>
      <c r="AG56" s="569"/>
      <c r="AH56" s="571"/>
      <c r="AI56" s="571"/>
      <c r="AJ56" s="575"/>
      <c r="AR56" s="518" t="str">
        <f t="array" ref="AR56:AS57">BA59:BB60</f>
        <v>BOL</v>
      </c>
      <c r="AS56" s="571">
        <v>4.3858947584000001</v>
      </c>
      <c r="AT56" s="518">
        <f t="array" ref="AT56:AU57">BA62:BB63</f>
        <v>0</v>
      </c>
      <c r="AU56" s="518">
        <v>0</v>
      </c>
      <c r="AX56" t="s">
        <v>9</v>
      </c>
      <c r="AY56" s="575">
        <v>0.13988575980000001</v>
      </c>
      <c r="BA56" t="s">
        <v>15</v>
      </c>
      <c r="BB56" s="575">
        <v>9.9619848000000004E-3</v>
      </c>
      <c r="BE56" s="575"/>
      <c r="BH56" s="575"/>
    </row>
    <row r="57" spans="2:60" x14ac:dyDescent="0.35">
      <c r="AG57" s="569"/>
      <c r="AH57" s="571"/>
      <c r="AI57" s="571"/>
      <c r="AJ57" s="575"/>
      <c r="AR57" s="518" t="str">
        <v>MBR</v>
      </c>
      <c r="AS57" s="571">
        <v>0.19380031580000001</v>
      </c>
      <c r="AT57" s="518">
        <v>0</v>
      </c>
      <c r="AU57" s="518">
        <v>0</v>
      </c>
      <c r="AX57" t="s">
        <v>10</v>
      </c>
      <c r="AY57" s="575">
        <v>7.4026637199999995E-2</v>
      </c>
      <c r="BD57" t="s">
        <v>1</v>
      </c>
      <c r="BE57" t="s">
        <v>183</v>
      </c>
    </row>
    <row r="58" spans="2:60" x14ac:dyDescent="0.35">
      <c r="AG58" s="569"/>
      <c r="AH58" s="571"/>
      <c r="AI58" s="571"/>
      <c r="AJ58" s="575"/>
      <c r="AL58" s="600" t="s">
        <v>21</v>
      </c>
      <c r="AM58" s="600"/>
      <c r="AN58" s="600"/>
      <c r="AO58" s="600"/>
      <c r="AP58" s="600"/>
      <c r="AQ58" s="600"/>
      <c r="AR58" s="600"/>
      <c r="AS58" s="600"/>
      <c r="AT58" s="600"/>
      <c r="AU58" s="600"/>
      <c r="AW58" t="s">
        <v>182</v>
      </c>
      <c r="AZ58" t="s">
        <v>182</v>
      </c>
      <c r="BA58" t="s">
        <v>1</v>
      </c>
      <c r="BB58" t="s">
        <v>183</v>
      </c>
      <c r="BC58" t="s">
        <v>182</v>
      </c>
      <c r="BE58" s="575"/>
      <c r="BF58" t="s">
        <v>182</v>
      </c>
      <c r="BG58" t="s">
        <v>1</v>
      </c>
      <c r="BH58" t="s">
        <v>183</v>
      </c>
    </row>
    <row r="59" spans="2:60" x14ac:dyDescent="0.35">
      <c r="AL59" s="518"/>
      <c r="AN59" s="518"/>
      <c r="AP59" s="518"/>
      <c r="AR59" s="518"/>
      <c r="AS59" s="577">
        <f>AE24-V24</f>
        <v>-5.9230769230769234</v>
      </c>
      <c r="AT59" s="518"/>
      <c r="AU59" s="577">
        <f>AF24-W24</f>
        <v>-40</v>
      </c>
      <c r="AX59" t="s">
        <v>1</v>
      </c>
      <c r="AY59" t="s">
        <v>183</v>
      </c>
      <c r="BA59" t="s">
        <v>10</v>
      </c>
      <c r="BB59" s="575">
        <v>4.3858947584000001</v>
      </c>
      <c r="BG59" t="s">
        <v>13</v>
      </c>
      <c r="BH59" s="575">
        <v>0.68189942339999998</v>
      </c>
    </row>
    <row r="60" spans="2:60" x14ac:dyDescent="0.35">
      <c r="AP60" s="518"/>
      <c r="AQ60" s="518"/>
      <c r="AR60" s="518">
        <f t="array" ref="AR60:AS61">BD58:BE59</f>
        <v>0</v>
      </c>
      <c r="AS60" s="518">
        <v>0</v>
      </c>
      <c r="AT60" s="518">
        <f t="array" ref="AT60:AU61">BD61:BE62</f>
        <v>0</v>
      </c>
      <c r="AU60" s="518">
        <v>0</v>
      </c>
      <c r="AY60" s="575"/>
      <c r="BA60" t="s">
        <v>13</v>
      </c>
      <c r="BB60" s="575">
        <v>0.19380031580000001</v>
      </c>
      <c r="BD60" t="s">
        <v>1</v>
      </c>
      <c r="BE60" t="s">
        <v>183</v>
      </c>
      <c r="BG60" t="s">
        <v>10</v>
      </c>
      <c r="BH60" s="575">
        <v>0.10742339450000001</v>
      </c>
    </row>
    <row r="61" spans="2:60" x14ac:dyDescent="0.35">
      <c r="AP61" s="518"/>
      <c r="AQ61" s="518"/>
      <c r="AR61" s="518">
        <v>0</v>
      </c>
      <c r="AS61" s="518">
        <v>0</v>
      </c>
      <c r="AT61" s="518">
        <v>0</v>
      </c>
      <c r="AU61" s="518">
        <v>0</v>
      </c>
      <c r="AW61" t="s">
        <v>143</v>
      </c>
      <c r="AZ61" t="s">
        <v>143</v>
      </c>
      <c r="BA61" t="s">
        <v>1</v>
      </c>
      <c r="BB61" t="s">
        <v>183</v>
      </c>
      <c r="BC61" t="s">
        <v>143</v>
      </c>
      <c r="BE61" s="575"/>
      <c r="BF61" t="s">
        <v>143</v>
      </c>
      <c r="BG61" t="s">
        <v>1</v>
      </c>
      <c r="BH61" t="s">
        <v>183</v>
      </c>
    </row>
    <row r="62" spans="2:60" x14ac:dyDescent="0.35">
      <c r="AL62" s="600" t="s">
        <v>25</v>
      </c>
      <c r="AM62" s="600"/>
      <c r="AN62" s="600"/>
      <c r="AO62" s="600"/>
      <c r="AP62" s="600"/>
      <c r="AQ62" s="600"/>
      <c r="AR62" s="600"/>
      <c r="AS62" s="600"/>
      <c r="AT62" s="600"/>
      <c r="AU62" s="600"/>
      <c r="AX62" t="s">
        <v>1</v>
      </c>
      <c r="AY62" t="s">
        <v>183</v>
      </c>
      <c r="BB62" s="575"/>
      <c r="BG62" t="s">
        <v>15</v>
      </c>
      <c r="BH62" s="575">
        <v>1.5787317392</v>
      </c>
    </row>
    <row r="63" spans="2:60" x14ac:dyDescent="0.35">
      <c r="AL63" s="518"/>
      <c r="AN63" s="518"/>
      <c r="AP63" s="518"/>
      <c r="AQ63" s="577">
        <f>AD25-U25</f>
        <v>-0.89941865648697306</v>
      </c>
      <c r="AR63" s="518"/>
      <c r="AS63" s="571">
        <f>AE25-V25</f>
        <v>0.88292350864310087</v>
      </c>
      <c r="AT63" s="518"/>
      <c r="AU63" s="571">
        <f>AF25-W25</f>
        <v>1.5707261974619797</v>
      </c>
      <c r="AX63" t="s">
        <v>12</v>
      </c>
      <c r="AY63" s="575">
        <v>0.81349629280000002</v>
      </c>
      <c r="BG63" t="s">
        <v>10</v>
      </c>
      <c r="BH63" s="575">
        <v>7.3589254500000006E-2</v>
      </c>
    </row>
    <row r="64" spans="2:60" x14ac:dyDescent="0.35">
      <c r="AP64" s="518">
        <f t="array" ref="AP64:AQ65">BG56:BH57</f>
        <v>0</v>
      </c>
      <c r="AQ64" s="518">
        <v>0</v>
      </c>
      <c r="AR64" s="518" t="str">
        <f t="array" ref="AR64:AS65">BG59:BH60</f>
        <v>MBR</v>
      </c>
      <c r="AS64" s="571">
        <v>0.68189942339999998</v>
      </c>
      <c r="AT64" s="518" t="str">
        <f t="array" ref="AT64:AU65">BG63:BH64</f>
        <v>BOL</v>
      </c>
      <c r="AU64" s="571">
        <v>7.3589254500000006E-2</v>
      </c>
      <c r="AX64" t="s">
        <v>9</v>
      </c>
      <c r="AY64" s="575">
        <v>0.47652140939999998</v>
      </c>
    </row>
    <row r="65" spans="38:47" x14ac:dyDescent="0.35">
      <c r="AP65" s="518">
        <v>0</v>
      </c>
      <c r="AQ65" s="518">
        <v>0</v>
      </c>
      <c r="AR65" s="518" t="str">
        <v>BOL</v>
      </c>
      <c r="AS65" s="571">
        <v>0.10742339450000001</v>
      </c>
      <c r="AT65" s="518">
        <v>0</v>
      </c>
      <c r="AU65" s="571">
        <v>0</v>
      </c>
    </row>
    <row r="68" spans="38:47" x14ac:dyDescent="0.35">
      <c r="AL68" t="s">
        <v>189</v>
      </c>
    </row>
    <row r="70" spans="38:47" x14ac:dyDescent="0.35">
      <c r="AL70" t="s">
        <v>187</v>
      </c>
      <c r="AM70" t="s">
        <v>188</v>
      </c>
      <c r="AN70" s="518" t="str">
        <f t="array" ref="AN70:AO71">TRANSPOSE(AX50:AY51)</f>
        <v>BOL</v>
      </c>
      <c r="AO70" s="577" t="str">
        <v>KRB</v>
      </c>
    </row>
    <row r="71" spans="38:47" x14ac:dyDescent="0.35">
      <c r="AL71" t="s">
        <v>23</v>
      </c>
      <c r="AM71" s="571">
        <f>AB22-S22</f>
        <v>-1.1506945753748639</v>
      </c>
      <c r="AN71" s="577">
        <v>-0.27467778539999999</v>
      </c>
      <c r="AO71" s="577">
        <v>-0.27005409720000001</v>
      </c>
    </row>
    <row r="74" spans="38:47" x14ac:dyDescent="0.35">
      <c r="AL74" t="s">
        <v>187</v>
      </c>
      <c r="AM74" t="s">
        <v>188</v>
      </c>
      <c r="AN74" s="518" t="str">
        <f t="array" ref="AN74:AO75">TRANSPOSE(BA50:BB51)</f>
        <v>BOL</v>
      </c>
      <c r="AO74" s="577" t="str">
        <v>MBR</v>
      </c>
    </row>
    <row r="75" spans="38:47" x14ac:dyDescent="0.35">
      <c r="AL75" t="s">
        <v>26</v>
      </c>
      <c r="AM75" s="571">
        <f>AB23-S23</f>
        <v>-0.81458277288146519</v>
      </c>
      <c r="AN75" s="577">
        <v>-0.65103125319999999</v>
      </c>
      <c r="AO75" s="577">
        <v>-0.18954096819999999</v>
      </c>
    </row>
    <row r="78" spans="38:47" x14ac:dyDescent="0.35">
      <c r="AL78" t="s">
        <v>187</v>
      </c>
      <c r="AM78" t="s">
        <v>188</v>
      </c>
      <c r="AN78" s="518" t="str">
        <f t="array" ref="AN78:AO79">TRANSPOSE(BD50:BE51)</f>
        <v>KRB</v>
      </c>
      <c r="AO78" s="577" t="str">
        <v>BAR</v>
      </c>
    </row>
    <row r="79" spans="38:47" x14ac:dyDescent="0.35">
      <c r="AL79" t="s">
        <v>21</v>
      </c>
      <c r="AM79" s="571">
        <f>AB24-S24</f>
        <v>-0.19890369634096317</v>
      </c>
      <c r="AN79" s="577">
        <v>-0.23371796089999999</v>
      </c>
      <c r="AO79" s="577">
        <v>-0.20510907270000001</v>
      </c>
    </row>
    <row r="82" spans="20:41" x14ac:dyDescent="0.35">
      <c r="AL82" t="s">
        <v>187</v>
      </c>
      <c r="AM82" t="s">
        <v>188</v>
      </c>
      <c r="AN82" s="518" t="str">
        <f t="array" ref="AN82:AO83">TRANSPOSE(BG50:BH51)</f>
        <v>MBR</v>
      </c>
      <c r="AO82" s="577" t="str">
        <v>BOL</v>
      </c>
    </row>
    <row r="83" spans="20:41" x14ac:dyDescent="0.35">
      <c r="AL83" t="s">
        <v>25</v>
      </c>
      <c r="AM83" s="571">
        <f>AB25-S25</f>
        <v>0.23589619530316952</v>
      </c>
      <c r="AN83" s="577">
        <v>-8.4508902900000002E-2</v>
      </c>
      <c r="AO83" s="577">
        <v>8.3739496499999996E-2</v>
      </c>
    </row>
    <row r="86" spans="20:41" x14ac:dyDescent="0.35">
      <c r="AL86" t="s">
        <v>190</v>
      </c>
    </row>
    <row r="88" spans="20:41" x14ac:dyDescent="0.35">
      <c r="AL88" t="s">
        <v>187</v>
      </c>
      <c r="AM88" t="s">
        <v>188</v>
      </c>
      <c r="AN88" s="518" t="str">
        <f t="array" ref="AN88:AO89">TRANSPOSE(AX53:AY54)</f>
        <v>MBR</v>
      </c>
      <c r="AO88" s="571" t="str">
        <v>BOL</v>
      </c>
    </row>
    <row r="89" spans="20:41" x14ac:dyDescent="0.35">
      <c r="AL89" t="s">
        <v>23</v>
      </c>
      <c r="AM89" s="571">
        <f>AC22-T22</f>
        <v>1.5180124662181278</v>
      </c>
      <c r="AN89" s="577">
        <v>0.44041955640000002</v>
      </c>
      <c r="AO89" s="571">
        <v>0.39351001880000003</v>
      </c>
    </row>
    <row r="90" spans="20:41" x14ac:dyDescent="0.35">
      <c r="T90" s="574"/>
      <c r="U90" s="574"/>
      <c r="V90" s="574"/>
      <c r="W90" s="567"/>
    </row>
    <row r="91" spans="20:41" x14ac:dyDescent="0.35">
      <c r="W91" s="567"/>
    </row>
    <row r="92" spans="20:41" x14ac:dyDescent="0.35">
      <c r="T92" s="574"/>
      <c r="U92" s="574"/>
      <c r="V92" s="574"/>
      <c r="W92" s="567"/>
      <c r="X92" s="567"/>
      <c r="AL92" t="s">
        <v>187</v>
      </c>
      <c r="AM92" t="s">
        <v>188</v>
      </c>
      <c r="AN92" s="518" t="str">
        <f t="array" ref="AN92:AO93">TRANSPOSE(BA53:BB54)</f>
        <v>BOL</v>
      </c>
      <c r="AO92" s="571" t="str">
        <v>MBR</v>
      </c>
    </row>
    <row r="93" spans="20:41" x14ac:dyDescent="0.35">
      <c r="W93" s="567"/>
      <c r="AL93" t="s">
        <v>26</v>
      </c>
      <c r="AM93" s="571">
        <f>AC23-T23</f>
        <v>1.2345471724964714</v>
      </c>
      <c r="AN93" s="577">
        <v>0.97654687979999999</v>
      </c>
      <c r="AO93" s="571">
        <v>0.30880270100000001</v>
      </c>
    </row>
    <row r="95" spans="20:41" x14ac:dyDescent="0.35">
      <c r="T95" s="574"/>
      <c r="U95" s="574"/>
      <c r="V95" s="574"/>
      <c r="W95" s="567"/>
      <c r="X95" s="567"/>
    </row>
    <row r="96" spans="20:41" x14ac:dyDescent="0.35">
      <c r="W96" s="567"/>
      <c r="AL96" t="s">
        <v>187</v>
      </c>
      <c r="AM96" t="s">
        <v>188</v>
      </c>
      <c r="AN96" s="518" t="str">
        <f t="array" ref="AN96:AO97">TRANSPOSE(BD53:BE54)</f>
        <v>BAR</v>
      </c>
      <c r="AO96" s="571" t="str">
        <v>KRB</v>
      </c>
    </row>
    <row r="97" spans="20:41" x14ac:dyDescent="0.35">
      <c r="AL97" t="s">
        <v>21</v>
      </c>
      <c r="AM97" s="571">
        <f>AC24-T24</f>
        <v>0.26818108098187876</v>
      </c>
      <c r="AN97" s="577">
        <v>0.39698530199999998</v>
      </c>
      <c r="AO97" s="571">
        <v>0.23975495620000001</v>
      </c>
    </row>
    <row r="98" spans="20:41" x14ac:dyDescent="0.35">
      <c r="T98" s="574"/>
      <c r="U98" s="574"/>
      <c r="V98" s="574"/>
      <c r="W98" s="567"/>
      <c r="X98" s="567"/>
    </row>
    <row r="99" spans="20:41" x14ac:dyDescent="0.35">
      <c r="W99" s="567"/>
    </row>
    <row r="100" spans="20:41" x14ac:dyDescent="0.35">
      <c r="AL100" t="s">
        <v>187</v>
      </c>
      <c r="AM100" t="s">
        <v>188</v>
      </c>
      <c r="AN100" s="518" t="str">
        <f t="array" ref="AN100:AO101">TRANSPOSE(BG53:BH54)</f>
        <v>MBR</v>
      </c>
      <c r="AO100" s="571" t="str">
        <v>GUA</v>
      </c>
    </row>
    <row r="101" spans="20:41" x14ac:dyDescent="0.35">
      <c r="AL101" t="s">
        <v>25</v>
      </c>
      <c r="AM101" s="571">
        <f>AC25-T25</f>
        <v>1.1244935743923916</v>
      </c>
      <c r="AN101" s="577">
        <v>0.76349422619999996</v>
      </c>
      <c r="AO101" s="571">
        <v>0.18096134559999999</v>
      </c>
    </row>
    <row r="103" spans="20:41" x14ac:dyDescent="0.35">
      <c r="AL103" t="s">
        <v>191</v>
      </c>
    </row>
    <row r="105" spans="20:41" x14ac:dyDescent="0.35">
      <c r="AL105" t="s">
        <v>187</v>
      </c>
      <c r="AM105" t="s">
        <v>188</v>
      </c>
      <c r="AN105" s="518" t="str">
        <f t="array" ref="AN105:AO106">TRANSPOSE(AX57:AY58)</f>
        <v>BOL</v>
      </c>
      <c r="AO105" s="571">
        <v>0</v>
      </c>
    </row>
    <row r="106" spans="20:41" x14ac:dyDescent="0.35">
      <c r="AL106" t="s">
        <v>23</v>
      </c>
      <c r="AM106" s="571">
        <f>AD22-U22</f>
        <v>0.1724576880334161</v>
      </c>
      <c r="AN106" s="577">
        <v>7.4026637199999995E-2</v>
      </c>
      <c r="AO106" s="571">
        <v>0</v>
      </c>
    </row>
    <row r="109" spans="20:41" x14ac:dyDescent="0.35">
      <c r="AL109" t="s">
        <v>187</v>
      </c>
      <c r="AM109" t="s">
        <v>188</v>
      </c>
      <c r="AN109" s="518" t="str">
        <f t="array" ref="AN109:AO110">TRANSPOSE(BA56:BB57)</f>
        <v>GUA</v>
      </c>
      <c r="AO109" s="518">
        <v>0</v>
      </c>
    </row>
    <row r="110" spans="20:41" x14ac:dyDescent="0.35">
      <c r="AL110" t="s">
        <v>26</v>
      </c>
      <c r="AM110" s="571">
        <f>AD23-U23</f>
        <v>-0.47305487097789678</v>
      </c>
      <c r="AN110" s="577">
        <v>9.9619848000000004E-3</v>
      </c>
      <c r="AO110" s="577">
        <v>0</v>
      </c>
    </row>
    <row r="113" spans="38:41" x14ac:dyDescent="0.35">
      <c r="AL113" t="s">
        <v>187</v>
      </c>
      <c r="AM113" t="s">
        <v>188</v>
      </c>
      <c r="AN113" s="518">
        <f t="array" ref="AN113:AO114">TRANSPOSE(BD70:BE71)</f>
        <v>0</v>
      </c>
      <c r="AO113" s="571">
        <v>0</v>
      </c>
    </row>
    <row r="114" spans="38:41" x14ac:dyDescent="0.35">
      <c r="AL114" t="s">
        <v>21</v>
      </c>
      <c r="AM114" s="571">
        <f>AD24-U24</f>
        <v>-0.43461035095019707</v>
      </c>
      <c r="AN114" s="577">
        <v>0</v>
      </c>
      <c r="AO114" s="571">
        <v>0</v>
      </c>
    </row>
    <row r="117" spans="38:41" x14ac:dyDescent="0.35">
      <c r="AL117" t="s">
        <v>187</v>
      </c>
      <c r="AM117" t="s">
        <v>188</v>
      </c>
      <c r="AN117" s="518">
        <f t="array" ref="AN117:AO118">TRANSPOSE(BG70:BH71)</f>
        <v>0</v>
      </c>
      <c r="AO117" s="571">
        <v>0</v>
      </c>
    </row>
    <row r="118" spans="38:41" x14ac:dyDescent="0.35">
      <c r="AL118" t="s">
        <v>25</v>
      </c>
      <c r="AM118" s="571">
        <f>AC42-T42</f>
        <v>0</v>
      </c>
      <c r="AN118" s="577">
        <v>0</v>
      </c>
      <c r="AO118" s="571">
        <v>0</v>
      </c>
    </row>
  </sheetData>
  <mergeCells count="21">
    <mergeCell ref="B22:I22"/>
    <mergeCell ref="B39:I39"/>
    <mergeCell ref="Q46:Q47"/>
    <mergeCell ref="Q48:Q49"/>
    <mergeCell ref="Q50:Q51"/>
    <mergeCell ref="B1:I1"/>
    <mergeCell ref="B6:I6"/>
    <mergeCell ref="K6:O6"/>
    <mergeCell ref="S6:X6"/>
    <mergeCell ref="AB6:AG6"/>
    <mergeCell ref="AL50:AU50"/>
    <mergeCell ref="AL58:AU58"/>
    <mergeCell ref="AL62:AU62"/>
    <mergeCell ref="AL54:AU54"/>
    <mergeCell ref="K20:O20"/>
    <mergeCell ref="S20:X20"/>
    <mergeCell ref="AB20:AG20"/>
    <mergeCell ref="AH50:AI50"/>
    <mergeCell ref="Q54:Q55"/>
    <mergeCell ref="Q52:Q53"/>
    <mergeCell ref="P43:AD43"/>
  </mergeCells>
  <printOptions horizontalCentered="1"/>
  <pageMargins left="0.59055118110236227" right="0.35433070866141736" top="0.39370078740157483" bottom="0.74803149606299213" header="0.31496062992125984" footer="0.31496062992125984"/>
  <pageSetup paperSize="9" scale="17" orientation="portrait" r:id="rId1"/>
  <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C1" sqref="C1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MINES</vt:lpstr>
      <vt:lpstr>BSL</vt:lpstr>
      <vt:lpstr>DSP</vt:lpstr>
      <vt:lpstr>RSP</vt:lpstr>
      <vt:lpstr>ISP</vt:lpstr>
      <vt:lpstr>BSP</vt:lpstr>
      <vt:lpstr>BLEND</vt:lpstr>
      <vt:lpstr>RECPT</vt:lpstr>
      <vt:lpstr>Sheet3</vt:lpstr>
      <vt:lpstr>PIVOT RECPT</vt:lpstr>
      <vt:lpstr>Month-Analysis</vt:lpstr>
      <vt:lpstr>Sheet1</vt:lpstr>
      <vt:lpstr>BSL!Criteria</vt:lpstr>
      <vt:lpstr>BSP!Criteria</vt:lpstr>
      <vt:lpstr>MINES!Criteria</vt:lpstr>
      <vt:lpstr>'PIVOT RECPT'!Criteria</vt:lpstr>
      <vt:lpstr>Despatch_quantity</vt:lpstr>
      <vt:lpstr>'PIVOT RECPT'!Extract</vt:lpstr>
      <vt:lpstr>BLEND!Print_Area</vt:lpstr>
      <vt:lpstr>BSP!Print_Area</vt:lpstr>
      <vt:lpstr>DSP!Print_Area</vt:lpstr>
      <vt:lpstr>ISP!Print_Area</vt:lpstr>
      <vt:lpstr>MINES!Print_Area</vt:lpstr>
      <vt:lpstr>RSP!Print_Area</vt:lpstr>
      <vt:lpstr>BSP!Print_Titles</vt:lpstr>
      <vt:lpstr>DSP!Print_Titles</vt:lpstr>
      <vt:lpstr>ISP!Print_Titles</vt:lpstr>
      <vt:lpstr>MINES!Print_Titles</vt:lpstr>
      <vt:lpstr>RSP!Print_Titles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2022-04-22T06:07:19Z</cp:lastPrinted>
  <dcterms:created xsi:type="dcterms:W3CDTF">2021-09-21T15:15:29Z</dcterms:created>
  <dcterms:modified xsi:type="dcterms:W3CDTF">2022-05-06T09:52:22Z</dcterms:modified>
</cp:coreProperties>
</file>